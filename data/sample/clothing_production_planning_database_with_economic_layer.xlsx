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19d41f366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a7211a996864b3c"/>
    <x:sheet xmlns:r="http://schemas.openxmlformats.org/officeDocument/2006/relationships" name="style_master" sheetId="2" r:id="R0fc9f11520e344d8"/>
    <x:sheet xmlns:r="http://schemas.openxmlformats.org/officeDocument/2006/relationships" name="orders" sheetId="3" r:id="R9b0540bd8b1c462e"/>
    <x:sheet xmlns:r="http://schemas.openxmlformats.org/officeDocument/2006/relationships" name="product_matrix" sheetId="4" r:id="Rcccb00bbfca64dce"/>
    <x:sheet xmlns:r="http://schemas.openxmlformats.org/officeDocument/2006/relationships" name="labs_factories" sheetId="5" r:id="R5628f9dbe269453b"/>
    <x:sheet xmlns:r="http://schemas.openxmlformats.org/officeDocument/2006/relationships" name="line_capacity" sheetId="6" r:id="R5e1b047c966c4465"/>
    <x:sheet xmlns:r="http://schemas.openxmlformats.org/officeDocument/2006/relationships" name="phase_capacity" sheetId="7" r:id="R4a6afe80955e412e"/>
    <x:sheet xmlns:r="http://schemas.openxmlformats.org/officeDocument/2006/relationships" name="TNA_calendar" sheetId="8" r:id="Rd0f90fef5b8f4171"/>
    <x:sheet xmlns:r="http://schemas.openxmlformats.org/officeDocument/2006/relationships" name="risk_register" sheetId="9" r:id="Rf5df753c80f348b5"/>
    <x:sheet xmlns:r="http://schemas.openxmlformats.org/officeDocument/2006/relationships" name="data_dictionary" sheetId="10" r:id="Rad3da9011a1b4664"/>
    <x:sheet xmlns:r="http://schemas.openxmlformats.org/officeDocument/2006/relationships" name="economic_layer" sheetId="11" r:id="R41e3f5866d4d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"/>
    <x:numFmt numFmtId="202" formatCode="yyyy-mm-dd"/>
    <x:numFmt numFmtId="203" formatCode="0%"/>
    <x:numFmt numFmtId="204" formatCode="0.0"/>
    <x:numFmt numFmtId="205" formatCode="€#,##0.00"/>
    <x:numFmt numFmtId="206" formatCode="0.00"/>
    <x:numFmt numFmtId="207" formatCode="€#,##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</x:fills>
  <x:borders count="25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4" fontId="0" fillId="0" borderId="0" xfId="0" applyNumberFormat="1" applyFont="1" applyFill="1" applyBorder="1" applyAlignment="1">
      <x:alignment wrapText="0"/>
    </x:xf>
    <x:xf numFmtId="204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wrapText="1"/>
    </x:xf>
    <x:xf numFmtId="205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6" fontId="4" fillId="0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201" fontId="4" fillId="0" borderId="6" xfId="0" applyNumberFormat="1" applyFont="1" applyFill="1" applyBorder="1" applyAlignment="1">
      <x:alignment wrapText="1"/>
    </x:xf>
    <x:xf numFmtId="204" fontId="4" fillId="0" borderId="6" xfId="0" applyNumberFormat="1" applyFont="1" applyFill="1" applyBorder="1" applyAlignment="1">
      <x:alignment wrapText="1"/>
    </x:xf>
    <x:xf numFmtId="205" fontId="4" fillId="0" borderId="6" xfId="0" applyNumberFormat="1" applyFont="1" applyFill="1" applyBorder="1" applyAlignment="1">
      <x:alignment wrapText="1"/>
    </x:xf>
    <x:xf numFmtId="200" fontId="4" fillId="0" borderId="6" xfId="0" applyNumberFormat="1" applyFont="1" applyFill="1" applyBorder="1" applyAlignment="1">
      <x:alignment wrapText="1"/>
    </x:xf>
    <x:xf numFmtId="206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1" fontId="4" fillId="0" borderId="9" xfId="0" applyNumberFormat="1" applyFont="1" applyFill="1" applyBorder="1" applyAlignment="1">
      <x:alignment wrapText="1"/>
    </x:xf>
    <x:xf numFmtId="204" fontId="4" fillId="0" borderId="9" xfId="0" applyNumberFormat="1" applyFont="1" applyFill="1" applyBorder="1" applyAlignment="1">
      <x:alignment wrapText="1"/>
    </x:xf>
    <x:xf numFmtId="205" fontId="4" fillId="0" borderId="9" xfId="0" applyNumberFormat="1" applyFont="1" applyFill="1" applyBorder="1" applyAlignment="1">
      <x:alignment wrapText="1"/>
    </x:xf>
    <x:xf numFmtId="200" fontId="4" fillId="0" borderId="9" xfId="0" applyNumberFormat="1" applyFont="1" applyFill="1" applyBorder="1" applyAlignment="1">
      <x:alignment wrapText="1"/>
    </x:xf>
    <x:xf numFmtId="206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7" fontId="0" fillId="0" borderId="0" xfId="0" applyNumberFormat="1" applyFont="1" applyFill="1" applyBorder="1"/>
    <x:xf numFmtId="0" fontId="2" fillId="5" borderId="11" xfId="0" applyNumberFormat="1" applyFont="1" applyFill="1" applyBorder="1" applyAlignment="1">
      <x:alignment horizontal="center"/>
    </x:xf>
    <x:xf numFmtId="0" fontId="2" fillId="5" borderId="12" xfId="0" applyNumberFormat="1" applyFont="1" applyFill="1" applyBorder="1" applyAlignment="1">
      <x:alignment horizontal="center"/>
    </x:xf>
    <x:xf numFmtId="0" fontId="5" fillId="6" borderId="13" xfId="0" applyNumberFormat="1" applyFont="1" applyFill="1" applyBorder="1"/>
    <x:xf numFmtId="207" fontId="0" fillId="0" borderId="14" xfId="0" applyNumberFormat="1" applyFont="1" applyFill="1" applyBorder="1"/>
    <x:xf numFmtId="200" fontId="0" fillId="0" borderId="14" xfId="0" applyNumberFormat="1" applyFont="1" applyFill="1" applyBorder="1"/>
    <x:xf numFmtId="205" fontId="0" fillId="0" borderId="14" xfId="0" applyNumberFormat="1" applyFont="1" applyFill="1" applyBorder="1"/>
    <x:xf numFmtId="201" fontId="0" fillId="0" borderId="14" xfId="0" applyNumberFormat="1" applyFont="1" applyFill="1" applyBorder="1"/>
    <x:xf numFmtId="0" fontId="5" fillId="6" borderId="15" xfId="0" applyNumberFormat="1" applyFont="1" applyFill="1" applyBorder="1"/>
    <x:xf numFmtId="207" fontId="0" fillId="0" borderId="16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>
          <x:bgColor rgb="FFFCE4D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  <x:color rgb="FF7F1D1D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7F1D1D"/>
      </x:font>
      <x:fill>
        <x:patternFill patternType="solid">
          <x:bgColor rgb="FFFECACA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f0b44d58546b2" /><Relationship Type="http://schemas.openxmlformats.org/officeDocument/2006/relationships/theme" Target="/xl/theme/theme1.xml" Id="Rcf0ef4da44fd4010" /><Relationship Type="http://schemas.openxmlformats.org/officeDocument/2006/relationships/sharedStrings" Target="/xl/sharedStrings.xml" Id="R0b22d0f8783e4d9d" /><Relationship Type="http://schemas.openxmlformats.org/officeDocument/2006/relationships/worksheet" Target="/xl/worksheets/sheet1.xml" Id="Rfa7211a996864b3c" /><Relationship Type="http://schemas.openxmlformats.org/officeDocument/2006/relationships/worksheet" Target="/xl/worksheets/sheet2.xml" Id="R0fc9f11520e344d8" /><Relationship Type="http://schemas.openxmlformats.org/officeDocument/2006/relationships/worksheet" Target="/xl/worksheets/sheet3.xml" Id="R9b0540bd8b1c462e" /><Relationship Type="http://schemas.openxmlformats.org/officeDocument/2006/relationships/worksheet" Target="/xl/worksheets/sheet4.xml" Id="Rcccb00bbfca64dce" /><Relationship Type="http://schemas.openxmlformats.org/officeDocument/2006/relationships/worksheet" Target="/xl/worksheets/sheet5.xml" Id="R5628f9dbe269453b" /><Relationship Type="http://schemas.openxmlformats.org/officeDocument/2006/relationships/worksheet" Target="/xl/worksheets/sheet6.xml" Id="R5e1b047c966c4465" /><Relationship Type="http://schemas.openxmlformats.org/officeDocument/2006/relationships/worksheet" Target="/xl/worksheets/sheet7.xml" Id="R4a6afe80955e412e" /><Relationship Type="http://schemas.openxmlformats.org/officeDocument/2006/relationships/worksheet" Target="/xl/worksheets/sheet8.xml" Id="Rd0f90fef5b8f4171" /><Relationship Type="http://schemas.openxmlformats.org/officeDocument/2006/relationships/worksheet" Target="/xl/worksheets/sheet9.xml" Id="Rf5df753c80f348b5" /><Relationship Type="http://schemas.openxmlformats.org/officeDocument/2006/relationships/worksheet" Target="/xl/worksheets/sheet10.xml" Id="Rad3da9011a1b4664" /><Relationship Type="http://schemas.openxmlformats.org/officeDocument/2006/relationships/worksheet" Target="/xl/worksheets/sheet11.xml" Id="R41e3f5866d4d41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a495d50b5e486b" /><Relationship Type="http://schemas.openxmlformats.org/officeDocument/2006/relationships/chart" Target="/xl/drawings/charts/chart2.xml" Id="Rd63072e2bb17469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1a4dfe325334f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Orders by Risk Level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Order count</c:v>
          </c:tx>
          <c:cat>
            <c:strRef>
              <c:f>'Dashboard'!$A$14:$A$17</c:f>
              <c:strCache>
                <c:ptCount val="0"/>
              </c:strCache>
            </c:strRef>
          </c:cat>
          <c:val>
            <c:numRef>
              <c:f>'Dashboard'!$B$14:$B$17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Units by Product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Order count</c:v>
          </c:tx>
          <c:cat>
            <c:strRef>
              <c:f>'Dashboard'!$A$21:$A$32</c:f>
              <c:strCache>
                <c:ptCount val="0"/>
              </c:strCache>
            </c:strRef>
          </c:cat>
          <c:val>
            <c:numRef>
              <c:f>'Dashboard'!$B$21:$B$32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Units</c:v>
          </c:tx>
          <c:cat>
            <c:strRef>
              <c:f>'Dashboard'!$A$21:$A$32</c:f>
              <c:strCache>
                <c:ptCount val="0"/>
              </c:strCache>
            </c:strRef>
          </c:cat>
          <c:val>
            <c:numRef>
              <c:f>'Dashboard'!$C$21:$C$32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Estimated Cost</c:v>
          </c:tx>
          <c:cat>
            <c:strRef>
              <c:f>'economic_layer'!$A$2:$A$13</c:f>
              <c:strCache>
                <c:ptCount val="0"/>
              </c:strCache>
            </c:strRef>
          </c:cat>
          <c:val>
            <c:numRef>
              <c:f>'economic_layer'!$R$2:$R$13</c:f>
              <c:numCache>
                <c:formatCode>€#,##0</c:formatCode>
                <c:ptCount val="0"/>
              </c:numCache>
            </c:numRef>
          </c:val>
        </c:ser>
        <c:ser>
          <c:idx val="1"/>
          <c:order val="1"/>
          <c:tx>
            <c:v>Order Revenue</c:v>
          </c:tx>
          <c:cat>
            <c:strRef>
              <c:f>'economic_layer'!$A$2:$A$13</c:f>
              <c:strCache>
                <c:ptCount val="0"/>
              </c:strCache>
            </c:strRef>
          </c:cat>
          <c:val>
            <c:numRef>
              <c:f>'economic_layer'!$U$2:$U$13</c:f>
              <c:numCache>
                <c:formatCode>€#,##0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a495d50b5e486b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3072e2bb17469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31</xdr:col>
      <xdr:colOff>0</xdr:colOff>
      <xdr:row>10</xdr:row>
      <xdr:rowOff>0</xdr:rowOff>
    </xdr:from>
    <xdr:to>
      <xdr:col>40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a4dfe325334f5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yle_MasterTable" displayName="Style_MasterTable" ref="A1:M33" headerRowCount="1">
  <x:tableColumns count="13">
    <x:tableColumn id="1" name="style_id"/>
    <x:tableColumn id="2" name="style_name"/>
    <x:tableColumn id="3" name="product_type"/>
    <x:tableColumn id="4" name="category"/>
    <x:tableColumn id="5" name="material_family"/>
    <x:tableColumn id="6" name="size_range"/>
    <x:tableColumn id="7" name="complexity_score"/>
    <x:tableColumn id="8" name="estimated_smv"/>
    <x:tableColumn id="9" name="tech_pack_status"/>
    <x:tableColumn id="10" name="Column10"/>
    <x:tableColumn id="11" name="Column11"/>
    <x:tableColumn id="12" name="Column12"/>
    <x:tableColumn id="13" name="Column13"/>
  </x:tableColumns>
  <x:tableStyleInfo name="TableStyleMedium2" showRowStripes="1"/>
</x:table>
</file>

<file path=xl/tables/table2.xml><?xml version="1.0" encoding="utf-8"?>
<x:table xmlns:x="http://schemas.openxmlformats.org/spreadsheetml/2006/main" id="2" name="OrdersTable" displayName="OrdersTable" ref="A1:S61" headerRowCount="1">
  <x:tableColumns count="19">
    <x:tableColumn id="1" name="order_id"/>
    <x:tableColumn id="2" name="client"/>
    <x:tableColumn id="3" name="style_id"/>
    <x:tableColumn id="4" name="product_type"/>
    <x:tableColumn id="5" name="quantity"/>
    <x:tableColumn id="6" name="size_range"/>
    <x:tableColumn id="7" name="start_date"/>
    <x:tableColumn id="8" name="deadline"/>
    <x:tableColumn id="9" name="ex_factory_date"/>
    <x:tableColumn id="10" name="assigned_lab"/>
    <x:tableColumn id="11" name="assigned_line"/>
    <x:tableColumn id="12" name="priority"/>
    <x:tableColumn id="13" name="status"/>
    <x:tableColumn id="14" name="progress_percentage"/>
    <x:tableColumn id="15" name="planned_smv"/>
    <x:tableColumn id="16" name="total_standard_minutes"/>
    <x:tableColumn id="17" name="capacity_days_needed"/>
    <x:tableColumn id="18" name="days_to_deadline"/>
    <x:tableColumn id="19" name="on_time_risk"/>
  </x:tableColumns>
  <x:tableStyleInfo name="TableStyleMedium2" showRowStripes="1"/>
</x:table>
</file>

<file path=xl/tables/table3.xml><?xml version="1.0" encoding="utf-8"?>
<x:table xmlns:x="http://schemas.openxmlformats.org/spreadsheetml/2006/main" id="3" name="Product_MatrixTable" displayName="Product_MatrixTable" ref="A1:V92" headerRowCount="1">
  <x:tableColumns count="22">
    <x:tableColumn id="1" name="product_type"/>
    <x:tableColumn id="2" name="phase_name"/>
    <x:tableColumn id="3" name="line_type"/>
    <x:tableColumn id="4" name="min_time_minutes"/>
    <x:tableColumn id="5" name="max_time_minutes"/>
    <x:tableColumn id="6" name="avg_time_minutes"/>
    <x:tableColumn id="7" name="setup_time_minutes"/>
    <x:tableColumn id="8" name="phase_order"/>
    <x:tableColumn id="9" name="dependency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</x:tableColumns>
  <x:tableStyleInfo name="TableStyleMedium2" showRowStripes="1"/>
</x:table>
</file>

<file path=xl/tables/table4.xml><?xml version="1.0" encoding="utf-8"?>
<x:table xmlns:x="http://schemas.openxmlformats.org/spreadsheetml/2006/main" id="4" name="Labs_FactoriesTable" displayName="Labs_FactoriesTable" ref="A1:S11" headerRowCount="1">
  <x:tableColumns count="19">
    <x:tableColumn id="1" name="lab_id"/>
    <x:tableColumn id="2" name="lab_name"/>
    <x:tableColumn id="3" name="region"/>
    <x:tableColumn id="4" name="city"/>
    <x:tableColumn id="5" name="number_of_workers"/>
    <x:tableColumn id="6" name="working_hours_per_day"/>
    <x:tableColumn id="7" name="working_days_per_week"/>
    <x:tableColumn id="8" name="default_efficiency"/>
    <x:tableColumn id="9" name="machine_uptime"/>
    <x:tableColumn id="10" name="max_weekly_hours"/>
    <x:tableColumn id="11" name="overtime_allowed"/>
    <x:tableColumn id="12" name="risk_level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</x:tableColumns>
  <x:tableStyleInfo name="TableStyleMedium2" showRowStripes="1"/>
</x:table>
</file>

<file path=xl/tables/table5.xml><?xml version="1.0" encoding="utf-8"?>
<x:table xmlns:x="http://schemas.openxmlformats.org/spreadsheetml/2006/main" id="5" name="Line_CapacityTable" displayName="Line_CapacityTable" ref="A1:Y47" headerRowCount="1">
  <x:tableColumns count="25">
    <x:tableColumn id="1" name="lab_id"/>
    <x:tableColumn id="2" name="line_id"/>
    <x:tableColumn id="3" name="line_type"/>
    <x:tableColumn id="4" name="primary_product"/>
    <x:tableColumn id="5" name="operators"/>
    <x:tableColumn id="6" name="machines"/>
    <x:tableColumn id="7" name="shift_hours"/>
    <x:tableColumn id="8" name="days_per_week"/>
    <x:tableColumn id="9" name="efficiency"/>
    <x:tableColumn id="10" name="uptime"/>
    <x:tableColumn id="11" name="overtime_allowed"/>
    <x:tableColumn id="12" name="weekly_capacity_hours"/>
    <x:tableColumn id="13" name="net_minutes_day"/>
    <x:tableColumn id="14" name="available_smv_minutes_day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</x:tableColumns>
  <x:tableStyleInfo name="TableStyleMedium2" showRowStripes="1"/>
</x:table>
</file>

<file path=xl/tables/table6.xml><?xml version="1.0" encoding="utf-8"?>
<x:table xmlns:x="http://schemas.openxmlformats.org/spreadsheetml/2006/main" id="6" name="Phase_CapacityTable" displayName="Phase_CapacityTable" ref="A1:Y374" headerRowCount="1">
  <x:tableColumns count="25">
    <x:tableColumn id="1" name="lab_id"/>
    <x:tableColumn id="2" name="phase_name"/>
    <x:tableColumn id="3" name="line_type"/>
    <x:tableColumn id="4" name="workers_total"/>
    <x:tableColumn id="5" name="workers_assigned"/>
    <x:tableColumn id="6" name="machines_total"/>
    <x:tableColumn id="7" name="available_minutes_per_day"/>
    <x:tableColumn id="8" name="efficiency"/>
    <x:tableColumn id="9" name="uptime"/>
    <x:tableColumn id="10" name="bottleneck_flag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</x:tableColumns>
  <x:tableStyleInfo name="TableStyleMedium2" showRowStripes="1"/>
</x:table>
</file>

<file path=xl/tables/table7.xml><?xml version="1.0" encoding="utf-8"?>
<x:table xmlns:x="http://schemas.openxmlformats.org/spreadsheetml/2006/main" id="7" name="Tna_CalendarTable" displayName="Tna_CalendarTable" ref="A1:W641" headerRowCount="1">
  <x:tableColumns count="23">
    <x:tableColumn id="1" name="tna_id"/>
    <x:tableColumn id="2" name="order_id"/>
    <x:tableColumn id="3" name="milestone"/>
    <x:tableColumn id="4" name="planned_date"/>
    <x:tableColumn id="5" name="actual_date"/>
    <x:tableColumn id="6" name="delay_days"/>
    <x:tableColumn id="7" name="status"/>
    <x:tableColumn id="8" name="critical_path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</x:tableColumns>
  <x:tableStyleInfo name="TableStyleMedium2" showRowStripes="1"/>
</x:table>
</file>

<file path=xl/tables/table8.xml><?xml version="1.0" encoding="utf-8"?>
<x:table xmlns:x="http://schemas.openxmlformats.org/spreadsheetml/2006/main" id="8" name="Risk_RegisterTable" displayName="Risk_RegisterTable" ref="A1:Z7" headerRowCount="1">
  <x:tableColumns count="26">
    <x:tableColumn id="1" name="risk_id"/>
    <x:tableColumn id="2" name="risk_area"/>
    <x:tableColumn id="3" name="description"/>
    <x:tableColumn id="4" name="probability"/>
    <x:tableColumn id="5" name="impact"/>
    <x:tableColumn id="6" name="risk_score"/>
    <x:tableColumn id="7" name="mitigation"/>
    <x:tableColumn id="8" name="owner"/>
    <x:tableColumn id="9" name="linked_sheet"/>
    <x:tableColumn id="10" name="status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</x:tableColumns>
  <x:tableStyleInfo name="TableStyleMedium2" showRowStripes="1"/>
</x:table>
</file>

<file path=xl/tables/table9.xml><?xml version="1.0" encoding="utf-8"?>
<x:table xmlns:x="http://schemas.openxmlformats.org/spreadsheetml/2006/main" id="9" name="Data_DictionaryTable" displayName="Data_DictionaryTable" ref="A1:Z10" headerRowCount="1">
  <x:tableColumns count="26">
    <x:tableColumn id="1" name="sheet"/>
    <x:tableColumn id="2" name="field"/>
    <x:tableColumn id="3" name="description"/>
    <x:tableColumn id="4" name="type"/>
    <x:tableColumn id="5" name="logic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</x:tableColumns>
  <x:tableStyleInfo name="TableStyleMedium2" showRowStripes="1"/>
</x:table>
</file>

<file path=xl/tables/table10.xml><?xml version="1.0" encoding="utf-8"?>
<x:table xmlns:x="http://schemas.openxmlformats.org/spreadsheetml/2006/main" id="10" name="EconomicLayerTable" displayName="EconomicLayerTable" ref="A1:AD61" headerRowCount="1">
  <x:tableColumns count="30">
    <x:tableColumn id="1" name="order_id"/>
    <x:tableColumn id="2" name="client"/>
    <x:tableColumn id="3" name="style_id"/>
    <x:tableColumn id="4" name="product_type"/>
    <x:tableColumn id="5" name="assigned_lab"/>
    <x:tableColumn id="6" name="assigned_line"/>
    <x:tableColumn id="7" name="quantity"/>
    <x:tableColumn id="8" name="planned_smv"/>
    <x:tableColumn id="9" name="required_hours"/>
    <x:tableColumn id="10" name="standard_hourly_cost_eur"/>
    <x:tableColumn id="11" name="standard_labour_cost_eur"/>
    <x:tableColumn id="12" name="setup_cost_eur"/>
    <x:tableColumn id="13" name="overhead_pct"/>
    <x:tableColumn id="14" name="overhead_cost_eur"/>
    <x:tableColumn id="15" name="overtime_multiplier"/>
    <x:tableColumn id="16" name="overtime_hours_if_deadline_compressed"/>
    <x:tableColumn id="17" name="overtime_cost_eur"/>
    <x:tableColumn id="18" name="total_estimated_cost_eur"/>
    <x:tableColumn id="19" name="cost_per_garment_eur"/>
    <x:tableColumn id="20" name="client_price_per_garment_eur"/>
    <x:tableColumn id="21" name="order_revenue_eur"/>
    <x:tableColumn id="22" name="estimated_margin_eur"/>
    <x:tableColumn id="23" name="estimated_margin_pct"/>
    <x:tableColumn id="24" name="cost_status"/>
    <x:tableColumn id="25" name="alternative_lab"/>
    <x:tableColumn id="26" name="alternative_hourly_cost_eur"/>
    <x:tableColumn id="27" name="alternative_estimated_cost_eur"/>
    <x:tableColumn id="28" name="cost_delta_if_reallocated_eur"/>
    <x:tableColumn id="29" name="economic_recommendation"/>
    <x:tableColumn id="3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f8a838ee8b47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97ccf6d15b46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53ca0588204e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bdc3b7e16c47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cb493af5104d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d48a89734948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0c265c450a4d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9b0e407abe44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cc099c05f447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b4c72e6acfd41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831cbf3389a94dd7" /><Relationship Type="http://schemas.openxmlformats.org/officeDocument/2006/relationships/table" Target="/xl/tables/table10.xml" Id="Rc5306aa7aa6d4452" /></Relationships>
</file>

<file path=xl/worksheets/sheet1.xml><?xml version="1.0" encoding="utf-8"?>
<x:worksheet xmlns:x="http://schemas.openxmlformats.org/spreadsheetml/2006/main">
  <x:sheetFormatPr defaultRowHeight="15"/>
  <x:cols>
    <x:col min="1" max="1" width="40.5099983215332" hidden="0" customWidth="1"/>
    <x:col min="2" max="2" width="46.029998779296875" hidden="0" customWidth="1"/>
    <x:col min="3" max="3" width="4.170000076293945" hidden="0" customWidth="1"/>
  </x:cols>
  <x:sheetData>
    <x:row r="1" ht="30" customHeight="1">
      <x:c r="A1" s="5" t="str">
        <x:v>Clothing Production Planning Database</x:v>
      </x:c>
      <x:c r="B1" s="5"/>
      <x:c r="C1" s="5"/>
    </x:row>
    <x:row r="2">
      <x:c r="A2" t="str">
        <x:v>Last refreshed</x:v>
      </x:c>
      <x:c r="B2" s="39" t="n">
        <x:v>46169</x:v>
      </x:c>
      <x:c r="C2"/>
    </x:row>
    <x:row r="3">
      <x:c r="A3" t="str">
        <x:v>Input source</x:v>
      </x:c>
      <x:c r="B3" t="str">
        <x:v>Feasible production scenario - balanced capacity planning</x:v>
      </x:c>
      <x:c r="C3"/>
    </x:row>
    <x:row r="4">
      <x:c r="A4"/>
      <x:c r="B4"/>
      <x:c r="C4"/>
    </x:row>
    <x:row r="5">
      <x:c r="A5" s="12" t="str">
        <x:v>KPI</x:v>
      </x:c>
      <x:c r="B5" s="12" t="str">
        <x:v>Value</x:v>
      </x:c>
      <x:c r="C5"/>
    </x:row>
    <x:row r="6">
      <x:c r="A6" t="str">
        <x:v>Total orders</x:v>
      </x:c>
      <x:c r="B6" s="18" t="n">
        <x:f>COUNTA(orders!$A$2:$A$61)</x:f>
        <x:v>60</x:v>
      </x:c>
      <x:c r="C6"/>
    </x:row>
    <x:row r="7">
      <x:c r="A7" t="str">
        <x:v>Total units</x:v>
      </x:c>
      <x:c r="B7" s="18" t="n">
        <x:f>SUM(orders!$E$2:$E$61)</x:f>
        <x:v>32680</x:v>
      </x:c>
      <x:c r="C7"/>
    </x:row>
    <x:row r="8">
      <x:c r="A8" t="str">
        <x:v>Average progress</x:v>
      </x:c>
      <x:c r="B8" s="40" t="n">
        <x:f>AVERAGE(orders!$N$2:$N$61)</x:f>
        <x:v>0.13799999999999993</x:v>
      </x:c>
      <x:c r="C8"/>
    </x:row>
    <x:row r="9">
      <x:c r="A9" t="str">
        <x:v>High/overdue risk orders</x:v>
      </x:c>
      <x:c r="B9" s="18" t="n">
        <x:f>COUNTIF(orders!$S$2:$S$61,"HIGH")+COUNTIF(orders!$S$2:$S$61,"OVERDUE")</x:f>
        <x:v>0</x:v>
      </x:c>
      <x:c r="C9"/>
    </x:row>
    <x:row r="10">
      <x:c r="A10" t="str">
        <x:v>Open TNA milestones</x:v>
      </x:c>
      <x:c r="B10" s="18" t="n">
        <x:f>COUNTIF(TNA_calendar!$G$2:$G$641,"Open")</x:f>
        <x:v>583</x:v>
      </x:c>
      <x:c r="C10"/>
    </x:row>
    <x:row r="11">
      <x:c r="A11" t="str">
        <x:v>Potential phase bottlenecks</x:v>
      </x:c>
      <x:c r="B11" s="18" t="n">
        <x:f>COUNTIF(phase_capacity!$J$2:$J$374,"&lt;&gt;OK")</x:f>
        <x:v>0</x:v>
      </x:c>
      <x:c r="C11"/>
    </x:row>
    <x:row r="12">
      <x:c r="A12"/>
      <x:c r="B12"/>
      <x:c r="C12"/>
    </x:row>
    <x:row r="13">
      <x:c r="A13" s="12" t="str">
        <x:v>Risk level</x:v>
      </x:c>
      <x:c r="B13" s="12" t="str">
        <x:v>Order count</x:v>
      </x:c>
      <x:c r="C13"/>
    </x:row>
    <x:row r="14">
      <x:c r="A14" t="str">
        <x:v>LOW</x:v>
      </x:c>
      <x:c r="B14" t="n">
        <x:f>COUNTIF(orders!$S$2:$S$61,A14)</x:f>
        <x:v>60</x:v>
      </x:c>
      <x:c r="C14"/>
    </x:row>
    <x:row r="15">
      <x:c r="A15" t="str">
        <x:v>MEDIUM</x:v>
      </x:c>
      <x:c r="B15" t="n">
        <x:f>COUNTIF(orders!$S$2:$S$61,A15)</x:f>
        <x:v>0</x:v>
      </x:c>
      <x:c r="C15"/>
    </x:row>
    <x:row r="16">
      <x:c r="A16" t="str">
        <x:v>HIGH</x:v>
      </x:c>
      <x:c r="B16" t="n">
        <x:f>COUNTIF(orders!$S$2:$S$61,A16)</x:f>
        <x:v>0</x:v>
      </x:c>
      <x:c r="C16"/>
    </x:row>
    <x:row r="17">
      <x:c r="A17" t="str">
        <x:v>OVERDUE</x:v>
      </x:c>
      <x:c r="B17" t="n">
        <x:f>COUNTIF(orders!$S$2:$S$61,A17)</x:f>
        <x:v>0</x:v>
      </x:c>
      <x:c r="C17"/>
    </x:row>
    <x:row r="18">
      <x:c r="A18"/>
      <x:c r="B18"/>
      <x:c r="C18"/>
    </x:row>
    <x:row r="19">
      <x:c r="A19"/>
      <x:c r="B19"/>
      <x:c r="C19"/>
    </x:row>
    <x:row r="20">
      <x:c r="A20" s="12" t="str">
        <x:v>Product type</x:v>
      </x:c>
      <x:c r="B20" s="12" t="str">
        <x:v>Order count</x:v>
      </x:c>
      <x:c r="C20" s="12" t="str">
        <x:v>Units</x:v>
      </x:c>
    </x:row>
    <x:row r="21">
      <x:c r="A21" t="str">
        <x:v>Cappotto</x:v>
      </x:c>
      <x:c r="B21" t="n">
        <x:f>COUNTIF(orders!$D$2:$D$61,A21)</x:f>
        <x:v>6</x:v>
      </x:c>
      <x:c r="C21" t="n">
        <x:f>SUMIF(orders!$D$2:$D$61,A21,orders!$E$2:$E$61)</x:f>
        <x:v>890</x:v>
      </x:c>
    </x:row>
    <x:row r="22">
      <x:c r="A22" t="str">
        <x:v>Gonna</x:v>
      </x:c>
      <x:c r="B22" t="n">
        <x:f>COUNTIF(orders!$D$2:$D$61,A22)</x:f>
        <x:v>4</x:v>
      </x:c>
      <x:c r="C22" t="n">
        <x:f>SUMIF(orders!$D$2:$D$61,A22,orders!$E$2:$E$61)</x:f>
        <x:v>2240</x:v>
      </x:c>
    </x:row>
    <x:row r="23">
      <x:c r="A23" t="str">
        <x:v>Camicia</x:v>
      </x:c>
      <x:c r="B23" t="n">
        <x:f>COUNTIF(orders!$D$2:$D$61,A23)</x:f>
        <x:v>3</x:v>
      </x:c>
      <x:c r="C23" t="n">
        <x:f>SUMIF(orders!$D$2:$D$61,A23,orders!$E$2:$E$61)</x:f>
        <x:v>2280</x:v>
      </x:c>
    </x:row>
    <x:row r="24">
      <x:c r="A24" t="str">
        <x:v>Abito</x:v>
      </x:c>
      <x:c r="B24" t="n">
        <x:f>COUNTIF(orders!$D$2:$D$61,A24)</x:f>
        <x:v>5</x:v>
      </x:c>
      <x:c r="C24" t="n">
        <x:f>SUMIF(orders!$D$2:$D$61,A24,orders!$E$2:$E$61)</x:f>
        <x:v>2160</x:v>
      </x:c>
    </x:row>
    <x:row r="25">
      <x:c r="A25" t="str">
        <x:v>Jeans</x:v>
      </x:c>
      <x:c r="B25" t="n">
        <x:f>COUNTIF(orders!$D$2:$D$61,A25)</x:f>
        <x:v>10</x:v>
      </x:c>
      <x:c r="C25" t="n">
        <x:f>SUMIF(orders!$D$2:$D$61,A25,orders!$E$2:$E$61)</x:f>
        <x:v>8980</x:v>
      </x:c>
    </x:row>
    <x:row r="26">
      <x:c r="A26" t="str">
        <x:v>T-shirt</x:v>
      </x:c>
      <x:c r="B26" t="n">
        <x:f>COUNTIF(orders!$D$2:$D$61,A26)</x:f>
        <x:v>4</x:v>
      </x:c>
      <x:c r="C26" t="n">
        <x:f>SUMIF(orders!$D$2:$D$61,A26,orders!$E$2:$E$61)</x:f>
        <x:v>4330</x:v>
      </x:c>
    </x:row>
    <x:row r="27">
      <x:c r="A27" t="str">
        <x:v>Pantalone</x:v>
      </x:c>
      <x:c r="B27" t="n">
        <x:f>COUNTIF(orders!$D$2:$D$61,A27)</x:f>
        <x:v>3</x:v>
      </x:c>
      <x:c r="C27" t="n">
        <x:f>SUMIF(orders!$D$2:$D$61,A27,orders!$E$2:$E$61)</x:f>
        <x:v>1820</x:v>
      </x:c>
    </x:row>
    <x:row r="28">
      <x:c r="A28" t="str">
        <x:v>Blazer</x:v>
      </x:c>
      <x:c r="B28" t="n">
        <x:f>COUNTIF(orders!$D$2:$D$61,A28)</x:f>
        <x:v>4</x:v>
      </x:c>
      <x:c r="C28" t="n">
        <x:f>SUMIF(orders!$D$2:$D$61,A28,orders!$E$2:$E$61)</x:f>
        <x:v>520</x:v>
      </x:c>
    </x:row>
    <x:row r="29">
      <x:c r="A29" t="str">
        <x:v>Felpa</x:v>
      </x:c>
      <x:c r="B29" t="n">
        <x:f>COUNTIF(orders!$D$2:$D$61,A29)</x:f>
        <x:v>1</x:v>
      </x:c>
      <x:c r="C29" t="n">
        <x:f>SUMIF(orders!$D$2:$D$61,A29,orders!$E$2:$E$61)</x:f>
        <x:v>900</x:v>
      </x:c>
    </x:row>
    <x:row r="30">
      <x:c r="A30" t="str">
        <x:v>Top</x:v>
      </x:c>
      <x:c r="B30" t="n">
        <x:f>COUNTIF(orders!$D$2:$D$61,A30)</x:f>
        <x:v>5</x:v>
      </x:c>
      <x:c r="C30" t="n">
        <x:f>SUMIF(orders!$D$2:$D$61,A30,orders!$E$2:$E$61)</x:f>
        <x:v>3680</x:v>
      </x:c>
    </x:row>
    <x:row r="31">
      <x:c r="A31" t="str">
        <x:v>Kimono</x:v>
      </x:c>
      <x:c r="B31" t="n">
        <x:f>COUNTIF(orders!$D$2:$D$61,A31)</x:f>
        <x:v>3</x:v>
      </x:c>
      <x:c r="C31" t="n">
        <x:f>SUMIF(orders!$D$2:$D$61,A31,orders!$E$2:$E$61)</x:f>
        <x:v>1190</x:v>
      </x:c>
    </x:row>
    <x:row r="32">
      <x:c r="A32" t="str">
        <x:v>Body</x:v>
      </x:c>
      <x:c r="B32" t="n">
        <x:f>COUNTIF(orders!$D$2:$D$61,A32)</x:f>
        <x:v>3</x:v>
      </x:c>
      <x:c r="C32" t="n">
        <x:f>SUMIF(orders!$D$2:$D$61,A32,orders!$E$2:$E$61)</x:f>
        <x:v>1040</x:v>
      </x:c>
    </x:row>
    <x:row r="34">
      <x:c r="A34" s="83" t="str">
        <x:v>Economic layer added</x:v>
      </x:c>
    </x:row>
    <x:row r="35">
      <x:c r="A35" s="85" t="str">
        <x:v>Total estimated cost</x:v>
      </x:c>
      <x:c r="B35" s="86" t="n">
        <x:f>economic_layer!AG2</x:f>
        <x:v>384537.3116666665</x:v>
      </x:c>
      <x:c r="C35" t="str"/>
    </x:row>
    <x:row r="36">
      <x:c r="A36" s="85" t="str">
        <x:v>Total order revenue</x:v>
      </x:c>
      <x:c r="B36" s="86" t="n">
        <x:f>economic_layer!AG3</x:f>
        <x:v>966730</x:v>
      </x:c>
      <x:c r="C36" t="str"/>
    </x:row>
    <x:row r="37">
      <x:c r="A37" s="85" t="str">
        <x:v>Estimated gross margin</x:v>
      </x:c>
      <x:c r="B37" s="86" t="n">
        <x:f>economic_layer!AG4</x:f>
        <x:v>582192.6883333336</x:v>
      </x:c>
      <x:c r="C37" t="str"/>
    </x:row>
    <x:row r="38">
      <x:c r="A38" s="85" t="str">
        <x:v>Average margin %</x:v>
      </x:c>
      <x:c r="B38" s="16" t="n">
        <x:f>economic_layer!AG5</x:f>
        <x:v>0.6022288419034617</x:v>
      </x:c>
      <x:c r="C38" t="str"/>
    </x:row>
    <x:row r="39">
      <x:c r="A39" s="85" t="str">
        <x:v>Orders requiring margin attention</x:v>
      </x:c>
      <x:c r="B39" s="18" t="n">
        <x:f>economic_layer!AG7+economic_layer!AG8</x:f>
        <x:v>0</x:v>
      </x:c>
      <x:c r="C39" t="str"/>
    </x:row>
    <x:row r="40">
      <x:c r="A40" s="85" t="str">
        <x:v>Potential reallocation saving</x:v>
      </x:c>
      <x:c r="B40" s="86" t="n">
        <x:f>economic_layer!AG9</x:f>
        <x:v>23786.208333333332</x:v>
      </x:c>
      <x:c r="C40" t="str"/>
    </x:row>
  </x:sheetData>
  <x:mergeCells>
    <x:mergeCell ref="A34:C34"/>
  </x:mergeCells>
  <x:pageMargins left="0.7" right="0.7" top="0.75" bottom="0.75" header="0.3" footer="0.3"/>
  <x:drawing xmlns:r="http://schemas.openxmlformats.org/officeDocument/2006/relationships" r:id="Ra5f8a838ee8b47af"/>
</x:worksheet>
</file>

<file path=xl/worksheets/sheet2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17.899999618530273" hidden="0" customWidth="1"/>
    <x:col min="3" max="3" width="13.729999542236328" hidden="0" customWidth="1"/>
    <x:col min="4" max="4" width="10.5" hidden="0" customWidth="1"/>
    <x:col min="5" max="5" width="16.959999084472656" hidden="0" customWidth="1"/>
    <x:col min="6" max="6" width="11.170000076293945" hidden="0" customWidth="1"/>
    <x:col min="7" max="7" width="16.959999084472656" hidden="0" customWidth="1"/>
    <x:col min="8" max="8" width="15.069999694824219" hidden="0" customWidth="1"/>
    <x:col min="9" max="9" width="16.81999969482422" hidden="0" customWidth="1"/>
  </x:cols>
  <x:sheetData>
    <x:row r="1" ht="28" customHeight="1">
      <x:c r="A1" s="26" t="str">
        <x:v>style_id</x:v>
      </x:c>
      <x:c r="B1" s="26" t="str">
        <x:v>style_name</x:v>
      </x:c>
      <x:c r="C1" s="26" t="str">
        <x:v>product_type</x:v>
      </x:c>
      <x:c r="D1" s="26" t="str">
        <x:v>category</x:v>
      </x:c>
      <x:c r="E1" s="26" t="str">
        <x:v>material_family</x:v>
      </x:c>
      <x:c r="F1" s="26" t="str">
        <x:v>size_range</x:v>
      </x:c>
      <x:c r="G1" s="26" t="str">
        <x:v>complexity_score</x:v>
      </x:c>
      <x:c r="H1" s="26" t="str">
        <x:v>estimated_smv</x:v>
      </x:c>
      <x:c r="I1" s="26" t="str">
        <x:v>tech_pack_status</x:v>
      </x:c>
      <x:c r="J1" s="26"/>
      <x:c r="K1" s="26"/>
      <x:c r="L1" s="26"/>
      <x:c r="M1" s="26"/>
    </x:row>
    <x:row r="2">
      <x:c r="A2" s="27" t="str">
        <x:v>STY-001-1</x:v>
      </x:c>
      <x:c r="B2" s="27" t="str">
        <x:v>Cappotto Navy</x:v>
      </x:c>
      <x:c r="C2" s="27" t="str">
        <x:v>Cappotto</x:v>
      </x:c>
      <x:c r="D2" s="27" t="str">
        <x:v>Outerwear</x:v>
      </x:c>
      <x:c r="E2" s="27" t="str">
        <x:v>wool blend</x:v>
      </x:c>
      <x:c r="F2" s="27" t="str">
        <x:v>34-44</x:v>
      </x:c>
      <x:c r="G2" s="34" t="n">
        <x:v>5</x:v>
      </x:c>
      <x:c r="H2" s="34" t="n">
        <x:v>80</x:v>
      </x:c>
      <x:c r="I2" s="27" t="str">
        <x:v>Approved</x:v>
      </x:c>
      <x:c r="J2" s="27"/>
      <x:c r="K2" s="27"/>
      <x:c r="L2" s="27"/>
      <x:c r="M2" s="27"/>
    </x:row>
    <x:row r="3">
      <x:c r="A3" s="27" t="str">
        <x:v>STY-001-2</x:v>
      </x:c>
      <x:c r="B3" s="27" t="str">
        <x:v>Cappotto Chocolate</x:v>
      </x:c>
      <x:c r="C3" s="27" t="str">
        <x:v>Cappotto</x:v>
      </x:c>
      <x:c r="D3" s="27" t="str">
        <x:v>Outerwear</x:v>
      </x:c>
      <x:c r="E3" s="27" t="str">
        <x:v>wool blend</x:v>
      </x:c>
      <x:c r="F3" s="27" t="str">
        <x:v>1-5</x:v>
      </x:c>
      <x:c r="G3" s="34" t="n">
        <x:v>5</x:v>
      </x:c>
      <x:c r="H3" s="34" t="n">
        <x:v>79</x:v>
      </x:c>
      <x:c r="I3" s="27" t="str">
        <x:v>Approved</x:v>
      </x:c>
      <x:c r="J3" s="27"/>
      <x:c r="K3" s="27"/>
      <x:c r="L3" s="27"/>
      <x:c r="M3" s="27"/>
    </x:row>
    <x:row r="4">
      <x:c r="A4" s="27" t="str">
        <x:v>STY-002-1</x:v>
      </x:c>
      <x:c r="B4" s="27" t="str">
        <x:v>Gonna Chocolate</x:v>
      </x:c>
      <x:c r="C4" s="27" t="str">
        <x:v>Gonna</x:v>
      </x:c>
      <x:c r="D4" s="27" t="str">
        <x:v>Bottoms</x:v>
      </x:c>
      <x:c r="E4" s="27" t="str">
        <x:v>viscose twill</x:v>
      </x:c>
      <x:c r="F4" s="27" t="str">
        <x:v>IT38-IT48</x:v>
      </x:c>
      <x:c r="G4" s="34" t="n">
        <x:v>2</x:v>
      </x:c>
      <x:c r="H4" s="34" t="n">
        <x:v>18</x:v>
      </x:c>
      <x:c r="I4" s="27" t="str">
        <x:v>Approved</x:v>
      </x:c>
      <x:c r="J4" s="27"/>
      <x:c r="K4" s="27"/>
      <x:c r="L4" s="27"/>
      <x:c r="M4" s="27"/>
    </x:row>
    <x:row r="5">
      <x:c r="A5" s="27" t="str">
        <x:v>STY-002-2</x:v>
      </x:c>
      <x:c r="B5" s="27" t="str">
        <x:v>Gonna Sage</x:v>
      </x:c>
      <x:c r="C5" s="27" t="str">
        <x:v>Gonna</x:v>
      </x:c>
      <x:c r="D5" s="27" t="str">
        <x:v>Bottoms</x:v>
      </x:c>
      <x:c r="E5" s="27" t="str">
        <x:v>viscose twill</x:v>
      </x:c>
      <x:c r="F5" s="27" t="str">
        <x:v>XS-XL</x:v>
      </x:c>
      <x:c r="G5" s="34" t="n">
        <x:v>2</x:v>
      </x:c>
      <x:c r="H5" s="34" t="n">
        <x:v>23</x:v>
      </x:c>
      <x:c r="I5" s="27" t="str">
        <x:v>In review</x:v>
      </x:c>
      <x:c r="J5" s="27"/>
      <x:c r="K5" s="27"/>
      <x:c r="L5" s="27"/>
      <x:c r="M5" s="27"/>
    </x:row>
    <x:row r="6">
      <x:c r="A6" s="27" t="str">
        <x:v>STY-003-1</x:v>
      </x:c>
      <x:c r="B6" s="27" t="str">
        <x:v>Camicia Sage</x:v>
      </x:c>
      <x:c r="C6" s="27" t="str">
        <x:v>Camicia</x:v>
      </x:c>
      <x:c r="D6" s="27" t="str">
        <x:v>Tops/Dresses</x:v>
      </x:c>
      <x:c r="E6" s="27" t="str">
        <x:v>organic cotton poplin</x:v>
      </x:c>
      <x:c r="F6" s="27" t="str">
        <x:v>XS-XL</x:v>
      </x:c>
      <x:c r="G6" s="34" t="n">
        <x:v>3</x:v>
      </x:c>
      <x:c r="H6" s="34" t="n">
        <x:v>28</x:v>
      </x:c>
      <x:c r="I6" s="27" t="str">
        <x:v>Approved</x:v>
      </x:c>
      <x:c r="J6" s="27"/>
      <x:c r="K6" s="27"/>
      <x:c r="L6" s="27"/>
      <x:c r="M6" s="27"/>
    </x:row>
    <x:row r="7">
      <x:c r="A7" s="27" t="str">
        <x:v>STY-003-2</x:v>
      </x:c>
      <x:c r="B7" s="27" t="str">
        <x:v>Camicia Burgundy</x:v>
      </x:c>
      <x:c r="C7" s="27" t="str">
        <x:v>Camicia</x:v>
      </x:c>
      <x:c r="D7" s="27" t="str">
        <x:v>Tops/Dresses</x:v>
      </x:c>
      <x:c r="E7" s="27" t="str">
        <x:v>organic cotton poplin</x:v>
      </x:c>
      <x:c r="F7" s="27" t="str">
        <x:v>IT38-IT48</x:v>
      </x:c>
      <x:c r="G7" s="34" t="n">
        <x:v>3</x:v>
      </x:c>
      <x:c r="H7" s="34" t="n">
        <x:v>35</x:v>
      </x:c>
      <x:c r="I7" s="27" t="str">
        <x:v>Approved</x:v>
      </x:c>
      <x:c r="J7" s="27"/>
      <x:c r="K7" s="27"/>
      <x:c r="L7" s="27"/>
      <x:c r="M7" s="27"/>
    </x:row>
    <x:row r="8">
      <x:c r="A8" s="27" t="str">
        <x:v>STY-004-1</x:v>
      </x:c>
      <x:c r="B8" s="27" t="str">
        <x:v>Abito Burgundy</x:v>
      </x:c>
      <x:c r="C8" s="27" t="str">
        <x:v>Abito</x:v>
      </x:c>
      <x:c r="D8" s="27" t="str">
        <x:v>Tops/Dresses</x:v>
      </x:c>
      <x:c r="E8" s="27" t="str">
        <x:v>tencel satin</x:v>
      </x:c>
      <x:c r="F8" s="27" t="str">
        <x:v>36-46</x:v>
      </x:c>
      <x:c r="G8" s="34" t="n">
        <x:v>4</x:v>
      </x:c>
      <x:c r="H8" s="34" t="n">
        <x:v>50</x:v>
      </x:c>
      <x:c r="I8" s="27" t="str">
        <x:v>Approved</x:v>
      </x:c>
      <x:c r="J8" s="27"/>
      <x:c r="K8" s="27"/>
      <x:c r="L8" s="27"/>
      <x:c r="M8" s="27"/>
    </x:row>
    <x:row r="9">
      <x:c r="A9" s="27" t="str">
        <x:v>STY-004-2</x:v>
      </x:c>
      <x:c r="B9" s="27" t="str">
        <x:v>Abito Powder Blue</x:v>
      </x:c>
      <x:c r="C9" s="27" t="str">
        <x:v>Abito</x:v>
      </x:c>
      <x:c r="D9" s="27" t="str">
        <x:v>Tops/Dresses</x:v>
      </x:c>
      <x:c r="E9" s="27" t="str">
        <x:v>tencel satin</x:v>
      </x:c>
      <x:c r="F9" s="27" t="str">
        <x:v>S-XXL</x:v>
      </x:c>
      <x:c r="G9" s="34" t="n">
        <x:v>4</x:v>
      </x:c>
      <x:c r="H9" s="34" t="n">
        <x:v>44</x:v>
      </x:c>
      <x:c r="I9" s="27" t="str">
        <x:v>In review</x:v>
      </x:c>
      <x:c r="J9" s="27"/>
      <x:c r="K9" s="27"/>
      <x:c r="L9" s="27"/>
      <x:c r="M9" s="27"/>
    </x:row>
    <x:row r="10">
      <x:c r="A10" s="27" t="str">
        <x:v>STY-005-1</x:v>
      </x:c>
      <x:c r="B10" s="27" t="str">
        <x:v>Jeans Powder Blue</x:v>
      </x:c>
      <x:c r="C10" s="27" t="str">
        <x:v>Jeans</x:v>
      </x:c>
      <x:c r="D10" s="27" t="str">
        <x:v>Bottoms</x:v>
      </x:c>
      <x:c r="E10" s="27" t="str">
        <x:v>organic denim</x:v>
      </x:c>
      <x:c r="F10" s="27" t="str">
        <x:v>IT38-IT48</x:v>
      </x:c>
      <x:c r="G10" s="34" t="n">
        <x:v>4</x:v>
      </x:c>
      <x:c r="H10" s="34" t="n">
        <x:v>35</x:v>
      </x:c>
      <x:c r="I10" s="27" t="str">
        <x:v>Approved</x:v>
      </x:c>
      <x:c r="J10" s="27"/>
      <x:c r="K10" s="27"/>
      <x:c r="L10" s="27"/>
      <x:c r="M10" s="27"/>
    </x:row>
    <x:row r="11">
      <x:c r="A11" s="27" t="str">
        <x:v>STY-005-2</x:v>
      </x:c>
      <x:c r="B11" s="27" t="str">
        <x:v>Jeans Charcoal</x:v>
      </x:c>
      <x:c r="C11" s="27" t="str">
        <x:v>Jeans</x:v>
      </x:c>
      <x:c r="D11" s="27" t="str">
        <x:v>Bottoms</x:v>
      </x:c>
      <x:c r="E11" s="27" t="str">
        <x:v>organic denim</x:v>
      </x:c>
      <x:c r="F11" s="27" t="str">
        <x:v>36-46</x:v>
      </x:c>
      <x:c r="G11" s="34" t="n">
        <x:v>4</x:v>
      </x:c>
      <x:c r="H11" s="34" t="n">
        <x:v>35</x:v>
      </x:c>
      <x:c r="I11" s="27" t="str">
        <x:v>Approved</x:v>
      </x:c>
      <x:c r="J11" s="27"/>
      <x:c r="K11" s="27"/>
      <x:c r="L11" s="27"/>
      <x:c r="M11" s="27"/>
    </x:row>
    <x:row r="12">
      <x:c r="A12" s="27" t="str">
        <x:v>STY-006-1</x:v>
      </x:c>
      <x:c r="B12" s="27" t="str">
        <x:v>T-shirt Charcoal</x:v>
      </x:c>
      <x:c r="C12" s="27" t="str">
        <x:v>T-shirt</x:v>
      </x:c>
      <x:c r="D12" s="27" t="str">
        <x:v>Tops/Dresses</x:v>
      </x:c>
      <x:c r="E12" s="27" t="str">
        <x:v>organic cotton jersey</x:v>
      </x:c>
      <x:c r="F12" s="27" t="str">
        <x:v>1-5</x:v>
      </x:c>
      <x:c r="G12" s="34" t="n">
        <x:v>1</x:v>
      </x:c>
      <x:c r="H12" s="34" t="n">
        <x:v>17</x:v>
      </x:c>
      <x:c r="I12" s="27" t="str">
        <x:v>Approved</x:v>
      </x:c>
      <x:c r="J12" s="27"/>
      <x:c r="K12" s="27"/>
      <x:c r="L12" s="27"/>
      <x:c r="M12" s="27"/>
    </x:row>
    <x:row r="13">
      <x:c r="A13" s="27" t="str">
        <x:v>STY-006-2</x:v>
      </x:c>
      <x:c r="B13" s="27" t="str">
        <x:v>T-shirt Sand</x:v>
      </x:c>
      <x:c r="C13" s="27" t="str">
        <x:v>T-shirt</x:v>
      </x:c>
      <x:c r="D13" s="27" t="str">
        <x:v>Tops/Dresses</x:v>
      </x:c>
      <x:c r="E13" s="27" t="str">
        <x:v>organic cotton jersey</x:v>
      </x:c>
      <x:c r="F13" s="27" t="str">
        <x:v>S-XXL</x:v>
      </x:c>
      <x:c r="G13" s="34" t="n">
        <x:v>1</x:v>
      </x:c>
      <x:c r="H13" s="34" t="n">
        <x:v>16</x:v>
      </x:c>
      <x:c r="I13" s="27" t="str">
        <x:v>In review</x:v>
      </x:c>
      <x:c r="J13" s="27"/>
      <x:c r="K13" s="27"/>
      <x:c r="L13" s="27"/>
      <x:c r="M13" s="27"/>
    </x:row>
    <x:row r="14">
      <x:c r="A14" s="27" t="str">
        <x:v>STY-007-1</x:v>
      </x:c>
      <x:c r="B14" s="27" t="str">
        <x:v>Pantalone Sand</x:v>
      </x:c>
      <x:c r="C14" s="27" t="str">
        <x:v>Pantalone</x:v>
      </x:c>
      <x:c r="D14" s="27" t="str">
        <x:v>Bottoms</x:v>
      </x:c>
      <x:c r="E14" s="27" t="str">
        <x:v>recycled wool suiting</x:v>
      </x:c>
      <x:c r="F14" s="27" t="str">
        <x:v>S-XXL</x:v>
      </x:c>
      <x:c r="G14" s="34" t="n">
        <x:v>3</x:v>
      </x:c>
      <x:c r="H14" s="34" t="n">
        <x:v>34</x:v>
      </x:c>
      <x:c r="I14" s="27" t="str">
        <x:v>Approved</x:v>
      </x:c>
      <x:c r="J14" s="27"/>
      <x:c r="K14" s="27"/>
      <x:c r="L14" s="27"/>
      <x:c r="M14" s="27"/>
    </x:row>
    <x:row r="15">
      <x:c r="A15" s="27" t="str">
        <x:v>STY-007-2</x:v>
      </x:c>
      <x:c r="B15" s="27" t="str">
        <x:v>Pantalone Olive</x:v>
      </x:c>
      <x:c r="C15" s="27" t="str">
        <x:v>Pantalone</x:v>
      </x:c>
      <x:c r="D15" s="27" t="str">
        <x:v>Bottoms</x:v>
      </x:c>
      <x:c r="E15" s="27" t="str">
        <x:v>recycled wool suiting</x:v>
      </x:c>
      <x:c r="F15" s="27" t="str">
        <x:v>S-XXL</x:v>
      </x:c>
      <x:c r="G15" s="34" t="n">
        <x:v>3</x:v>
      </x:c>
      <x:c r="H15" s="34" t="n">
        <x:v>38</x:v>
      </x:c>
      <x:c r="I15" s="27" t="str">
        <x:v>Approved</x:v>
      </x:c>
      <x:c r="J15" s="27"/>
      <x:c r="K15" s="27"/>
      <x:c r="L15" s="27"/>
      <x:c r="M15" s="27"/>
    </x:row>
    <x:row r="16">
      <x:c r="A16" s="27" t="str">
        <x:v>STY-008-1</x:v>
      </x:c>
      <x:c r="B16" s="27" t="str">
        <x:v>Blazer Olive</x:v>
      </x:c>
      <x:c r="C16" s="27" t="str">
        <x:v>Blazer</x:v>
      </x:c>
      <x:c r="D16" s="27" t="str">
        <x:v>Outerwear</x:v>
      </x:c>
      <x:c r="E16" s="27" t="str">
        <x:v>wool suiting</x:v>
      </x:c>
      <x:c r="F16" s="27" t="str">
        <x:v>36-46</x:v>
      </x:c>
      <x:c r="G16" s="34" t="n">
        <x:v>5</x:v>
      </x:c>
      <x:c r="H16" s="34" t="n">
        <x:v>56</x:v>
      </x:c>
      <x:c r="I16" s="27" t="str">
        <x:v>Approved</x:v>
      </x:c>
      <x:c r="J16" s="27"/>
      <x:c r="K16" s="27"/>
      <x:c r="L16" s="27"/>
      <x:c r="M16" s="27"/>
    </x:row>
    <x:row r="17">
      <x:c r="A17" s="27" t="str">
        <x:v>STY-008-2</x:v>
      </x:c>
      <x:c r="B17" s="27" t="str">
        <x:v>Blazer Off White</x:v>
      </x:c>
      <x:c r="C17" s="27" t="str">
        <x:v>Blazer</x:v>
      </x:c>
      <x:c r="D17" s="27" t="str">
        <x:v>Outerwear</x:v>
      </x:c>
      <x:c r="E17" s="27" t="str">
        <x:v>wool suiting</x:v>
      </x:c>
      <x:c r="F17" s="27" t="str">
        <x:v>XS-XL</x:v>
      </x:c>
      <x:c r="G17" s="34" t="n">
        <x:v>5</x:v>
      </x:c>
      <x:c r="H17" s="34" t="n">
        <x:v>63</x:v>
      </x:c>
      <x:c r="I17" s="27" t="str">
        <x:v>In review</x:v>
      </x:c>
      <x:c r="J17" s="27"/>
      <x:c r="K17" s="27"/>
      <x:c r="L17" s="27"/>
      <x:c r="M17" s="27"/>
    </x:row>
    <x:row r="18">
      <x:c r="A18" s="27" t="str">
        <x:v>STY-009-1</x:v>
      </x:c>
      <x:c r="B18" s="27" t="str">
        <x:v>Felpa Off White</x:v>
      </x:c>
      <x:c r="C18" s="27" t="str">
        <x:v>Felpa</x:v>
      </x:c>
      <x:c r="D18" s="27" t="str">
        <x:v>Tops/Dresses</x:v>
      </x:c>
      <x:c r="E18" s="27" t="str">
        <x:v>organic cotton fleece</x:v>
      </x:c>
      <x:c r="F18" s="27" t="str">
        <x:v>34-44</x:v>
      </x:c>
      <x:c r="G18" s="34" t="n">
        <x:v>3</x:v>
      </x:c>
      <x:c r="H18" s="34" t="n">
        <x:v>27</x:v>
      </x:c>
      <x:c r="I18" s="27" t="str">
        <x:v>Approved</x:v>
      </x:c>
      <x:c r="J18" s="27"/>
      <x:c r="K18" s="27"/>
      <x:c r="L18" s="27"/>
      <x:c r="M18" s="27"/>
    </x:row>
    <x:row r="19">
      <x:c r="A19" s="27" t="str">
        <x:v>STY-009-2</x:v>
      </x:c>
      <x:c r="B19" s="27" t="str">
        <x:v>Felpa Rose</x:v>
      </x:c>
      <x:c r="C19" s="27" t="str">
        <x:v>Felpa</x:v>
      </x:c>
      <x:c r="D19" s="27" t="str">
        <x:v>Tops/Dresses</x:v>
      </x:c>
      <x:c r="E19" s="27" t="str">
        <x:v>organic cotton fleece</x:v>
      </x:c>
      <x:c r="F19" s="27" t="str">
        <x:v>IT38-IT48</x:v>
      </x:c>
      <x:c r="G19" s="34" t="n">
        <x:v>3</x:v>
      </x:c>
      <x:c r="H19" s="34" t="n">
        <x:v>34</x:v>
      </x:c>
      <x:c r="I19" s="27" t="str">
        <x:v>Approved</x:v>
      </x:c>
      <x:c r="J19" s="27"/>
      <x:c r="K19" s="27"/>
      <x:c r="L19" s="27"/>
      <x:c r="M19" s="27"/>
    </x:row>
    <x:row r="20">
      <x:c r="A20" s="27" t="str">
        <x:v>STY-010-1</x:v>
      </x:c>
      <x:c r="B20" s="27" t="str">
        <x:v>Top Rose</x:v>
      </x:c>
      <x:c r="C20" s="27" t="str">
        <x:v>Top</x:v>
      </x:c>
      <x:c r="D20" s="27" t="str">
        <x:v>Tops/Dresses</x:v>
      </x:c>
      <x:c r="E20" s="27" t="str">
        <x:v>bamboo jersey</x:v>
      </x:c>
      <x:c r="F20" s="27" t="str">
        <x:v>1-5</x:v>
      </x:c>
      <x:c r="G20" s="34" t="n">
        <x:v>2</x:v>
      </x:c>
      <x:c r="H20" s="34" t="n">
        <x:v>23</x:v>
      </x:c>
      <x:c r="I20" s="27" t="str">
        <x:v>Approved</x:v>
      </x:c>
      <x:c r="J20" s="27"/>
      <x:c r="K20" s="27"/>
      <x:c r="L20" s="27"/>
      <x:c r="M20" s="27"/>
    </x:row>
    <x:row r="21">
      <x:c r="A21" s="27" t="str">
        <x:v>STY-010-2</x:v>
      </x:c>
      <x:c r="B21" s="27" t="str">
        <x:v>Top Black</x:v>
      </x:c>
      <x:c r="C21" s="27" t="str">
        <x:v>Top</x:v>
      </x:c>
      <x:c r="D21" s="27" t="str">
        <x:v>Tops/Dresses</x:v>
      </x:c>
      <x:c r="E21" s="27" t="str">
        <x:v>bamboo jersey</x:v>
      </x:c>
      <x:c r="F21" s="27" t="str">
        <x:v>34-44</x:v>
      </x:c>
      <x:c r="G21" s="34" t="n">
        <x:v>2</x:v>
      </x:c>
      <x:c r="H21" s="34" t="n">
        <x:v>18</x:v>
      </x:c>
      <x:c r="I21" s="27" t="str">
        <x:v>In review</x:v>
      </x:c>
      <x:c r="J21" s="27"/>
      <x:c r="K21" s="27"/>
      <x:c r="L21" s="27"/>
      <x:c r="M21" s="27"/>
    </x:row>
    <x:row r="22">
      <x:c r="A22" s="27" t="str">
        <x:v>STY-011-1</x:v>
      </x:c>
      <x:c r="B22" s="27" t="str">
        <x:v>Kimono Black</x:v>
      </x:c>
      <x:c r="C22" s="27" t="str">
        <x:v>Kimono</x:v>
      </x:c>
      <x:c r="D22" s="27" t="str">
        <x:v>Tops/Dresses</x:v>
      </x:c>
      <x:c r="E22" s="27" t="str">
        <x:v>peace silk</x:v>
      </x:c>
      <x:c r="F22" s="27" t="str">
        <x:v>34-44</x:v>
      </x:c>
      <x:c r="G22" s="34" t="n">
        <x:v>4</x:v>
      </x:c>
      <x:c r="H22" s="34" t="n">
        <x:v>36</x:v>
      </x:c>
      <x:c r="I22" s="27" t="str">
        <x:v>Approved</x:v>
      </x:c>
      <x:c r="J22" s="27"/>
      <x:c r="K22" s="27"/>
      <x:c r="L22" s="27"/>
      <x:c r="M22" s="27"/>
    </x:row>
    <x:row r="23">
      <x:c r="A23" s="27" t="str">
        <x:v>STY-011-2</x:v>
      </x:c>
      <x:c r="B23" s="27" t="str">
        <x:v>Kimono Ivory</x:v>
      </x:c>
      <x:c r="C23" s="27" t="str">
        <x:v>Kimono</x:v>
      </x:c>
      <x:c r="D23" s="27" t="str">
        <x:v>Tops/Dresses</x:v>
      </x:c>
      <x:c r="E23" s="27" t="str">
        <x:v>peace silk</x:v>
      </x:c>
      <x:c r="F23" s="27" t="str">
        <x:v>70B-90D</x:v>
      </x:c>
      <x:c r="G23" s="34" t="n">
        <x:v>4</x:v>
      </x:c>
      <x:c r="H23" s="34" t="n">
        <x:v>39</x:v>
      </x:c>
      <x:c r="I23" s="27" t="str">
        <x:v>Approved</x:v>
      </x:c>
      <x:c r="J23" s="27"/>
      <x:c r="K23" s="27"/>
      <x:c r="L23" s="27"/>
      <x:c r="M23" s="27"/>
    </x:row>
    <x:row r="24">
      <x:c r="A24" s="27" t="str">
        <x:v>STY-012-1</x:v>
      </x:c>
      <x:c r="B24" s="27" t="str">
        <x:v>Body Ivory</x:v>
      </x:c>
      <x:c r="C24" s="27" t="str">
        <x:v>Body</x:v>
      </x:c>
      <x:c r="D24" s="27" t="str">
        <x:v>Underwear</x:v>
      </x:c>
      <x:c r="E24" s="27" t="str">
        <x:v>modal stretch</x:v>
      </x:c>
      <x:c r="F24" s="27" t="str">
        <x:v>36-46</x:v>
      </x:c>
      <x:c r="G24" s="34" t="n">
        <x:v>2</x:v>
      </x:c>
      <x:c r="H24" s="34" t="n">
        <x:v>23</x:v>
      </x:c>
      <x:c r="I24" s="27" t="str">
        <x:v>Approved</x:v>
      </x:c>
      <x:c r="J24" s="27"/>
      <x:c r="K24" s="27"/>
      <x:c r="L24" s="27"/>
      <x:c r="M24" s="27"/>
    </x:row>
    <x:row r="25">
      <x:c r="A25" s="27" t="str">
        <x:v>STY-012-2</x:v>
      </x:c>
      <x:c r="B25" s="27" t="str">
        <x:v>Body Navy</x:v>
      </x:c>
      <x:c r="C25" s="27" t="str">
        <x:v>Body</x:v>
      </x:c>
      <x:c r="D25" s="27" t="str">
        <x:v>Underwear</x:v>
      </x:c>
      <x:c r="E25" s="27" t="str">
        <x:v>modal stretch</x:v>
      </x:c>
      <x:c r="F25" s="27" t="str">
        <x:v>34-44</x:v>
      </x:c>
      <x:c r="G25" s="34" t="n">
        <x:v>2</x:v>
      </x:c>
      <x:c r="H25" s="34" t="n">
        <x:v>25</x:v>
      </x:c>
      <x:c r="I25" s="27" t="str">
        <x:v>In review</x:v>
      </x:c>
      <x:c r="J25" s="27"/>
      <x:c r="K25" s="27"/>
      <x:c r="L25" s="27"/>
      <x:c r="M25" s="27"/>
    </x:row>
    <x:row r="26">
      <x:c r="A26" s="27" t="str">
        <x:v>STY-013-1</x:v>
      </x:c>
      <x:c r="B26" s="27" t="str">
        <x:v>Slip Navy</x:v>
      </x:c>
      <x:c r="C26" s="27" t="str">
        <x:v>Slip</x:v>
      </x:c>
      <x:c r="D26" s="27" t="str">
        <x:v>Underwear</x:v>
      </x:c>
      <x:c r="E26" s="27" t="str">
        <x:v>organic cotton rib</x:v>
      </x:c>
      <x:c r="F26" s="27" t="str">
        <x:v>S-XXL</x:v>
      </x:c>
      <x:c r="G26" s="34" t="n">
        <x:v>3</x:v>
      </x:c>
      <x:c r="H26" s="34" t="n">
        <x:v>26</x:v>
      </x:c>
      <x:c r="I26" s="27" t="str">
        <x:v>Approved</x:v>
      </x:c>
      <x:c r="J26" s="27"/>
      <x:c r="K26" s="27"/>
      <x:c r="L26" s="27"/>
      <x:c r="M26" s="27"/>
    </x:row>
    <x:row r="27">
      <x:c r="A27" s="27" t="str">
        <x:v>STY-013-2</x:v>
      </x:c>
      <x:c r="B27" s="27" t="str">
        <x:v>Slip Chocolate</x:v>
      </x:c>
      <x:c r="C27" s="27" t="str">
        <x:v>Slip</x:v>
      </x:c>
      <x:c r="D27" s="27" t="str">
        <x:v>Underwear</x:v>
      </x:c>
      <x:c r="E27" s="27" t="str">
        <x:v>organic cotton rib</x:v>
      </x:c>
      <x:c r="F27" s="27" t="str">
        <x:v>S-XXL</x:v>
      </x:c>
      <x:c r="G27" s="34" t="n">
        <x:v>3</x:v>
      </x:c>
      <x:c r="H27" s="34" t="n">
        <x:v>34</x:v>
      </x:c>
      <x:c r="I27" s="27" t="str">
        <x:v>Approved</x:v>
      </x:c>
      <x:c r="J27" s="27"/>
      <x:c r="K27" s="27"/>
      <x:c r="L27" s="27"/>
      <x:c r="M27" s="27"/>
    </x:row>
    <x:row r="28">
      <x:c r="A28" s="27" t="str">
        <x:v>STY-014-1</x:v>
      </x:c>
      <x:c r="B28" s="27" t="str">
        <x:v>Bra Chocolate</x:v>
      </x:c>
      <x:c r="C28" s="27" t="str">
        <x:v>Bra</x:v>
      </x:c>
      <x:c r="D28" s="27" t="str">
        <x:v>Underwear</x:v>
      </x:c>
      <x:c r="E28" s="27" t="str">
        <x:v>tencel mesh</x:v>
      </x:c>
      <x:c r="F28" s="27" t="str">
        <x:v>IT38-IT48</x:v>
      </x:c>
      <x:c r="G28" s="34" t="n">
        <x:v>3</x:v>
      </x:c>
      <x:c r="H28" s="34" t="n">
        <x:v>36</x:v>
      </x:c>
      <x:c r="I28" s="27" t="str">
        <x:v>Approved</x:v>
      </x:c>
      <x:c r="J28" s="27"/>
      <x:c r="K28" s="27"/>
      <x:c r="L28" s="27"/>
      <x:c r="M28" s="27"/>
    </x:row>
    <x:row r="29">
      <x:c r="A29" s="27" t="str">
        <x:v>STY-014-2</x:v>
      </x:c>
      <x:c r="B29" s="27" t="str">
        <x:v>Bra Sage</x:v>
      </x:c>
      <x:c r="C29" s="27" t="str">
        <x:v>Bra</x:v>
      </x:c>
      <x:c r="D29" s="27" t="str">
        <x:v>Underwear</x:v>
      </x:c>
      <x:c r="E29" s="27" t="str">
        <x:v>tencel mesh</x:v>
      </x:c>
      <x:c r="F29" s="27" t="str">
        <x:v>1-5</x:v>
      </x:c>
      <x:c r="G29" s="34" t="n">
        <x:v>3</x:v>
      </x:c>
      <x:c r="H29" s="34" t="n">
        <x:v>34</x:v>
      </x:c>
      <x:c r="I29" s="27" t="str">
        <x:v>In review</x:v>
      </x:c>
      <x:c r="J29" s="27"/>
      <x:c r="K29" s="27"/>
      <x:c r="L29" s="27"/>
      <x:c r="M29" s="27"/>
    </x:row>
    <x:row r="30">
      <x:c r="A30" s="27" t="str">
        <x:v>STY-015-1</x:v>
      </x:c>
      <x:c r="B30" s="27" t="str">
        <x:v>Boxer Sage</x:v>
      </x:c>
      <x:c r="C30" s="27" t="str">
        <x:v>Boxer</x:v>
      </x:c>
      <x:c r="D30" s="27" t="str">
        <x:v>Underwear</x:v>
      </x:c>
      <x:c r="E30" s="27" t="str">
        <x:v>organic cotton poplin</x:v>
      </x:c>
      <x:c r="F30" s="27" t="str">
        <x:v>34-44</x:v>
      </x:c>
      <x:c r="G30" s="34" t="n">
        <x:v>3</x:v>
      </x:c>
      <x:c r="H30" s="34" t="n">
        <x:v>39</x:v>
      </x:c>
      <x:c r="I30" s="27" t="str">
        <x:v>Approved</x:v>
      </x:c>
      <x:c r="J30" s="27"/>
      <x:c r="K30" s="27"/>
      <x:c r="L30" s="27"/>
      <x:c r="M30" s="27"/>
    </x:row>
    <x:row r="31">
      <x:c r="A31" s="27" t="str">
        <x:v>STY-015-2</x:v>
      </x:c>
      <x:c r="B31" s="27" t="str">
        <x:v>Boxer Burgundy</x:v>
      </x:c>
      <x:c r="C31" s="27" t="str">
        <x:v>Boxer</x:v>
      </x:c>
      <x:c r="D31" s="27" t="str">
        <x:v>Underwear</x:v>
      </x:c>
      <x:c r="E31" s="27" t="str">
        <x:v>organic cotton poplin</x:v>
      </x:c>
      <x:c r="F31" s="27" t="str">
        <x:v>1-5</x:v>
      </x:c>
      <x:c r="G31" s="34" t="n">
        <x:v>3</x:v>
      </x:c>
      <x:c r="H31" s="34" t="n">
        <x:v>30</x:v>
      </x:c>
      <x:c r="I31" s="27" t="str">
        <x:v>Approved</x:v>
      </x:c>
      <x:c r="J31" s="27"/>
      <x:c r="K31" s="27"/>
      <x:c r="L31" s="27"/>
      <x:c r="M31" s="27"/>
    </x:row>
    <x:row r="32">
      <x:c r="A32" s="27" t="str">
        <x:v>STY-016-1</x:v>
      </x:c>
      <x:c r="B32" s="27" t="str">
        <x:v>Baby doll Burgundy</x:v>
      </x:c>
      <x:c r="C32" s="27" t="str">
        <x:v>Baby doll</x:v>
      </x:c>
      <x:c r="D32" s="27" t="str">
        <x:v>Underwear</x:v>
      </x:c>
      <x:c r="E32" s="27" t="str">
        <x:v>tencel satin</x:v>
      </x:c>
      <x:c r="F32" s="27" t="str">
        <x:v>36-46</x:v>
      </x:c>
      <x:c r="G32" s="34" t="n">
        <x:v>3</x:v>
      </x:c>
      <x:c r="H32" s="34" t="n">
        <x:v>37</x:v>
      </x:c>
      <x:c r="I32" s="27" t="str">
        <x:v>Approved</x:v>
      </x:c>
      <x:c r="J32" s="27"/>
      <x:c r="K32" s="27"/>
      <x:c r="L32" s="27"/>
      <x:c r="M32" s="27"/>
    </x:row>
    <x:row r="33">
      <x:c r="A33" s="27" t="str">
        <x:v>STY-016-2</x:v>
      </x:c>
      <x:c r="B33" s="27" t="str">
        <x:v>Baby doll Powder Blue</x:v>
      </x:c>
      <x:c r="C33" s="27" t="str">
        <x:v>Baby doll</x:v>
      </x:c>
      <x:c r="D33" s="27" t="str">
        <x:v>Underwear</x:v>
      </x:c>
      <x:c r="E33" s="27" t="str">
        <x:v>tencel satin</x:v>
      </x:c>
      <x:c r="F33" s="27" t="str">
        <x:v>S-XXL</x:v>
      </x:c>
      <x:c r="G33" s="34" t="n">
        <x:v>3</x:v>
      </x:c>
      <x:c r="H33" s="34" t="n">
        <x:v>27</x:v>
      </x:c>
      <x:c r="I33" s="27" t="str">
        <x:v>In review</x:v>
      </x:c>
      <x:c r="J33" s="27"/>
      <x:c r="K33" s="27"/>
      <x:c r="L33" s="27"/>
      <x:c r="M33" s="27"/>
    </x:row>
  </x:sheetData>
  <x:pageMargins left="0.7" right="0.7" top="0.75" bottom="0.75" header="0.3" footer="0.3"/>
  <x:tableParts count="1">
    <x:tablePart xmlns:r="http://schemas.openxmlformats.org/officeDocument/2006/relationships" r:id="R9397ccf6d15b46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13.729999542236328" hidden="0" customWidth="1"/>
    <x:col min="3" max="3" width="9.020000457763672" hidden="0" customWidth="1"/>
    <x:col min="4" max="4" width="13.729999542236328" hidden="0" customWidth="1"/>
    <x:col min="5" max="5" width="9.5600004196167" hidden="0" customWidth="1"/>
    <x:col min="6" max="6" width="11.170000076293945" hidden="0" customWidth="1"/>
    <x:col min="7" max="7" width="11.039999961853027" hidden="0" customWidth="1"/>
    <x:col min="8" max="8" width="9.6899995803833" hidden="0" customWidth="1"/>
    <x:col min="9" max="9" width="15.880000114440918" hidden="0" customWidth="1"/>
    <x:col min="10" max="10" width="13.1899995803833" hidden="0" customWidth="1"/>
    <x:col min="11" max="11" width="13.729999542236328" hidden="0" customWidth="1"/>
    <x:col min="12" max="12" width="8.75" hidden="0" customWidth="1"/>
    <x:col min="13" max="13" width="18" hidden="0" customWidth="1"/>
    <x:col min="14" max="14" width="19.649999618530273" hidden="0" customWidth="1"/>
    <x:col min="15" max="15" width="13.59000015258789" hidden="0" customWidth="1"/>
    <x:col min="16" max="16" width="22.34000015258789" hidden="0" customWidth="1"/>
    <x:col min="17" max="17" width="21.1299991607666" hidden="0" customWidth="1"/>
    <x:col min="18" max="18" width="17.09000015258789" hidden="0" customWidth="1"/>
    <x:col min="19" max="19" width="13.319999694824219" hidden="0" customWidth="1"/>
  </x:cols>
  <x:sheetData>
    <x:row r="1" ht="28" customHeight="1">
      <x:c r="A1" s="26" t="str">
        <x:v>order_id</x:v>
      </x:c>
      <x:c r="B1" s="26" t="str">
        <x:v>client</x:v>
      </x:c>
      <x:c r="C1" s="26" t="str">
        <x:v>style_id</x:v>
      </x:c>
      <x:c r="D1" s="26" t="str">
        <x:v>product_type</x:v>
      </x:c>
      <x:c r="E1" s="26" t="str">
        <x:v>quantity</x:v>
      </x:c>
      <x:c r="F1" s="26" t="str">
        <x:v>size_range</x:v>
      </x:c>
      <x:c r="G1" s="26" t="str">
        <x:v>start_date</x:v>
      </x:c>
      <x:c r="H1" s="26" t="str">
        <x:v>deadline</x:v>
      </x:c>
      <x:c r="I1" s="26" t="str">
        <x:v>ex_factory_date</x:v>
      </x:c>
      <x:c r="J1" s="26" t="str">
        <x:v>assigned_lab</x:v>
      </x:c>
      <x:c r="K1" s="26" t="str">
        <x:v>assigned_line</x:v>
      </x:c>
      <x:c r="L1" s="26" t="str">
        <x:v>priority</x:v>
      </x:c>
      <x:c r="M1" s="26" t="str">
        <x:v>status</x:v>
      </x:c>
      <x:c r="N1" s="26" t="str">
        <x:v>progress_percentage</x:v>
      </x:c>
      <x:c r="O1" s="26" t="str">
        <x:v>planned_smv</x:v>
      </x:c>
      <x:c r="P1" s="26" t="str">
        <x:v>total_standard_minutes</x:v>
      </x:c>
      <x:c r="Q1" s="26" t="str">
        <x:v>capacity_days_needed</x:v>
      </x:c>
      <x:c r="R1" s="26" t="str">
        <x:v>days_to_deadline</x:v>
      </x:c>
      <x:c r="S1" s="26" t="str">
        <x:v>on_time_risk</x:v>
      </x:c>
    </x:row>
    <x:row r="2">
      <x:c r="A2" s="27" t="str">
        <x:v>ORD-1010</x:v>
      </x:c>
      <x:c r="B2" s="27" t="str">
        <x:v>Sartoria Napoli</x:v>
      </x:c>
      <x:c r="C2" s="27" t="str">
        <x:v>STY-001-2</x:v>
      </x:c>
      <x:c r="D2" s="27" t="str">
        <x:v>Cappotto</x:v>
      </x:c>
      <x:c r="E2" s="34" t="n">
        <x:v>90</x:v>
      </x:c>
      <x:c r="F2" s="27" t="str">
        <x:v>1-5</x:v>
      </x:c>
      <x:c r="G2" s="30" t="n">
        <x:v>46181</x:v>
      </x:c>
      <x:c r="H2" s="30" t="n">
        <x:v>46199</x:v>
      </x:c>
      <x:c r="I2" s="30" t="n">
        <x:v>46197</x:v>
      </x:c>
      <x:c r="J2" s="27" t="str">
        <x:v>L7</x:v>
      </x:c>
      <x:c r="K2" s="27" t="str">
        <x:v>LN-030</x:v>
      </x:c>
      <x:c r="L2" s="27" t="str">
        <x:v>normal</x:v>
      </x:c>
      <x:c r="M2" s="27" t="str">
        <x:v>not started</x:v>
      </x:c>
      <x:c r="N2" s="32" t="n">
        <x:v>0</x:v>
      </x:c>
      <x:c r="O2" s="34" t="n">
        <x:f>VLOOKUP(C2,style_master!$A$2:$H$33,8,FALSE)</x:f>
        <x:v>79</x:v>
      </x:c>
      <x:c r="P2" s="34" t="n">
        <x:f>E2*O2</x:f>
        <x:v>7110</x:v>
      </x:c>
      <x:c r="Q2" s="36" t="n">
        <x:f>IFERROR(P2/VLOOKUP(K2,line_capacity!$B$2:$N$47,13,FALSE),0)</x:f>
        <x:v>1.01795728187366</x:v>
      </x:c>
      <x:c r="R2" s="36" t="n">
        <x:f>H2-Dashboard!$B$2</x:f>
        <x:v>30</x:v>
      </x:c>
      <x:c r="S2" s="27" t="str">
        <x:f>IF(R2&lt;=0,"OVERDUE",IF(Q2&gt;R2,"HIGH",IF(Q2/R2&gt;0.65,"MEDIUM","LOW")))</x:f>
        <x:v>LOW</x:v>
      </x:c>
    </x:row>
    <x:row r="3">
      <x:c r="A3" s="27" t="str">
        <x:v>ORD-1011</x:v>
      </x:c>
      <x:c r="B3" s="27" t="str">
        <x:v>Atelier Bologna</x:v>
      </x:c>
      <x:c r="C3" s="27" t="str">
        <x:v>STY-002-1</x:v>
      </x:c>
      <x:c r="D3" s="27" t="str">
        <x:v>Gonna</x:v>
      </x:c>
      <x:c r="E3" s="34" t="n">
        <x:v>220</x:v>
      </x:c>
      <x:c r="F3" s="27" t="str">
        <x:v>IT38-IT48</x:v>
      </x:c>
      <x:c r="G3" s="30" t="n">
        <x:v>46183</x:v>
      </x:c>
      <x:c r="H3" s="30" t="n">
        <x:v>46203</x:v>
      </x:c>
      <x:c r="I3" s="30" t="n">
        <x:v>46201</x:v>
      </x:c>
      <x:c r="J3" s="27" t="str">
        <x:v>L7</x:v>
      </x:c>
      <x:c r="K3" s="27" t="str">
        <x:v>LN-030</x:v>
      </x:c>
      <x:c r="L3" s="27" t="str">
        <x:v>normal</x:v>
      </x:c>
      <x:c r="M3" s="27" t="str">
        <x:v>in production</x:v>
      </x:c>
      <x:c r="N3" s="32" t="n">
        <x:v>0.34</x:v>
      </x:c>
      <x:c r="O3" s="34" t="n">
        <x:f>VLOOKUP(C3,style_master!$A$2:$H$33,8,FALSE)</x:f>
        <x:v>18</x:v>
      </x:c>
      <x:c r="P3" s="34" t="n">
        <x:f>E3*O3</x:f>
        <x:v>3960</x:v>
      </x:c>
      <x:c r="Q3" s="36" t="n">
        <x:f>IFERROR(P3/VLOOKUP(K3,line_capacity!$B$2:$N$47,13,FALSE),0)</x:f>
        <x:v>0.5669635493979879</x:v>
      </x:c>
      <x:c r="R3" s="36" t="n">
        <x:f>H3-Dashboard!$B$2</x:f>
        <x:v>34</x:v>
      </x:c>
      <x:c r="S3" s="27" t="str">
        <x:f>IF(R3&lt;=0,"OVERDUE",IF(Q3&gt;R3,"HIGH",IF(Q3/R3&gt;0.65,"MEDIUM","LOW")))</x:f>
        <x:v>LOW</x:v>
      </x:c>
    </x:row>
    <x:row r="4">
      <x:c r="A4" s="27" t="str">
        <x:v>ORD-1012</x:v>
      </x:c>
      <x:c r="B4" s="27" t="str">
        <x:v>Boutique Genova</x:v>
      </x:c>
      <x:c r="C4" s="27" t="str">
        <x:v>STY-003-2</x:v>
      </x:c>
      <x:c r="D4" s="27" t="str">
        <x:v>Camicia</x:v>
      </x:c>
      <x:c r="E4" s="34" t="n">
        <x:v>1000</x:v>
      </x:c>
      <x:c r="F4" s="27" t="str">
        <x:v>IT38-IT48</x:v>
      </x:c>
      <x:c r="G4" s="30" t="n">
        <x:v>46185</x:v>
      </x:c>
      <x:c r="H4" s="30" t="n">
        <x:v>46214</x:v>
      </x:c>
      <x:c r="I4" s="30" t="n">
        <x:v>46212</x:v>
      </x:c>
      <x:c r="J4" s="27" t="str">
        <x:v>L9</x:v>
      </x:c>
      <x:c r="K4" s="27" t="str">
        <x:v>LN-039</x:v>
      </x:c>
      <x:c r="L4" s="27" t="str">
        <x:v>normal</x:v>
      </x:c>
      <x:c r="M4" s="27" t="str">
        <x:v>scheduled</x:v>
      </x:c>
      <x:c r="N4" s="32" t="n">
        <x:v>0.05</x:v>
      </x:c>
      <x:c r="O4" s="34" t="n">
        <x:f>VLOOKUP(C4,style_master!$A$2:$H$33,8,FALSE)</x:f>
        <x:v>35</x:v>
      </x:c>
      <x:c r="P4" s="34" t="n">
        <x:f>E4*O4</x:f>
        <x:v>35000</x:v>
      </x:c>
      <x:c r="Q4" s="36" t="n">
        <x:f>IFERROR(P4/VLOOKUP(K4,line_capacity!$B$2:$N$47,13,FALSE),0)</x:f>
        <x:v>4.192781707013206</x:v>
      </x:c>
      <x:c r="R4" s="36" t="n">
        <x:f>H4-Dashboard!$B$2</x:f>
        <x:v>45</x:v>
      </x:c>
      <x:c r="S4" s="27" t="str">
        <x:f>IF(R4&lt;=0,"OVERDUE",IF(Q4&gt;R4,"HIGH",IF(Q4/R4&gt;0.65,"MEDIUM","LOW")))</x:f>
        <x:v>LOW</x:v>
      </x:c>
    </x:row>
    <x:row r="5">
      <x:c r="A5" s="27" t="str">
        <x:v>ORD-1013</x:v>
      </x:c>
      <x:c r="B5" s="27" t="str">
        <x:v>Moda Verona</x:v>
      </x:c>
      <x:c r="C5" s="27" t="str">
        <x:v>STY-004-2</x:v>
      </x:c>
      <x:c r="D5" s="27" t="str">
        <x:v>Abito</x:v>
      </x:c>
      <x:c r="E5" s="34" t="n">
        <x:v>600</x:v>
      </x:c>
      <x:c r="F5" s="27" t="str">
        <x:v>S-XXL</x:v>
      </x:c>
      <x:c r="G5" s="30" t="n">
        <x:v>46187</x:v>
      </x:c>
      <x:c r="H5" s="30" t="n">
        <x:v>46217</x:v>
      </x:c>
      <x:c r="I5" s="30" t="n">
        <x:v>46215</x:v>
      </x:c>
      <x:c r="J5" s="27" t="str">
        <x:v>L7</x:v>
      </x:c>
      <x:c r="K5" s="27" t="str">
        <x:v>LN-030</x:v>
      </x:c>
      <x:c r="L5" s="27" t="str">
        <x:v>high</x:v>
      </x:c>
      <x:c r="M5" s="27" t="str">
        <x:v>ready to cut</x:v>
      </x:c>
      <x:c r="N5" s="32" t="n">
        <x:v>0.18</x:v>
      </x:c>
      <x:c r="O5" s="34" t="n">
        <x:f>VLOOKUP(C5,style_master!$A$2:$H$33,8,FALSE)</x:f>
        <x:v>44</x:v>
      </x:c>
      <x:c r="P5" s="34" t="n">
        <x:f>E5*O5</x:f>
        <x:v>26400</x:v>
      </x:c>
      <x:c r="Q5" s="36" t="n">
        <x:f>IFERROR(P5/VLOOKUP(K5,line_capacity!$B$2:$N$47,13,FALSE),0)</x:f>
        <x:v>3.779756995986586</x:v>
      </x:c>
      <x:c r="R5" s="36" t="n">
        <x:f>H5-Dashboard!$B$2</x:f>
        <x:v>48</x:v>
      </x:c>
      <x:c r="S5" s="27" t="str">
        <x:f>IF(R5&lt;=0,"OVERDUE",IF(Q5&gt;R5,"HIGH",IF(Q5/R5&gt;0.65,"MEDIUM","LOW")))</x:f>
        <x:v>LOW</x:v>
      </x:c>
    </x:row>
    <x:row r="6">
      <x:c r="A6" s="27" t="str">
        <x:v>ORD-1014</x:v>
      </x:c>
      <x:c r="B6" s="27" t="str">
        <x:v>Casa Palermo</x:v>
      </x:c>
      <x:c r="C6" s="27" t="str">
        <x:v>STY-005-1</x:v>
      </x:c>
      <x:c r="D6" s="27" t="str">
        <x:v>Jeans</x:v>
      </x:c>
      <x:c r="E6" s="34" t="n">
        <x:v>1300</x:v>
      </x:c>
      <x:c r="F6" s="27" t="str">
        <x:v>IT38-IT48</x:v>
      </x:c>
      <x:c r="G6" s="30" t="n">
        <x:v>46189</x:v>
      </x:c>
      <x:c r="H6" s="30" t="n">
        <x:v>46228</x:v>
      </x:c>
      <x:c r="I6" s="30" t="n">
        <x:v>46226</x:v>
      </x:c>
      <x:c r="J6" s="27" t="str">
        <x:v>L10</x:v>
      </x:c>
      <x:c r="K6" s="27" t="str">
        <x:v>LN-044</x:v>
      </x:c>
      <x:c r="L6" s="27" t="str">
        <x:v>normal</x:v>
      </x:c>
      <x:c r="M6" s="27" t="str">
        <x:v>materials ready</x:v>
      </x:c>
      <x:c r="N6" s="32" t="n">
        <x:v>0.12</x:v>
      </x:c>
      <x:c r="O6" s="34" t="n">
        <x:f>VLOOKUP(C6,style_master!$A$2:$H$33,8,FALSE)</x:f>
        <x:v>35</x:v>
      </x:c>
      <x:c r="P6" s="34" t="n">
        <x:f>E6*O6</x:f>
        <x:v>45500</x:v>
      </x:c>
      <x:c r="Q6" s="36" t="n">
        <x:f>IFERROR(P6/VLOOKUP(K6,line_capacity!$B$2:$N$47,13,FALSE),0)</x:f>
        <x:v>6.741172175759989</x:v>
      </x:c>
      <x:c r="R6" s="36" t="n">
        <x:f>H6-Dashboard!$B$2</x:f>
        <x:v>59</x:v>
      </x:c>
      <x:c r="S6" s="27" t="str">
        <x:f>IF(R6&lt;=0,"OVERDUE",IF(Q6&gt;R6,"HIGH",IF(Q6/R6&gt;0.65,"MEDIUM","LOW")))</x:f>
        <x:v>LOW</x:v>
      </x:c>
    </x:row>
    <x:row r="7">
      <x:c r="A7" s="27" t="str">
        <x:v>ORD-1106</x:v>
      </x:c>
      <x:c r="B7" s="27" t="str">
        <x:v>Sartoria Napoli</x:v>
      </x:c>
      <x:c r="C7" s="27" t="str">
        <x:v>STY-012-2</x:v>
      </x:c>
      <x:c r="D7" s="27" t="str">
        <x:v>Body</x:v>
      </x:c>
      <x:c r="E7" s="34" t="n">
        <x:v>140</x:v>
      </x:c>
      <x:c r="F7" s="27" t="str">
        <x:v>34-44</x:v>
      </x:c>
      <x:c r="G7" s="30" t="n">
        <x:v>46191</x:v>
      </x:c>
      <x:c r="H7" s="30" t="n">
        <x:v>46209</x:v>
      </x:c>
      <x:c r="I7" s="30" t="n">
        <x:v>46207</x:v>
      </x:c>
      <x:c r="J7" s="27" t="str">
        <x:v>L6</x:v>
      </x:c>
      <x:c r="K7" s="27" t="str">
        <x:v>LN-026</x:v>
      </x:c>
      <x:c r="L7" s="27" t="str">
        <x:v>normal</x:v>
      </x:c>
      <x:c r="M7" s="27" t="str">
        <x:v>not started</x:v>
      </x:c>
      <x:c r="N7" s="32" t="n">
        <x:v>0</x:v>
      </x:c>
      <x:c r="O7" s="34" t="n">
        <x:f>VLOOKUP(C7,style_master!$A$2:$H$33,8,FALSE)</x:f>
        <x:v>25</x:v>
      </x:c>
      <x:c r="P7" s="34" t="n">
        <x:f>E7*O7</x:f>
        <x:v>3500</x:v>
      </x:c>
      <x:c r="Q7" s="36" t="n">
        <x:f>IFERROR(P7/VLOOKUP(K7,line_capacity!$B$2:$N$47,13,FALSE),0)</x:f>
        <x:v>0.7862822061191628</x:v>
      </x:c>
      <x:c r="R7" s="36" t="n">
        <x:f>H7-Dashboard!$B$2</x:f>
        <x:v>40</x:v>
      </x:c>
      <x:c r="S7" s="27" t="str">
        <x:f>IF(R7&lt;=0,"OVERDUE",IF(Q7&gt;R7,"HIGH",IF(Q7/R7&gt;0.65,"MEDIUM","LOW")))</x:f>
        <x:v>LOW</x:v>
      </x:c>
    </x:row>
    <x:row r="8">
      <x:c r="A8" s="27" t="str">
        <x:v>ORD-1107</x:v>
      </x:c>
      <x:c r="B8" s="27" t="str">
        <x:v>Atelier Bologna</x:v>
      </x:c>
      <x:c r="C8" s="27" t="str">
        <x:v>STY-005-1</x:v>
      </x:c>
      <x:c r="D8" s="27" t="str">
        <x:v>Jeans</x:v>
      </x:c>
      <x:c r="E8" s="34" t="n">
        <x:v>700</x:v>
      </x:c>
      <x:c r="F8" s="27" t="str">
        <x:v>IT38-IT48</x:v>
      </x:c>
      <x:c r="G8" s="30" t="n">
        <x:v>46193</x:v>
      </x:c>
      <x:c r="H8" s="30" t="n">
        <x:v>46217</x:v>
      </x:c>
      <x:c r="I8" s="30" t="n">
        <x:v>46215</x:v>
      </x:c>
      <x:c r="J8" s="27" t="str">
        <x:v>L9</x:v>
      </x:c>
      <x:c r="K8" s="27" t="str">
        <x:v>LN-039</x:v>
      </x:c>
      <x:c r="L8" s="27" t="str">
        <x:v>normal</x:v>
      </x:c>
      <x:c r="M8" s="27" t="str">
        <x:v>in production</x:v>
      </x:c>
      <x:c r="N8" s="32" t="n">
        <x:v>0.34</x:v>
      </x:c>
      <x:c r="O8" s="34" t="n">
        <x:f>VLOOKUP(C8,style_master!$A$2:$H$33,8,FALSE)</x:f>
        <x:v>35</x:v>
      </x:c>
      <x:c r="P8" s="34" t="n">
        <x:f>E8*O8</x:f>
        <x:v>24500</x:v>
      </x:c>
      <x:c r="Q8" s="36" t="n">
        <x:f>IFERROR(P8/VLOOKUP(K8,line_capacity!$B$2:$N$47,13,FALSE),0)</x:f>
        <x:v>2.934947194909244</x:v>
      </x:c>
      <x:c r="R8" s="36" t="n">
        <x:f>H8-Dashboard!$B$2</x:f>
        <x:v>48</x:v>
      </x:c>
      <x:c r="S8" s="27" t="str">
        <x:f>IF(R8&lt;=0,"OVERDUE",IF(Q8&gt;R8,"HIGH",IF(Q8/R8&gt;0.65,"MEDIUM","LOW")))</x:f>
        <x:v>LOW</x:v>
      </x:c>
    </x:row>
    <x:row r="9">
      <x:c r="A9" s="27" t="str">
        <x:v>ORD-1108</x:v>
      </x:c>
      <x:c r="B9" s="27" t="str">
        <x:v>Boutique Genova</x:v>
      </x:c>
      <x:c r="C9" s="27" t="str">
        <x:v>STY-005-2</x:v>
      </x:c>
      <x:c r="D9" s="27" t="str">
        <x:v>Jeans</x:v>
      </x:c>
      <x:c r="E9" s="34" t="n">
        <x:v>1150</x:v>
      </x:c>
      <x:c r="F9" s="27" t="str">
        <x:v>36-46</x:v>
      </x:c>
      <x:c r="G9" s="30" t="n">
        <x:v>46195</x:v>
      </x:c>
      <x:c r="H9" s="30" t="n">
        <x:v>46228</x:v>
      </x:c>
      <x:c r="I9" s="30" t="n">
        <x:v>46226</x:v>
      </x:c>
      <x:c r="J9" s="27" t="str">
        <x:v>L10</x:v>
      </x:c>
      <x:c r="K9" s="27" t="str">
        <x:v>LN-044</x:v>
      </x:c>
      <x:c r="L9" s="27" t="str">
        <x:v>normal</x:v>
      </x:c>
      <x:c r="M9" s="27" t="str">
        <x:v>scheduled</x:v>
      </x:c>
      <x:c r="N9" s="32" t="n">
        <x:v>0.05</x:v>
      </x:c>
      <x:c r="O9" s="34" t="n">
        <x:f>VLOOKUP(C9,style_master!$A$2:$H$33,8,FALSE)</x:f>
        <x:v>35</x:v>
      </x:c>
      <x:c r="P9" s="34" t="n">
        <x:f>E9*O9</x:f>
        <x:v>40250</x:v>
      </x:c>
      <x:c r="Q9" s="36" t="n">
        <x:f>IFERROR(P9/VLOOKUP(K9,line_capacity!$B$2:$N$47,13,FALSE),0)</x:f>
        <x:v>5.963344617018452</x:v>
      </x:c>
      <x:c r="R9" s="36" t="n">
        <x:f>H9-Dashboard!$B$2</x:f>
        <x:v>59</x:v>
      </x:c>
      <x:c r="S9" s="27" t="str">
        <x:f>IF(R9&lt;=0,"OVERDUE",IF(Q9&gt;R9,"HIGH",IF(Q9/R9&gt;0.65,"MEDIUM","LOW")))</x:f>
        <x:v>LOW</x:v>
      </x:c>
    </x:row>
    <x:row r="10">
      <x:c r="A10" s="27" t="str">
        <x:v>ORD-1109</x:v>
      </x:c>
      <x:c r="B10" s="27" t="str">
        <x:v>Venezia Atelier</x:v>
      </x:c>
      <x:c r="C10" s="27" t="str">
        <x:v>STY-005-2</x:v>
      </x:c>
      <x:c r="D10" s="27" t="str">
        <x:v>Jeans</x:v>
      </x:c>
      <x:c r="E10" s="34" t="n">
        <x:v>240</x:v>
      </x:c>
      <x:c r="F10" s="27" t="str">
        <x:v>36-46</x:v>
      </x:c>
      <x:c r="G10" s="30" t="n">
        <x:v>46197</x:v>
      </x:c>
      <x:c r="H10" s="30" t="n">
        <x:v>46222</x:v>
      </x:c>
      <x:c r="I10" s="30" t="n">
        <x:v>46220</x:v>
      </x:c>
      <x:c r="J10" s="27" t="str">
        <x:v>L4</x:v>
      </x:c>
      <x:c r="K10" s="27" t="str">
        <x:v>LN-016</x:v>
      </x:c>
      <x:c r="L10" s="27" t="str">
        <x:v>normal</x:v>
      </x:c>
      <x:c r="M10" s="27" t="str">
        <x:v>ready to cut</x:v>
      </x:c>
      <x:c r="N10" s="32" t="n">
        <x:v>0.18</x:v>
      </x:c>
      <x:c r="O10" s="34" t="n">
        <x:f>VLOOKUP(C10,style_master!$A$2:$H$33,8,FALSE)</x:f>
        <x:v>35</x:v>
      </x:c>
      <x:c r="P10" s="34" t="n">
        <x:f>E10*O10</x:f>
        <x:v>8400</x:v>
      </x:c>
      <x:c r="Q10" s="36" t="n">
        <x:f>IFERROR(P10/VLOOKUP(K10,line_capacity!$B$2:$N$47,13,FALSE),0)</x:f>
        <x:v>2.0586297760210805</x:v>
      </x:c>
      <x:c r="R10" s="36" t="n">
        <x:f>H10-Dashboard!$B$2</x:f>
        <x:v>53</x:v>
      </x:c>
      <x:c r="S10" s="27" t="str">
        <x:f>IF(R10&lt;=0,"OVERDUE",IF(Q10&gt;R10,"HIGH",IF(Q10/R10&gt;0.65,"MEDIUM","LOW")))</x:f>
        <x:v>LOW</x:v>
      </x:c>
    </x:row>
    <x:row r="11">
      <x:c r="A11" s="27" t="str">
        <x:v>ORD-1110</x:v>
      </x:c>
      <x:c r="B11" s="27" t="str">
        <x:v>Linea Roma</x:v>
      </x:c>
      <x:c r="C11" s="27" t="str">
        <x:v>STY-002-2</x:v>
      </x:c>
      <x:c r="D11" s="27" t="str">
        <x:v>Gonna</x:v>
      </x:c>
      <x:c r="E11" s="34" t="n">
        <x:v>900</x:v>
      </x:c>
      <x:c r="F11" s="27" t="str">
        <x:v>XS-XL</x:v>
      </x:c>
      <x:c r="G11" s="30" t="n">
        <x:v>46199</x:v>
      </x:c>
      <x:c r="H11" s="30" t="n">
        <x:v>46235</x:v>
      </x:c>
      <x:c r="I11" s="30" t="n">
        <x:v>46233</x:v>
      </x:c>
      <x:c r="J11" s="27" t="str">
        <x:v>L5</x:v>
      </x:c>
      <x:c r="K11" s="27" t="str">
        <x:v>LN-021</x:v>
      </x:c>
      <x:c r="L11" s="27" t="str">
        <x:v>normal</x:v>
      </x:c>
      <x:c r="M11" s="27" t="str">
        <x:v>materials ready</x:v>
      </x:c>
      <x:c r="N11" s="32" t="n">
        <x:v>0.12</x:v>
      </x:c>
      <x:c r="O11" s="34" t="n">
        <x:f>VLOOKUP(C11,style_master!$A$2:$H$33,8,FALSE)</x:f>
        <x:v>23</x:v>
      </x:c>
      <x:c r="P11" s="34" t="n">
        <x:f>E11*O11</x:f>
        <x:v>20700</x:v>
      </x:c>
      <x:c r="Q11" s="36" t="n">
        <x:f>IFERROR(P11/VLOOKUP(K11,line_capacity!$B$2:$N$47,13,FALSE),0)</x:f>
        <x:v>5.455407969639468</x:v>
      </x:c>
      <x:c r="R11" s="36" t="n">
        <x:f>H11-Dashboard!$B$2</x:f>
        <x:v>66</x:v>
      </x:c>
      <x:c r="S11" s="27" t="str">
        <x:f>IF(R11&lt;=0,"OVERDUE",IF(Q11&gt;R11,"HIGH",IF(Q11/R11&gt;0.65,"MEDIUM","LOW")))</x:f>
        <x:v>LOW</x:v>
      </x:c>
    </x:row>
    <x:row r="12">
      <x:c r="A12" s="27" t="str">
        <x:v>ORD-1111</x:v>
      </x:c>
      <x:c r="B12" s="27" t="str">
        <x:v>Boutique Genova</x:v>
      </x:c>
      <x:c r="C12" s="27" t="str">
        <x:v>STY-005-1</x:v>
      </x:c>
      <x:c r="D12" s="27" t="str">
        <x:v>Jeans</x:v>
      </x:c>
      <x:c r="E12" s="34" t="n">
        <x:v>900</x:v>
      </x:c>
      <x:c r="F12" s="27" t="str">
        <x:v>IT38-IT48</x:v>
      </x:c>
      <x:c r="G12" s="30" t="n">
        <x:v>46186</x:v>
      </x:c>
      <x:c r="H12" s="30" t="n">
        <x:v>46212</x:v>
      </x:c>
      <x:c r="I12" s="30" t="n">
        <x:v>46210</x:v>
      </x:c>
      <x:c r="J12" s="27" t="str">
        <x:v>L10</x:v>
      </x:c>
      <x:c r="K12" s="27" t="str">
        <x:v>LN-044</x:v>
      </x:c>
      <x:c r="L12" s="27" t="str">
        <x:v>normal</x:v>
      </x:c>
      <x:c r="M12" s="27" t="str">
        <x:v>not started</x:v>
      </x:c>
      <x:c r="N12" s="32" t="n">
        <x:v>0</x:v>
      </x:c>
      <x:c r="O12" s="34" t="n">
        <x:f>VLOOKUP(C12,style_master!$A$2:$H$33,8,FALSE)</x:f>
        <x:v>35</x:v>
      </x:c>
      <x:c r="P12" s="34" t="n">
        <x:f>E12*O12</x:f>
        <x:v>31500</x:v>
      </x:c>
      <x:c r="Q12" s="36" t="n">
        <x:f>IFERROR(P12/VLOOKUP(K12,line_capacity!$B$2:$N$47,13,FALSE),0)</x:f>
        <x:v>4.666965352449223</x:v>
      </x:c>
      <x:c r="R12" s="36" t="n">
        <x:f>H12-Dashboard!$B$2</x:f>
        <x:v>43</x:v>
      </x:c>
      <x:c r="S12" s="27" t="str">
        <x:f>IF(R12&lt;=0,"OVERDUE",IF(Q12&gt;R12,"HIGH",IF(Q12/R12&gt;0.65,"MEDIUM","LOW")))</x:f>
        <x:v>LOW</x:v>
      </x:c>
    </x:row>
    <x:row r="13">
      <x:c r="A13" s="27" t="str">
        <x:v>ORD-1112</x:v>
      </x:c>
      <x:c r="B13" s="27" t="str">
        <x:v>Studio Firenze</x:v>
      </x:c>
      <x:c r="C13" s="27" t="str">
        <x:v>STY-004-1</x:v>
      </x:c>
      <x:c r="D13" s="27" t="str">
        <x:v>Abito</x:v>
      </x:c>
      <x:c r="E13" s="34" t="n">
        <x:v>320</x:v>
      </x:c>
      <x:c r="F13" s="27" t="str">
        <x:v>36-46</x:v>
      </x:c>
      <x:c r="G13" s="30" t="n">
        <x:v>46188</x:v>
      </x:c>
      <x:c r="H13" s="30" t="n">
        <x:v>46212</x:v>
      </x:c>
      <x:c r="I13" s="30" t="n">
        <x:v>46210</x:v>
      </x:c>
      <x:c r="J13" s="27" t="str">
        <x:v>L8</x:v>
      </x:c>
      <x:c r="K13" s="27" t="str">
        <x:v>LN-035</x:v>
      </x:c>
      <x:c r="L13" s="27" t="str">
        <x:v>high</x:v>
      </x:c>
      <x:c r="M13" s="27" t="str">
        <x:v>in production</x:v>
      </x:c>
      <x:c r="N13" s="32" t="n">
        <x:v>0.34</x:v>
      </x:c>
      <x:c r="O13" s="34" t="n">
        <x:f>VLOOKUP(C13,style_master!$A$2:$H$33,8,FALSE)</x:f>
        <x:v>50</x:v>
      </x:c>
      <x:c r="P13" s="34" t="n">
        <x:f>E13*O13</x:f>
        <x:v>16000</x:v>
      </x:c>
      <x:c r="Q13" s="36" t="n">
        <x:f>IFERROR(P13/VLOOKUP(K13,line_capacity!$B$2:$N$47,13,FALSE),0)</x:f>
        <x:v>3.0119574711605073</x:v>
      </x:c>
      <x:c r="R13" s="36" t="n">
        <x:f>H13-Dashboard!$B$2</x:f>
        <x:v>43</x:v>
      </x:c>
      <x:c r="S13" s="27" t="str">
        <x:f>IF(R13&lt;=0,"OVERDUE",IF(Q13&gt;R13,"HIGH",IF(Q13/R13&gt;0.65,"MEDIUM","LOW")))</x:f>
        <x:v>LOW</x:v>
      </x:c>
    </x:row>
    <x:row r="14">
      <x:c r="A14" s="27" t="str">
        <x:v>ORD-1113</x:v>
      </x:c>
      <x:c r="B14" s="27" t="str">
        <x:v>Bari Concept</x:v>
      </x:c>
      <x:c r="C14" s="27" t="str">
        <x:v>STY-012-1</x:v>
      </x:c>
      <x:c r="D14" s="27" t="str">
        <x:v>Body</x:v>
      </x:c>
      <x:c r="E14" s="34" t="n">
        <x:v>760</x:v>
      </x:c>
      <x:c r="F14" s="27" t="str">
        <x:v>36-46</x:v>
      </x:c>
      <x:c r="G14" s="30" t="n">
        <x:v>46190</x:v>
      </x:c>
      <x:c r="H14" s="30" t="n">
        <x:v>46221</x:v>
      </x:c>
      <x:c r="I14" s="30" t="n">
        <x:v>46219</x:v>
      </x:c>
      <x:c r="J14" s="27" t="str">
        <x:v>L1</x:v>
      </x:c>
      <x:c r="K14" s="27" t="str">
        <x:v>LN-002</x:v>
      </x:c>
      <x:c r="L14" s="27" t="str">
        <x:v>normal</x:v>
      </x:c>
      <x:c r="M14" s="27" t="str">
        <x:v>scheduled</x:v>
      </x:c>
      <x:c r="N14" s="32" t="n">
        <x:v>0.05</x:v>
      </x:c>
      <x:c r="O14" s="34" t="n">
        <x:f>VLOOKUP(C14,style_master!$A$2:$H$33,8,FALSE)</x:f>
        <x:v>23</x:v>
      </x:c>
      <x:c r="P14" s="34" t="n">
        <x:f>E14*O14</x:f>
        <x:v>17480</x:v>
      </x:c>
      <x:c r="Q14" s="36" t="n">
        <x:f>IFERROR(P14/VLOOKUP(K14,line_capacity!$B$2:$N$47,13,FALSE),0)</x:f>
        <x:v>5.005314567412539</x:v>
      </x:c>
      <x:c r="R14" s="36" t="n">
        <x:f>H14-Dashboard!$B$2</x:f>
        <x:v>52</x:v>
      </x:c>
      <x:c r="S14" s="27" t="str">
        <x:f>IF(R14&lt;=0,"OVERDUE",IF(Q14&gt;R14,"HIGH",IF(Q14/R14&gt;0.65,"MEDIUM","LOW")))</x:f>
        <x:v>LOW</x:v>
      </x:c>
    </x:row>
    <x:row r="15">
      <x:c r="A15" s="27" t="str">
        <x:v>ORD-1114</x:v>
      </x:c>
      <x:c r="B15" s="27" t="str">
        <x:v>Studio Firenze</x:v>
      </x:c>
      <x:c r="C15" s="27" t="str">
        <x:v>STY-011-1</x:v>
      </x:c>
      <x:c r="D15" s="27" t="str">
        <x:v>Kimono</x:v>
      </x:c>
      <x:c r="E15" s="34" t="n">
        <x:v>230</x:v>
      </x:c>
      <x:c r="F15" s="27" t="str">
        <x:v>34-44</x:v>
      </x:c>
      <x:c r="G15" s="30" t="n">
        <x:v>46192</x:v>
      </x:c>
      <x:c r="H15" s="30" t="n">
        <x:v>46216</x:v>
      </x:c>
      <x:c r="I15" s="30" t="n">
        <x:v>46214</x:v>
      </x:c>
      <x:c r="J15" s="27" t="str">
        <x:v>L9</x:v>
      </x:c>
      <x:c r="K15" s="27" t="str">
        <x:v>LN-039</x:v>
      </x:c>
      <x:c r="L15" s="27" t="str">
        <x:v>high</x:v>
      </x:c>
      <x:c r="M15" s="27" t="str">
        <x:v>ready to cut</x:v>
      </x:c>
      <x:c r="N15" s="32" t="n">
        <x:v>0.18</x:v>
      </x:c>
      <x:c r="O15" s="34" t="n">
        <x:f>VLOOKUP(C15,style_master!$A$2:$H$33,8,FALSE)</x:f>
        <x:v>36</x:v>
      </x:c>
      <x:c r="P15" s="34" t="n">
        <x:f>E15*O15</x:f>
        <x:v>8280</x:v>
      </x:c>
      <x:c r="Q15" s="36" t="n">
        <x:f>IFERROR(P15/VLOOKUP(K15,line_capacity!$B$2:$N$47,13,FALSE),0)</x:f>
        <x:v>0.991892358116267</x:v>
      </x:c>
      <x:c r="R15" s="36" t="n">
        <x:f>H15-Dashboard!$B$2</x:f>
        <x:v>47</x:v>
      </x:c>
      <x:c r="S15" s="27" t="str">
        <x:f>IF(R15&lt;=0,"OVERDUE",IF(Q15&gt;R15,"HIGH",IF(Q15/R15&gt;0.65,"MEDIUM","LOW")))</x:f>
        <x:v>LOW</x:v>
      </x:c>
    </x:row>
    <x:row r="16">
      <x:c r="A16" s="27" t="str">
        <x:v>ORD-1115</x:v>
      </x:c>
      <x:c r="B16" s="27" t="str">
        <x:v>Bari Concept</x:v>
      </x:c>
      <x:c r="C16" s="27" t="str">
        <x:v>STY-007-1</x:v>
      </x:c>
      <x:c r="D16" s="27" t="str">
        <x:v>Pantalone</x:v>
      </x:c>
      <x:c r="E16" s="34" t="n">
        <x:v>360</x:v>
      </x:c>
      <x:c r="F16" s="27" t="str">
        <x:v>S-XXL</x:v>
      </x:c>
      <x:c r="G16" s="30" t="n">
        <x:v>46194</x:v>
      </x:c>
      <x:c r="H16" s="30" t="n">
        <x:v>46221</x:v>
      </x:c>
      <x:c r="I16" s="30" t="n">
        <x:v>46219</x:v>
      </x:c>
      <x:c r="J16" s="27" t="str">
        <x:v>L7</x:v>
      </x:c>
      <x:c r="K16" s="27" t="str">
        <x:v>LN-030</x:v>
      </x:c>
      <x:c r="L16" s="27" t="str">
        <x:v>normal</x:v>
      </x:c>
      <x:c r="M16" s="27" t="str">
        <x:v>materials ready</x:v>
      </x:c>
      <x:c r="N16" s="32" t="n">
        <x:v>0.12</x:v>
      </x:c>
      <x:c r="O16" s="34" t="n">
        <x:f>VLOOKUP(C16,style_master!$A$2:$H$33,8,FALSE)</x:f>
        <x:v>34</x:v>
      </x:c>
      <x:c r="P16" s="34" t="n">
        <x:f>E16*O16</x:f>
        <x:v>12240</x:v>
      </x:c>
      <x:c r="Q16" s="36" t="n">
        <x:f>IFERROR(P16/VLOOKUP(K16,line_capacity!$B$2:$N$47,13,FALSE),0)</x:f>
        <x:v>1.7524327890483262</x:v>
      </x:c>
      <x:c r="R16" s="36" t="n">
        <x:f>H16-Dashboard!$B$2</x:f>
        <x:v>52</x:v>
      </x:c>
      <x:c r="S16" s="27" t="str">
        <x:f>IF(R16&lt;=0,"OVERDUE",IF(Q16&gt;R16,"HIGH",IF(Q16/R16&gt;0.65,"MEDIUM","LOW")))</x:f>
        <x:v>LOW</x:v>
      </x:c>
    </x:row>
    <x:row r="17">
      <x:c r="A17" s="27" t="str">
        <x:v>ORD-1116</x:v>
      </x:c>
      <x:c r="B17" s="27" t="str">
        <x:v>Sartoria Napoli</x:v>
      </x:c>
      <x:c r="C17" s="27" t="str">
        <x:v>STY-001-2</x:v>
      </x:c>
      <x:c r="D17" s="27" t="str">
        <x:v>Cappotto</x:v>
      </x:c>
      <x:c r="E17" s="34" t="n">
        <x:v>160</x:v>
      </x:c>
      <x:c r="F17" s="27" t="str">
        <x:v>1-5</x:v>
      </x:c>
      <x:c r="G17" s="30" t="n">
        <x:v>46196</x:v>
      </x:c>
      <x:c r="H17" s="30" t="n">
        <x:v>46215</x:v>
      </x:c>
      <x:c r="I17" s="30" t="n">
        <x:v>46213</x:v>
      </x:c>
      <x:c r="J17" s="27" t="str">
        <x:v>L7</x:v>
      </x:c>
      <x:c r="K17" s="27" t="str">
        <x:v>LN-030</x:v>
      </x:c>
      <x:c r="L17" s="27" t="str">
        <x:v>high</x:v>
      </x:c>
      <x:c r="M17" s="27" t="str">
        <x:v>not started</x:v>
      </x:c>
      <x:c r="N17" s="32" t="n">
        <x:v>0</x:v>
      </x:c>
      <x:c r="O17" s="34" t="n">
        <x:f>VLOOKUP(C17,style_master!$A$2:$H$33,8,FALSE)</x:f>
        <x:v>79</x:v>
      </x:c>
      <x:c r="P17" s="34" t="n">
        <x:f>E17*O17</x:f>
        <x:v>12640</x:v>
      </x:c>
      <x:c r="Q17" s="36" t="n">
        <x:f>IFERROR(P17/VLOOKUP(K17,line_capacity!$B$2:$N$47,13,FALSE),0)</x:f>
        <x:v>1.8097018344420623</x:v>
      </x:c>
      <x:c r="R17" s="36" t="n">
        <x:f>H17-Dashboard!$B$2</x:f>
        <x:v>46</x:v>
      </x:c>
      <x:c r="S17" s="27" t="str">
        <x:f>IF(R17&lt;=0,"OVERDUE",IF(Q17&gt;R17,"HIGH",IF(Q17/R17&gt;0.65,"MEDIUM","LOW")))</x:f>
        <x:v>LOW</x:v>
      </x:c>
    </x:row>
    <x:row r="18">
      <x:c r="A18" s="27" t="str">
        <x:v>ORD-1117</x:v>
      </x:c>
      <x:c r="B18" s="27" t="str">
        <x:v>Cagliari Studio</x:v>
      </x:c>
      <x:c r="C18" s="27" t="str">
        <x:v>STY-001-1</x:v>
      </x:c>
      <x:c r="D18" s="27" t="str">
        <x:v>Cappotto</x:v>
      </x:c>
      <x:c r="E18" s="34" t="n">
        <x:v>300</x:v>
      </x:c>
      <x:c r="F18" s="27" t="str">
        <x:v>34-44</x:v>
      </x:c>
      <x:c r="G18" s="30" t="n">
        <x:v>46198</x:v>
      </x:c>
      <x:c r="H18" s="30" t="n">
        <x:v>46221</x:v>
      </x:c>
      <x:c r="I18" s="30" t="n">
        <x:v>46219</x:v>
      </x:c>
      <x:c r="J18" s="27" t="str">
        <x:v>L9</x:v>
      </x:c>
      <x:c r="K18" s="27" t="str">
        <x:v>LN-039</x:v>
      </x:c>
      <x:c r="L18" s="27" t="str">
        <x:v>normal</x:v>
      </x:c>
      <x:c r="M18" s="27" t="str">
        <x:v>in production</x:v>
      </x:c>
      <x:c r="N18" s="32" t="n">
        <x:v>0.34</x:v>
      </x:c>
      <x:c r="O18" s="34" t="n">
        <x:f>VLOOKUP(C18,style_master!$A$2:$H$33,8,FALSE)</x:f>
        <x:v>80</x:v>
      </x:c>
      <x:c r="P18" s="34" t="n">
        <x:f>E18*O18</x:f>
        <x:v>24000</x:v>
      </x:c>
      <x:c r="Q18" s="36" t="n">
        <x:f>IFERROR(P18/VLOOKUP(K18,line_capacity!$B$2:$N$47,13,FALSE),0)</x:f>
        <x:v>2.875050313380484</x:v>
      </x:c>
      <x:c r="R18" s="36" t="n">
        <x:f>H18-Dashboard!$B$2</x:f>
        <x:v>52</x:v>
      </x:c>
      <x:c r="S18" s="27" t="str">
        <x:f>IF(R18&lt;=0,"OVERDUE",IF(Q18&gt;R18,"HIGH",IF(Q18/R18&gt;0.65,"MEDIUM","LOW")))</x:f>
        <x:v>LOW</x:v>
      </x:c>
    </x:row>
    <x:row r="19">
      <x:c r="A19" s="27" t="str">
        <x:v>ORD-1118</x:v>
      </x:c>
      <x:c r="B19" s="27" t="str">
        <x:v>Torino Mode</x:v>
      </x:c>
      <x:c r="C19" s="27" t="str">
        <x:v>STY-005-1</x:v>
      </x:c>
      <x:c r="D19" s="27" t="str">
        <x:v>Jeans</x:v>
      </x:c>
      <x:c r="E19" s="34" t="n">
        <x:v>1300</x:v>
      </x:c>
      <x:c r="F19" s="27" t="str">
        <x:v>IT38-IT48</x:v>
      </x:c>
      <x:c r="G19" s="30" t="n">
        <x:v>46200</x:v>
      </x:c>
      <x:c r="H19" s="30" t="n">
        <x:v>46245</x:v>
      </x:c>
      <x:c r="I19" s="30" t="n">
        <x:v>46243</x:v>
      </x:c>
      <x:c r="J19" s="27" t="str">
        <x:v>L4</x:v>
      </x:c>
      <x:c r="K19" s="27" t="str">
        <x:v>LN-016</x:v>
      </x:c>
      <x:c r="L19" s="27" t="str">
        <x:v>normal</x:v>
      </x:c>
      <x:c r="M19" s="27" t="str">
        <x:v>scheduled</x:v>
      </x:c>
      <x:c r="N19" s="32" t="n">
        <x:v>0.05</x:v>
      </x:c>
      <x:c r="O19" s="34" t="n">
        <x:f>VLOOKUP(C19,style_master!$A$2:$H$33,8,FALSE)</x:f>
        <x:v>35</x:v>
      </x:c>
      <x:c r="P19" s="34" t="n">
        <x:f>E19*O19</x:f>
        <x:v>45500</x:v>
      </x:c>
      <x:c r="Q19" s="36" t="n">
        <x:f>IFERROR(P19/VLOOKUP(K19,line_capacity!$B$2:$N$47,13,FALSE),0)</x:f>
        <x:v>11.150911286780852</x:v>
      </x:c>
      <x:c r="R19" s="36" t="n">
        <x:f>H19-Dashboard!$B$2</x:f>
        <x:v>76</x:v>
      </x:c>
      <x:c r="S19" s="27" t="str">
        <x:f>IF(R19&lt;=0,"OVERDUE",IF(Q19&gt;R19,"HIGH",IF(Q19/R19&gt;0.65,"MEDIUM","LOW")))</x:f>
        <x:v>LOW</x:v>
      </x:c>
    </x:row>
    <x:row r="20">
      <x:c r="A20" s="27" t="str">
        <x:v>ORD-1119</x:v>
      </x:c>
      <x:c r="B20" s="27" t="str">
        <x:v>Studio Firenze</x:v>
      </x:c>
      <x:c r="C20" s="27" t="str">
        <x:v>STY-004-2</x:v>
      </x:c>
      <x:c r="D20" s="27" t="str">
        <x:v>Abito</x:v>
      </x:c>
      <x:c r="E20" s="34" t="n">
        <x:v>600</x:v>
      </x:c>
      <x:c r="F20" s="27" t="str">
        <x:v>S-XXL</x:v>
      </x:c>
      <x:c r="G20" s="30" t="n">
        <x:v>46202</x:v>
      </x:c>
      <x:c r="H20" s="30" t="n">
        <x:v>46232</x:v>
      </x:c>
      <x:c r="I20" s="30" t="n">
        <x:v>46230</x:v>
      </x:c>
      <x:c r="J20" s="27" t="str">
        <x:v>L7</x:v>
      </x:c>
      <x:c r="K20" s="27" t="str">
        <x:v>LN-030</x:v>
      </x:c>
      <x:c r="L20" s="27" t="str">
        <x:v>normal</x:v>
      </x:c>
      <x:c r="M20" s="27" t="str">
        <x:v>ready to cut</x:v>
      </x:c>
      <x:c r="N20" s="32" t="n">
        <x:v>0.18</x:v>
      </x:c>
      <x:c r="O20" s="34" t="n">
        <x:f>VLOOKUP(C20,style_master!$A$2:$H$33,8,FALSE)</x:f>
        <x:v>44</x:v>
      </x:c>
      <x:c r="P20" s="34" t="n">
        <x:f>E20*O20</x:f>
        <x:v>26400</x:v>
      </x:c>
      <x:c r="Q20" s="36" t="n">
        <x:f>IFERROR(P20/VLOOKUP(K20,line_capacity!$B$2:$N$47,13,FALSE),0)</x:f>
        <x:v>3.779756995986586</x:v>
      </x:c>
      <x:c r="R20" s="36" t="n">
        <x:f>H20-Dashboard!$B$2</x:f>
        <x:v>63</x:v>
      </x:c>
      <x:c r="S20" s="27" t="str">
        <x:f>IF(R20&lt;=0,"OVERDUE",IF(Q20&gt;R20,"HIGH",IF(Q20/R20&gt;0.65,"MEDIUM","LOW")))</x:f>
        <x:v>LOW</x:v>
      </x:c>
    </x:row>
    <x:row r="21">
      <x:c r="A21" s="27" t="str">
        <x:v>ORD-1120</x:v>
      </x:c>
      <x:c r="B21" s="27" t="str">
        <x:v>Moda Verona</x:v>
      </x:c>
      <x:c r="C21" s="27" t="str">
        <x:v>STY-002-1</x:v>
      </x:c>
      <x:c r="D21" s="27" t="str">
        <x:v>Gonna</x:v>
      </x:c>
      <x:c r="E21" s="34" t="n">
        <x:v>220</x:v>
      </x:c>
      <x:c r="F21" s="27" t="str">
        <x:v>IT38-IT48</x:v>
      </x:c>
      <x:c r="G21" s="30" t="n">
        <x:v>46204</x:v>
      </x:c>
      <x:c r="H21" s="30" t="n">
        <x:v>46230</x:v>
      </x:c>
      <x:c r="I21" s="30" t="n">
        <x:v>46228</x:v>
      </x:c>
      <x:c r="J21" s="27" t="str">
        <x:v>L7</x:v>
      </x:c>
      <x:c r="K21" s="27" t="str">
        <x:v>LN-030</x:v>
      </x:c>
      <x:c r="L21" s="27" t="str">
        <x:v>high</x:v>
      </x:c>
      <x:c r="M21" s="27" t="str">
        <x:v>materials ready</x:v>
      </x:c>
      <x:c r="N21" s="32" t="n">
        <x:v>0.12</x:v>
      </x:c>
      <x:c r="O21" s="34" t="n">
        <x:f>VLOOKUP(C21,style_master!$A$2:$H$33,8,FALSE)</x:f>
        <x:v>18</x:v>
      </x:c>
      <x:c r="P21" s="34" t="n">
        <x:f>E21*O21</x:f>
        <x:v>3960</x:v>
      </x:c>
      <x:c r="Q21" s="36" t="n">
        <x:f>IFERROR(P21/VLOOKUP(K21,line_capacity!$B$2:$N$47,13,FALSE),0)</x:f>
        <x:v>0.5669635493979879</x:v>
      </x:c>
      <x:c r="R21" s="36" t="n">
        <x:f>H21-Dashboard!$B$2</x:f>
        <x:v>61</x:v>
      </x:c>
      <x:c r="S21" s="27" t="str">
        <x:f>IF(R21&lt;=0,"OVERDUE",IF(Q21&gt;R21,"HIGH",IF(Q21/R21&gt;0.65,"MEDIUM","LOW")))</x:f>
        <x:v>LOW</x:v>
      </x:c>
    </x:row>
    <x:row r="22">
      <x:c r="A22" s="27" t="str">
        <x:v>ORD-1121</x:v>
      </x:c>
      <x:c r="B22" s="27" t="str">
        <x:v>Atelier Bologna</x:v>
      </x:c>
      <x:c r="C22" s="27" t="str">
        <x:v>STY-008-2</x:v>
      </x:c>
      <x:c r="D22" s="27" t="str">
        <x:v>Blazer</x:v>
      </x:c>
      <x:c r="E22" s="34" t="n">
        <x:v>280</x:v>
      </x:c>
      <x:c r="F22" s="27" t="str">
        <x:v>XS-XL</x:v>
      </x:c>
      <x:c r="G22" s="30" t="n">
        <x:v>46191</x:v>
      </x:c>
      <x:c r="H22" s="30" t="n">
        <x:v>46211</x:v>
      </x:c>
      <x:c r="I22" s="30" t="n">
        <x:v>46209</x:v>
      </x:c>
      <x:c r="J22" s="27" t="str">
        <x:v>L9</x:v>
      </x:c>
      <x:c r="K22" s="27" t="str">
        <x:v>LN-039</x:v>
      </x:c>
      <x:c r="L22" s="27" t="str">
        <x:v>normal</x:v>
      </x:c>
      <x:c r="M22" s="27" t="str">
        <x:v>not started</x:v>
      </x:c>
      <x:c r="N22" s="32" t="n">
        <x:v>0</x:v>
      </x:c>
      <x:c r="O22" s="34" t="n">
        <x:f>VLOOKUP(C22,style_master!$A$2:$H$33,8,FALSE)</x:f>
        <x:v>63</x:v>
      </x:c>
      <x:c r="P22" s="34" t="n">
        <x:f>E22*O22</x:f>
        <x:v>17640</x:v>
      </x:c>
      <x:c r="Q22" s="36" t="n">
        <x:f>IFERROR(P22/VLOOKUP(K22,line_capacity!$B$2:$N$47,13,FALSE),0)</x:f>
        <x:v>2.113161980334656</x:v>
      </x:c>
      <x:c r="R22" s="36" t="n">
        <x:f>H22-Dashboard!$B$2</x:f>
        <x:v>42</x:v>
      </x:c>
      <x:c r="S22" s="27" t="str">
        <x:f>IF(R22&lt;=0,"OVERDUE",IF(Q22&gt;R22,"HIGH",IF(Q22/R22&gt;0.65,"MEDIUM","LOW")))</x:f>
        <x:v>LOW</x:v>
      </x:c>
    </x:row>
    <x:row r="23">
      <x:c r="A23" s="27" t="str">
        <x:v>ORD-1122</x:v>
      </x:c>
      <x:c r="B23" s="27" t="str">
        <x:v>Atelier Bologna</x:v>
      </x:c>
      <x:c r="C23" s="27" t="str">
        <x:v>STY-014-2</x:v>
      </x:c>
      <x:c r="D23" s="27" t="str">
        <x:v>Bra</x:v>
      </x:c>
      <x:c r="E23" s="34" t="n">
        <x:v>150</x:v>
      </x:c>
      <x:c r="F23" s="27" t="str">
        <x:v>1-5</x:v>
      </x:c>
      <x:c r="G23" s="30" t="n">
        <x:v>46193</x:v>
      </x:c>
      <x:c r="H23" s="30" t="n">
        <x:v>46213</x:v>
      </x:c>
      <x:c r="I23" s="30" t="n">
        <x:v>46211</x:v>
      </x:c>
      <x:c r="J23" s="27" t="str">
        <x:v>L9</x:v>
      </x:c>
      <x:c r="K23" s="27" t="str">
        <x:v>LN-039</x:v>
      </x:c>
      <x:c r="L23" s="27" t="str">
        <x:v>high</x:v>
      </x:c>
      <x:c r="M23" s="27" t="str">
        <x:v>in production</x:v>
      </x:c>
      <x:c r="N23" s="32" t="n">
        <x:v>0.34</x:v>
      </x:c>
      <x:c r="O23" s="34" t="n">
        <x:f>VLOOKUP(C23,style_master!$A$2:$H$33,8,FALSE)</x:f>
        <x:v>34</x:v>
      </x:c>
      <x:c r="P23" s="34" t="n">
        <x:f>E23*O23</x:f>
        <x:v>5100</x:v>
      </x:c>
      <x:c r="Q23" s="36" t="n">
        <x:f>IFERROR(P23/VLOOKUP(K23,line_capacity!$B$2:$N$47,13,FALSE),0)</x:f>
        <x:v>0.6109481915933529</x:v>
      </x:c>
      <x:c r="R23" s="36" t="n">
        <x:f>H23-Dashboard!$B$2</x:f>
        <x:v>44</x:v>
      </x:c>
      <x:c r="S23" s="27" t="str">
        <x:f>IF(R23&lt;=0,"OVERDUE",IF(Q23&gt;R23,"HIGH",IF(Q23/R23&gt;0.65,"MEDIUM","LOW")))</x:f>
        <x:v>LOW</x:v>
      </x:c>
    </x:row>
    <x:row r="24">
      <x:c r="A24" s="27" t="str">
        <x:v>ORD-1123</x:v>
      </x:c>
      <x:c r="B24" s="27" t="str">
        <x:v>Torino Mode</x:v>
      </x:c>
      <x:c r="C24" s="27" t="str">
        <x:v>STY-008-2</x:v>
      </x:c>
      <x:c r="D24" s="27" t="str">
        <x:v>Blazer</x:v>
      </x:c>
      <x:c r="E24" s="34" t="n">
        <x:v>80</x:v>
      </x:c>
      <x:c r="F24" s="27" t="str">
        <x:v>XS-XL</x:v>
      </x:c>
      <x:c r="G24" s="30" t="n">
        <x:v>46195</x:v>
      </x:c>
      <x:c r="H24" s="30" t="n">
        <x:v>46217</x:v>
      </x:c>
      <x:c r="I24" s="30" t="n">
        <x:v>46215</x:v>
      </x:c>
      <x:c r="J24" s="27" t="str">
        <x:v>L10</x:v>
      </x:c>
      <x:c r="K24" s="27" t="str">
        <x:v>LN-044</x:v>
      </x:c>
      <x:c r="L24" s="27" t="str">
        <x:v>normal</x:v>
      </x:c>
      <x:c r="M24" s="27" t="str">
        <x:v>scheduled</x:v>
      </x:c>
      <x:c r="N24" s="32" t="n">
        <x:v>0.05</x:v>
      </x:c>
      <x:c r="O24" s="34" t="n">
        <x:f>VLOOKUP(C24,style_master!$A$2:$H$33,8,FALSE)</x:f>
        <x:v>63</x:v>
      </x:c>
      <x:c r="P24" s="34" t="n">
        <x:f>E24*O24</x:f>
        <x:v>5040</x:v>
      </x:c>
      <x:c r="Q24" s="36" t="n">
        <x:f>IFERROR(P24/VLOOKUP(K24,line_capacity!$B$2:$N$47,13,FALSE),0)</x:f>
        <x:v>0.7467144563918757</x:v>
      </x:c>
      <x:c r="R24" s="36" t="n">
        <x:f>H24-Dashboard!$B$2</x:f>
        <x:v>48</x:v>
      </x:c>
      <x:c r="S24" s="27" t="str">
        <x:f>IF(R24&lt;=0,"OVERDUE",IF(Q24&gt;R24,"HIGH",IF(Q24/R24&gt;0.65,"MEDIUM","LOW")))</x:f>
        <x:v>LOW</x:v>
      </x:c>
    </x:row>
    <x:row r="25">
      <x:c r="A25" s="27" t="str">
        <x:v>ORD-1124</x:v>
      </x:c>
      <x:c r="B25" s="27" t="str">
        <x:v>Maison Milano</x:v>
      </x:c>
      <x:c r="C25" s="27" t="str">
        <x:v>STY-004-1</x:v>
      </x:c>
      <x:c r="D25" s="27" t="str">
        <x:v>Abito</x:v>
      </x:c>
      <x:c r="E25" s="34" t="n">
        <x:v>320</x:v>
      </x:c>
      <x:c r="F25" s="27" t="str">
        <x:v>36-46</x:v>
      </x:c>
      <x:c r="G25" s="30" t="n">
        <x:v>46197</x:v>
      </x:c>
      <x:c r="H25" s="30" t="n">
        <x:v>46225</x:v>
      </x:c>
      <x:c r="I25" s="30" t="n">
        <x:v>46223</x:v>
      </x:c>
      <x:c r="J25" s="27" t="str">
        <x:v>L8</x:v>
      </x:c>
      <x:c r="K25" s="27" t="str">
        <x:v>LN-035</x:v>
      </x:c>
      <x:c r="L25" s="27" t="str">
        <x:v>high</x:v>
      </x:c>
      <x:c r="M25" s="27" t="str">
        <x:v>ready to cut</x:v>
      </x:c>
      <x:c r="N25" s="32" t="n">
        <x:v>0.18</x:v>
      </x:c>
      <x:c r="O25" s="34" t="n">
        <x:f>VLOOKUP(C25,style_master!$A$2:$H$33,8,FALSE)</x:f>
        <x:v>50</x:v>
      </x:c>
      <x:c r="P25" s="34" t="n">
        <x:f>E25*O25</x:f>
        <x:v>16000</x:v>
      </x:c>
      <x:c r="Q25" s="36" t="n">
        <x:f>IFERROR(P25/VLOOKUP(K25,line_capacity!$B$2:$N$47,13,FALSE),0)</x:f>
        <x:v>3.0119574711605073</x:v>
      </x:c>
      <x:c r="R25" s="36" t="n">
        <x:f>H25-Dashboard!$B$2</x:f>
        <x:v>56</x:v>
      </x:c>
      <x:c r="S25" s="27" t="str">
        <x:f>IF(R25&lt;=0,"OVERDUE",IF(Q25&gt;R25,"HIGH",IF(Q25/R25&gt;0.65,"MEDIUM","LOW")))</x:f>
        <x:v>LOW</x:v>
      </x:c>
    </x:row>
    <x:row r="26">
      <x:c r="A26" s="27" t="str">
        <x:v>ORD-1125</x:v>
      </x:c>
      <x:c r="B26" s="27" t="str">
        <x:v>Bari Concept</x:v>
      </x:c>
      <x:c r="C26" s="27" t="str">
        <x:v>STY-003-1</x:v>
      </x:c>
      <x:c r="D26" s="27" t="str">
        <x:v>Camicia</x:v>
      </x:c>
      <x:c r="E26" s="34" t="n">
        <x:v>280</x:v>
      </x:c>
      <x:c r="F26" s="27" t="str">
        <x:v>XS-XL</x:v>
      </x:c>
      <x:c r="G26" s="30" t="n">
        <x:v>46199</x:v>
      </x:c>
      <x:c r="H26" s="30" t="n">
        <x:v>46226</x:v>
      </x:c>
      <x:c r="I26" s="30" t="n">
        <x:v>46224</x:v>
      </x:c>
      <x:c r="J26" s="27" t="str">
        <x:v>L6</x:v>
      </x:c>
      <x:c r="K26" s="27" t="str">
        <x:v>LN-026</x:v>
      </x:c>
      <x:c r="L26" s="27" t="str">
        <x:v>normal</x:v>
      </x:c>
      <x:c r="M26" s="27" t="str">
        <x:v>materials ready</x:v>
      </x:c>
      <x:c r="N26" s="32" t="n">
        <x:v>0.12</x:v>
      </x:c>
      <x:c r="O26" s="34" t="n">
        <x:f>VLOOKUP(C26,style_master!$A$2:$H$33,8,FALSE)</x:f>
        <x:v>28</x:v>
      </x:c>
      <x:c r="P26" s="34" t="n">
        <x:f>E26*O26</x:f>
        <x:v>7840</x:v>
      </x:c>
      <x:c r="Q26" s="36" t="n">
        <x:f>IFERROR(P26/VLOOKUP(K26,line_capacity!$B$2:$N$47,13,FALSE),0)</x:f>
        <x:v>1.7612721417069246</x:v>
      </x:c>
      <x:c r="R26" s="36" t="n">
        <x:f>H26-Dashboard!$B$2</x:f>
        <x:v>57</x:v>
      </x:c>
      <x:c r="S26" s="27" t="str">
        <x:f>IF(R26&lt;=0,"OVERDUE",IF(Q26&gt;R26,"HIGH",IF(Q26/R26&gt;0.65,"MEDIUM","LOW")))</x:f>
        <x:v>LOW</x:v>
      </x:c>
    </x:row>
    <x:row r="27">
      <x:c r="A27" s="27" t="str">
        <x:v>ORD-1126</x:v>
      </x:c>
      <x:c r="B27" s="27" t="str">
        <x:v>Casa Palermo</x:v>
      </x:c>
      <x:c r="C27" s="27" t="str">
        <x:v>STY-015-2</x:v>
      </x:c>
      <x:c r="D27" s="27" t="str">
        <x:v>Boxer</x:v>
      </x:c>
      <x:c r="E27" s="34" t="n">
        <x:v>300</x:v>
      </x:c>
      <x:c r="F27" s="27" t="str">
        <x:v>1-5</x:v>
      </x:c>
      <x:c r="G27" s="30" t="n">
        <x:v>46201</x:v>
      </x:c>
      <x:c r="H27" s="30" t="n">
        <x:v>46219</x:v>
      </x:c>
      <x:c r="I27" s="30" t="n">
        <x:v>46217</x:v>
      </x:c>
      <x:c r="J27" s="27" t="str">
        <x:v>L9</x:v>
      </x:c>
      <x:c r="K27" s="27" t="str">
        <x:v>LN-039</x:v>
      </x:c>
      <x:c r="L27" s="27" t="str">
        <x:v>normal</x:v>
      </x:c>
      <x:c r="M27" s="27" t="str">
        <x:v>not started</x:v>
      </x:c>
      <x:c r="N27" s="32" t="n">
        <x:v>0</x:v>
      </x:c>
      <x:c r="O27" s="34" t="n">
        <x:f>VLOOKUP(C27,style_master!$A$2:$H$33,8,FALSE)</x:f>
        <x:v>30</x:v>
      </x:c>
      <x:c r="P27" s="34" t="n">
        <x:f>E27*O27</x:f>
        <x:v>9000</x:v>
      </x:c>
      <x:c r="Q27" s="36" t="n">
        <x:f>IFERROR(P27/VLOOKUP(K27,line_capacity!$B$2:$N$47,13,FALSE),0)</x:f>
        <x:v>1.0781438675176815</x:v>
      </x:c>
      <x:c r="R27" s="36" t="n">
        <x:f>H27-Dashboard!$B$2</x:f>
        <x:v>50</x:v>
      </x:c>
      <x:c r="S27" s="27" t="str">
        <x:f>IF(R27&lt;=0,"OVERDUE",IF(Q27&gt;R27,"HIGH",IF(Q27/R27&gt;0.65,"MEDIUM","LOW")))</x:f>
        <x:v>LOW</x:v>
      </x:c>
    </x:row>
    <x:row r="28">
      <x:c r="A28" s="27" t="str">
        <x:v>ORD-1127</x:v>
      </x:c>
      <x:c r="B28" s="27" t="str">
        <x:v>Torino Mode</x:v>
      </x:c>
      <x:c r="C28" s="27" t="str">
        <x:v>STY-003-1</x:v>
      </x:c>
      <x:c r="D28" s="27" t="str">
        <x:v>Camicia</x:v>
      </x:c>
      <x:c r="E28" s="34" t="n">
        <x:v>1000</x:v>
      </x:c>
      <x:c r="F28" s="27" t="str">
        <x:v>XS-XL</x:v>
      </x:c>
      <x:c r="G28" s="30" t="n">
        <x:v>46203</x:v>
      </x:c>
      <x:c r="H28" s="30" t="n">
        <x:v>46228</x:v>
      </x:c>
      <x:c r="I28" s="30" t="n">
        <x:v>46226</x:v>
      </x:c>
      <x:c r="J28" s="27" t="str">
        <x:v>L9</x:v>
      </x:c>
      <x:c r="K28" s="27" t="str">
        <x:v>LN-039</x:v>
      </x:c>
      <x:c r="L28" s="27" t="str">
        <x:v>normal</x:v>
      </x:c>
      <x:c r="M28" s="27" t="str">
        <x:v>in production</x:v>
      </x:c>
      <x:c r="N28" s="32" t="n">
        <x:v>0.34</x:v>
      </x:c>
      <x:c r="O28" s="34" t="n">
        <x:f>VLOOKUP(C28,style_master!$A$2:$H$33,8,FALSE)</x:f>
        <x:v>28</x:v>
      </x:c>
      <x:c r="P28" s="34" t="n">
        <x:f>E28*O28</x:f>
        <x:v>28000</x:v>
      </x:c>
      <x:c r="Q28" s="36" t="n">
        <x:f>IFERROR(P28/VLOOKUP(K28,line_capacity!$B$2:$N$47,13,FALSE),0)</x:f>
        <x:v>3.354225365610565</x:v>
      </x:c>
      <x:c r="R28" s="36" t="n">
        <x:f>H28-Dashboard!$B$2</x:f>
        <x:v>59</x:v>
      </x:c>
      <x:c r="S28" s="27" t="str">
        <x:f>IF(R28&lt;=0,"OVERDUE",IF(Q28&gt;R28,"HIGH",IF(Q28/R28&gt;0.65,"MEDIUM","LOW")))</x:f>
        <x:v>LOW</x:v>
      </x:c>
    </x:row>
    <x:row r="29">
      <x:c r="A29" s="27" t="str">
        <x:v>ORD-1128</x:v>
      </x:c>
      <x:c r="B29" s="27" t="str">
        <x:v>Sartoria Napoli</x:v>
      </x:c>
      <x:c r="C29" s="27" t="str">
        <x:v>STY-016-1</x:v>
      </x:c>
      <x:c r="D29" s="27" t="str">
        <x:v>Baby doll</x:v>
      </x:c>
      <x:c r="E29" s="34" t="n">
        <x:v>150</x:v>
      </x:c>
      <x:c r="F29" s="27" t="str">
        <x:v>36-46</x:v>
      </x:c>
      <x:c r="G29" s="30" t="n">
        <x:v>46205</x:v>
      </x:c>
      <x:c r="H29" s="30" t="n">
        <x:v>46227</x:v>
      </x:c>
      <x:c r="I29" s="30" t="n">
        <x:v>46225</x:v>
      </x:c>
      <x:c r="J29" s="27" t="str">
        <x:v>L9</x:v>
      </x:c>
      <x:c r="K29" s="27" t="str">
        <x:v>LN-039</x:v>
      </x:c>
      <x:c r="L29" s="27" t="str">
        <x:v>normal</x:v>
      </x:c>
      <x:c r="M29" s="27" t="str">
        <x:v>scheduled</x:v>
      </x:c>
      <x:c r="N29" s="32" t="n">
        <x:v>0.05</x:v>
      </x:c>
      <x:c r="O29" s="34" t="n">
        <x:f>VLOOKUP(C29,style_master!$A$2:$H$33,8,FALSE)</x:f>
        <x:v>37</x:v>
      </x:c>
      <x:c r="P29" s="34" t="n">
        <x:f>E29*O29</x:f>
        <x:v>5550</x:v>
      </x:c>
      <x:c r="Q29" s="36" t="n">
        <x:f>IFERROR(P29/VLOOKUP(K29,line_capacity!$B$2:$N$47,13,FALSE),0)</x:f>
        <x:v>0.6648553849692369</x:v>
      </x:c>
      <x:c r="R29" s="36" t="n">
        <x:f>H29-Dashboard!$B$2</x:f>
        <x:v>58</x:v>
      </x:c>
      <x:c r="S29" s="27" t="str">
        <x:f>IF(R29&lt;=0,"OVERDUE",IF(Q29&gt;R29,"HIGH",IF(Q29/R29&gt;0.65,"MEDIUM","LOW")))</x:f>
        <x:v>LOW</x:v>
      </x:c>
    </x:row>
    <x:row r="30">
      <x:c r="A30" s="27" t="str">
        <x:v>ORD-1129</x:v>
      </x:c>
      <x:c r="B30" s="27" t="str">
        <x:v>Maison Milano</x:v>
      </x:c>
      <x:c r="C30" s="27" t="str">
        <x:v>STY-015-1</x:v>
      </x:c>
      <x:c r="D30" s="27" t="str">
        <x:v>Boxer</x:v>
      </x:c>
      <x:c r="E30" s="34" t="n">
        <x:v>300</x:v>
      </x:c>
      <x:c r="F30" s="27" t="str">
        <x:v>34-44</x:v>
      </x:c>
      <x:c r="G30" s="30" t="n">
        <x:v>46207</x:v>
      </x:c>
      <x:c r="H30" s="30" t="n">
        <x:v>46232</x:v>
      </x:c>
      <x:c r="I30" s="30" t="n">
        <x:v>46230</x:v>
      </x:c>
      <x:c r="J30" s="27" t="str">
        <x:v>L7</x:v>
      </x:c>
      <x:c r="K30" s="27" t="str">
        <x:v>LN-030</x:v>
      </x:c>
      <x:c r="L30" s="27" t="str">
        <x:v>normal</x:v>
      </x:c>
      <x:c r="M30" s="27" t="str">
        <x:v>ready to cut</x:v>
      </x:c>
      <x:c r="N30" s="32" t="n">
        <x:v>0.18</x:v>
      </x:c>
      <x:c r="O30" s="34" t="n">
        <x:f>VLOOKUP(C30,style_master!$A$2:$H$33,8,FALSE)</x:f>
        <x:v>39</x:v>
      </x:c>
      <x:c r="P30" s="34" t="n">
        <x:f>E30*O30</x:f>
        <x:v>11700</x:v>
      </x:c>
      <x:c r="Q30" s="36" t="n">
        <x:f>IFERROR(P30/VLOOKUP(K30,line_capacity!$B$2:$N$47,13,FALSE),0)</x:f>
        <x:v>1.6751195777667824</x:v>
      </x:c>
      <x:c r="R30" s="36" t="n">
        <x:f>H30-Dashboard!$B$2</x:f>
        <x:v>63</x:v>
      </x:c>
      <x:c r="S30" s="27" t="str">
        <x:f>IF(R30&lt;=0,"OVERDUE",IF(Q30&gt;R30,"HIGH",IF(Q30/R30&gt;0.65,"MEDIUM","LOW")))</x:f>
        <x:v>LOW</x:v>
      </x:c>
    </x:row>
    <x:row r="31">
      <x:c r="A31" s="27" t="str">
        <x:v>ORD-1130</x:v>
      </x:c>
      <x:c r="B31" s="27" t="str">
        <x:v>Casa Palermo</x:v>
      </x:c>
      <x:c r="C31" s="27" t="str">
        <x:v>STY-013-2</x:v>
      </x:c>
      <x:c r="D31" s="27" t="str">
        <x:v>Slip</x:v>
      </x:c>
      <x:c r="E31" s="34" t="n">
        <x:v>500</x:v>
      </x:c>
      <x:c r="F31" s="27" t="str">
        <x:v>S-XXL</x:v>
      </x:c>
      <x:c r="G31" s="30" t="n">
        <x:v>46209</x:v>
      </x:c>
      <x:c r="H31" s="30" t="n">
        <x:v>46236</x:v>
      </x:c>
      <x:c r="I31" s="30" t="n">
        <x:v>46234</x:v>
      </x:c>
      <x:c r="J31" s="27" t="str">
        <x:v>L9</x:v>
      </x:c>
      <x:c r="K31" s="27" t="str">
        <x:v>LN-039</x:v>
      </x:c>
      <x:c r="L31" s="27" t="str">
        <x:v>normal</x:v>
      </x:c>
      <x:c r="M31" s="27" t="str">
        <x:v>materials ready</x:v>
      </x:c>
      <x:c r="N31" s="32" t="n">
        <x:v>0.12</x:v>
      </x:c>
      <x:c r="O31" s="34" t="n">
        <x:f>VLOOKUP(C31,style_master!$A$2:$H$33,8,FALSE)</x:f>
        <x:v>34</x:v>
      </x:c>
      <x:c r="P31" s="34" t="n">
        <x:f>E31*O31</x:f>
        <x:v>17000</x:v>
      </x:c>
      <x:c r="Q31" s="36" t="n">
        <x:f>IFERROR(P31/VLOOKUP(K31,line_capacity!$B$2:$N$47,13,FALSE),0)</x:f>
        <x:v>2.0364939719778428</x:v>
      </x:c>
      <x:c r="R31" s="36" t="n">
        <x:f>H31-Dashboard!$B$2</x:f>
        <x:v>67</x:v>
      </x:c>
      <x:c r="S31" s="27" t="str">
        <x:f>IF(R31&lt;=0,"OVERDUE",IF(Q31&gt;R31,"HIGH",IF(Q31/R31&gt;0.65,"MEDIUM","LOW")))</x:f>
        <x:v>LOW</x:v>
      </x:c>
    </x:row>
    <x:row r="32">
      <x:c r="A32" s="27" t="str">
        <x:v>ORD-1131</x:v>
      </x:c>
      <x:c r="B32" s="27" t="str">
        <x:v>Torino Mode</x:v>
      </x:c>
      <x:c r="C32" s="27" t="str">
        <x:v>STY-013-1</x:v>
      </x:c>
      <x:c r="D32" s="27" t="str">
        <x:v>Slip</x:v>
      </x:c>
      <x:c r="E32" s="34" t="n">
        <x:v>300</x:v>
      </x:c>
      <x:c r="F32" s="27" t="str">
        <x:v>S-XXL</x:v>
      </x:c>
      <x:c r="G32" s="30" t="n">
        <x:v>46196</x:v>
      </x:c>
      <x:c r="H32" s="30" t="n">
        <x:v>46214</x:v>
      </x:c>
      <x:c r="I32" s="30" t="n">
        <x:v>46212</x:v>
      </x:c>
      <x:c r="J32" s="27" t="str">
        <x:v>L7</x:v>
      </x:c>
      <x:c r="K32" s="27" t="str">
        <x:v>LN-030</x:v>
      </x:c>
      <x:c r="L32" s="27" t="str">
        <x:v>normal</x:v>
      </x:c>
      <x:c r="M32" s="27" t="str">
        <x:v>not started</x:v>
      </x:c>
      <x:c r="N32" s="32" t="n">
        <x:v>0</x:v>
      </x:c>
      <x:c r="O32" s="34" t="n">
        <x:f>VLOOKUP(C32,style_master!$A$2:$H$33,8,FALSE)</x:f>
        <x:v>26</x:v>
      </x:c>
      <x:c r="P32" s="34" t="n">
        <x:f>E32*O32</x:f>
        <x:v>7800</x:v>
      </x:c>
      <x:c r="Q32" s="36" t="n">
        <x:f>IFERROR(P32/VLOOKUP(K32,line_capacity!$B$2:$N$47,13,FALSE),0)</x:f>
        <x:v>1.116746385177855</x:v>
      </x:c>
      <x:c r="R32" s="36" t="n">
        <x:f>H32-Dashboard!$B$2</x:f>
        <x:v>45</x:v>
      </x:c>
      <x:c r="S32" s="27" t="str">
        <x:f>IF(R32&lt;=0,"OVERDUE",IF(Q32&gt;R32,"HIGH",IF(Q32/R32&gt;0.65,"MEDIUM","LOW")))</x:f>
        <x:v>LOW</x:v>
      </x:c>
    </x:row>
    <x:row r="33">
      <x:c r="A33" s="27" t="str">
        <x:v>ORD-1132</x:v>
      </x:c>
      <x:c r="B33" s="27" t="str">
        <x:v>Moda Verona</x:v>
      </x:c>
      <x:c r="C33" s="27" t="str">
        <x:v>STY-010-1</x:v>
      </x:c>
      <x:c r="D33" s="27" t="str">
        <x:v>Top</x:v>
      </x:c>
      <x:c r="E33" s="34" t="n">
        <x:v>1050</x:v>
      </x:c>
      <x:c r="F33" s="27" t="str">
        <x:v>1-5</x:v>
      </x:c>
      <x:c r="G33" s="30" t="n">
        <x:v>46198</x:v>
      </x:c>
      <x:c r="H33" s="30" t="n">
        <x:v>46225</x:v>
      </x:c>
      <x:c r="I33" s="30" t="n">
        <x:v>46223</x:v>
      </x:c>
      <x:c r="J33" s="27" t="str">
        <x:v>L8</x:v>
      </x:c>
      <x:c r="K33" s="27" t="str">
        <x:v>LN-035</x:v>
      </x:c>
      <x:c r="L33" s="27" t="str">
        <x:v>normal</x:v>
      </x:c>
      <x:c r="M33" s="27" t="str">
        <x:v>in production</x:v>
      </x:c>
      <x:c r="N33" s="32" t="n">
        <x:v>0.34</x:v>
      </x:c>
      <x:c r="O33" s="34" t="n">
        <x:f>VLOOKUP(C33,style_master!$A$2:$H$33,8,FALSE)</x:f>
        <x:v>23</x:v>
      </x:c>
      <x:c r="P33" s="34" t="n">
        <x:f>E33*O33</x:f>
        <x:v>24150</x:v>
      </x:c>
      <x:c r="Q33" s="36" t="n">
        <x:f>IFERROR(P33/VLOOKUP(K33,line_capacity!$B$2:$N$47,13,FALSE),0)</x:f>
        <x:v>4.54617330803289</x:v>
      </x:c>
      <x:c r="R33" s="36" t="n">
        <x:f>H33-Dashboard!$B$2</x:f>
        <x:v>56</x:v>
      </x:c>
      <x:c r="S33" s="27" t="str">
        <x:f>IF(R33&lt;=0,"OVERDUE",IF(Q33&gt;R33,"HIGH",IF(Q33/R33&gt;0.65,"MEDIUM","LOW")))</x:f>
        <x:v>LOW</x:v>
      </x:c>
    </x:row>
    <x:row r="34">
      <x:c r="A34" s="27" t="str">
        <x:v>ORD-1133</x:v>
      </x:c>
      <x:c r="B34" s="27" t="str">
        <x:v>Boutique Genova</x:v>
      </x:c>
      <x:c r="C34" s="27" t="str">
        <x:v>STY-005-2</x:v>
      </x:c>
      <x:c r="D34" s="27" t="str">
        <x:v>Jeans</x:v>
      </x:c>
      <x:c r="E34" s="34" t="n">
        <x:v>1300</x:v>
      </x:c>
      <x:c r="F34" s="27" t="str">
        <x:v>36-46</x:v>
      </x:c>
      <x:c r="G34" s="30" t="n">
        <x:v>46200</x:v>
      </x:c>
      <x:c r="H34" s="30" t="n">
        <x:v>46245</x:v>
      </x:c>
      <x:c r="I34" s="30" t="n">
        <x:v>46243</x:v>
      </x:c>
      <x:c r="J34" s="27" t="str">
        <x:v>L4</x:v>
      </x:c>
      <x:c r="K34" s="27" t="str">
        <x:v>LN-016</x:v>
      </x:c>
      <x:c r="L34" s="27" t="str">
        <x:v>normal</x:v>
      </x:c>
      <x:c r="M34" s="27" t="str">
        <x:v>scheduled</x:v>
      </x:c>
      <x:c r="N34" s="32" t="n">
        <x:v>0.05</x:v>
      </x:c>
      <x:c r="O34" s="34" t="n">
        <x:f>VLOOKUP(C34,style_master!$A$2:$H$33,8,FALSE)</x:f>
        <x:v>35</x:v>
      </x:c>
      <x:c r="P34" s="34" t="n">
        <x:f>E34*O34</x:f>
        <x:v>45500</x:v>
      </x:c>
      <x:c r="Q34" s="36" t="n">
        <x:f>IFERROR(P34/VLOOKUP(K34,line_capacity!$B$2:$N$47,13,FALSE),0)</x:f>
        <x:v>11.150911286780852</x:v>
      </x:c>
      <x:c r="R34" s="36" t="n">
        <x:f>H34-Dashboard!$B$2</x:f>
        <x:v>76</x:v>
      </x:c>
      <x:c r="S34" s="27" t="str">
        <x:f>IF(R34&lt;=0,"OVERDUE",IF(Q34&gt;R34,"HIGH",IF(Q34/R34&gt;0.65,"MEDIUM","LOW")))</x:f>
        <x:v>LOW</x:v>
      </x:c>
    </x:row>
    <x:row r="35">
      <x:c r="A35" s="27" t="str">
        <x:v>ORD-1134</x:v>
      </x:c>
      <x:c r="B35" s="27" t="str">
        <x:v>Venezia Atelier</x:v>
      </x:c>
      <x:c r="C35" s="27" t="str">
        <x:v>STY-015-1</x:v>
      </x:c>
      <x:c r="D35" s="27" t="str">
        <x:v>Boxer</x:v>
      </x:c>
      <x:c r="E35" s="34" t="n">
        <x:v>500</x:v>
      </x:c>
      <x:c r="F35" s="27" t="str">
        <x:v>34-44</x:v>
      </x:c>
      <x:c r="G35" s="30" t="n">
        <x:v>46202</x:v>
      </x:c>
      <x:c r="H35" s="30" t="n">
        <x:v>46228</x:v>
      </x:c>
      <x:c r="I35" s="30" t="n">
        <x:v>46226</x:v>
      </x:c>
      <x:c r="J35" s="27" t="str">
        <x:v>L9</x:v>
      </x:c>
      <x:c r="K35" s="27" t="str">
        <x:v>LN-039</x:v>
      </x:c>
      <x:c r="L35" s="27" t="str">
        <x:v>normal</x:v>
      </x:c>
      <x:c r="M35" s="27" t="str">
        <x:v>ready to cut</x:v>
      </x:c>
      <x:c r="N35" s="32" t="n">
        <x:v>0.18</x:v>
      </x:c>
      <x:c r="O35" s="34" t="n">
        <x:f>VLOOKUP(C35,style_master!$A$2:$H$33,8,FALSE)</x:f>
        <x:v>39</x:v>
      </x:c>
      <x:c r="P35" s="34" t="n">
        <x:f>E35*O35</x:f>
        <x:v>19500</x:v>
      </x:c>
      <x:c r="Q35" s="36" t="n">
        <x:f>IFERROR(P35/VLOOKUP(K35,line_capacity!$B$2:$N$47,13,FALSE),0)</x:f>
        <x:v>2.3359783796216433</x:v>
      </x:c>
      <x:c r="R35" s="36" t="n">
        <x:f>H35-Dashboard!$B$2</x:f>
        <x:v>59</x:v>
      </x:c>
      <x:c r="S35" s="27" t="str">
        <x:f>IF(R35&lt;=0,"OVERDUE",IF(Q35&gt;R35,"HIGH",IF(Q35/R35&gt;0.65,"MEDIUM","LOW")))</x:f>
        <x:v>LOW</x:v>
      </x:c>
    </x:row>
    <x:row r="36">
      <x:c r="A36" s="27" t="str">
        <x:v>ORD-1135</x:v>
      </x:c>
      <x:c r="B36" s="27" t="str">
        <x:v>Torino Mode</x:v>
      </x:c>
      <x:c r="C36" s="27" t="str">
        <x:v>STY-006-1</x:v>
      </x:c>
      <x:c r="D36" s="27" t="str">
        <x:v>T-shirt</x:v>
      </x:c>
      <x:c r="E36" s="34" t="n">
        <x:v>950</x:v>
      </x:c>
      <x:c r="F36" s="27" t="str">
        <x:v>1-5</x:v>
      </x:c>
      <x:c r="G36" s="30" t="n">
        <x:v>46204</x:v>
      </x:c>
      <x:c r="H36" s="30" t="n">
        <x:v>46236</x:v>
      </x:c>
      <x:c r="I36" s="30" t="n">
        <x:v>46234</x:v>
      </x:c>
      <x:c r="J36" s="27" t="str">
        <x:v>L4</x:v>
      </x:c>
      <x:c r="K36" s="27" t="str">
        <x:v>LN-016</x:v>
      </x:c>
      <x:c r="L36" s="27" t="str">
        <x:v>normal</x:v>
      </x:c>
      <x:c r="M36" s="27" t="str">
        <x:v>materials ready</x:v>
      </x:c>
      <x:c r="N36" s="32" t="n">
        <x:v>0.12</x:v>
      </x:c>
      <x:c r="O36" s="34" t="n">
        <x:f>VLOOKUP(C36,style_master!$A$2:$H$33,8,FALSE)</x:f>
        <x:v>17</x:v>
      </x:c>
      <x:c r="P36" s="34" t="n">
        <x:f>E36*O36</x:f>
        <x:v>16150</x:v>
      </x:c>
      <x:c r="Q36" s="36" t="n">
        <x:f>IFERROR(P36/VLOOKUP(K36,line_capacity!$B$2:$N$47,13,FALSE),0)</x:f>
        <x:v>3.957960819373863</x:v>
      </x:c>
      <x:c r="R36" s="36" t="n">
        <x:f>H36-Dashboard!$B$2</x:f>
        <x:v>67</x:v>
      </x:c>
      <x:c r="S36" s="27" t="str">
        <x:f>IF(R36&lt;=0,"OVERDUE",IF(Q36&gt;R36,"HIGH",IF(Q36/R36&gt;0.65,"MEDIUM","LOW")))</x:f>
        <x:v>LOW</x:v>
      </x:c>
    </x:row>
    <x:row r="37">
      <x:c r="A37" s="27" t="str">
        <x:v>ORD-1136</x:v>
      </x:c>
      <x:c r="B37" s="27" t="str">
        <x:v>Linea Roma</x:v>
      </x:c>
      <x:c r="C37" s="27" t="str">
        <x:v>STY-006-2</x:v>
      </x:c>
      <x:c r="D37" s="27" t="str">
        <x:v>T-shirt</x:v>
      </x:c>
      <x:c r="E37" s="34" t="n">
        <x:v>1450</x:v>
      </x:c>
      <x:c r="F37" s="27" t="str">
        <x:v>S-XXL</x:v>
      </x:c>
      <x:c r="G37" s="30" t="n">
        <x:v>46206</x:v>
      </x:c>
      <x:c r="H37" s="30" t="n">
        <x:v>46227</x:v>
      </x:c>
      <x:c r="I37" s="30" t="n">
        <x:v>46225</x:v>
      </x:c>
      <x:c r="J37" s="27" t="str">
        <x:v>L9</x:v>
      </x:c>
      <x:c r="K37" s="27" t="str">
        <x:v>LN-039</x:v>
      </x:c>
      <x:c r="L37" s="27" t="str">
        <x:v>normal</x:v>
      </x:c>
      <x:c r="M37" s="27" t="str">
        <x:v>not started</x:v>
      </x:c>
      <x:c r="N37" s="32" t="n">
        <x:v>0</x:v>
      </x:c>
      <x:c r="O37" s="34" t="n">
        <x:f>VLOOKUP(C37,style_master!$A$2:$H$33,8,FALSE)</x:f>
        <x:v>16</x:v>
      </x:c>
      <x:c r="P37" s="34" t="n">
        <x:f>E37*O37</x:f>
        <x:v>23200</x:v>
      </x:c>
      <x:c r="Q37" s="36" t="n">
        <x:f>IFERROR(P37/VLOOKUP(K37,line_capacity!$B$2:$N$47,13,FALSE),0)</x:f>
        <x:v>2.779215302934468</x:v>
      </x:c>
      <x:c r="R37" s="36" t="n">
        <x:f>H37-Dashboard!$B$2</x:f>
        <x:v>58</x:v>
      </x:c>
      <x:c r="S37" s="27" t="str">
        <x:f>IF(R37&lt;=0,"OVERDUE",IF(Q37&gt;R37,"HIGH",IF(Q37/R37&gt;0.65,"MEDIUM","LOW")))</x:f>
        <x:v>LOW</x:v>
      </x:c>
    </x:row>
    <x:row r="38">
      <x:c r="A38" s="27" t="str">
        <x:v>ORD-1137</x:v>
      </x:c>
      <x:c r="B38" s="27" t="str">
        <x:v>Atelier Bologna</x:v>
      </x:c>
      <x:c r="C38" s="27" t="str">
        <x:v>STY-008-2</x:v>
      </x:c>
      <x:c r="D38" s="27" t="str">
        <x:v>Blazer</x:v>
      </x:c>
      <x:c r="E38" s="34" t="n">
        <x:v>80</x:v>
      </x:c>
      <x:c r="F38" s="27" t="str">
        <x:v>XS-XL</x:v>
      </x:c>
      <x:c r="G38" s="30" t="n">
        <x:v>46208</x:v>
      </x:c>
      <x:c r="H38" s="30" t="n">
        <x:v>46228</x:v>
      </x:c>
      <x:c r="I38" s="30" t="n">
        <x:v>46226</x:v>
      </x:c>
      <x:c r="J38" s="27" t="str">
        <x:v>L7</x:v>
      </x:c>
      <x:c r="K38" s="27" t="str">
        <x:v>LN-030</x:v>
      </x:c>
      <x:c r="L38" s="27" t="str">
        <x:v>normal</x:v>
      </x:c>
      <x:c r="M38" s="27" t="str">
        <x:v>in production</x:v>
      </x:c>
      <x:c r="N38" s="32" t="n">
        <x:v>0.34</x:v>
      </x:c>
      <x:c r="O38" s="34" t="n">
        <x:f>VLOOKUP(C38,style_master!$A$2:$H$33,8,FALSE)</x:f>
        <x:v>63</x:v>
      </x:c>
      <x:c r="P38" s="34" t="n">
        <x:f>E38*O38</x:f>
        <x:v>5040</x:v>
      </x:c>
      <x:c r="Q38" s="36" t="n">
        <x:f>IFERROR(P38/VLOOKUP(K38,line_capacity!$B$2:$N$47,13,FALSE),0)</x:f>
        <x:v>0.7215899719610754</x:v>
      </x:c>
      <x:c r="R38" s="36" t="n">
        <x:f>H38-Dashboard!$B$2</x:f>
        <x:v>59</x:v>
      </x:c>
      <x:c r="S38" s="27" t="str">
        <x:f>IF(R38&lt;=0,"OVERDUE",IF(Q38&gt;R38,"HIGH",IF(Q38/R38&gt;0.65,"MEDIUM","LOW")))</x:f>
        <x:v>LOW</x:v>
      </x:c>
    </x:row>
    <x:row r="39">
      <x:c r="A39" s="27" t="str">
        <x:v>ORD-1138</x:v>
      </x:c>
      <x:c r="B39" s="27" t="str">
        <x:v>Linea Roma</x:v>
      </x:c>
      <x:c r="C39" s="27" t="str">
        <x:v>STY-005-2</x:v>
      </x:c>
      <x:c r="D39" s="27" t="str">
        <x:v>Jeans</x:v>
      </x:c>
      <x:c r="E39" s="34" t="n">
        <x:v>240</x:v>
      </x:c>
      <x:c r="F39" s="27" t="str">
        <x:v>36-46</x:v>
      </x:c>
      <x:c r="G39" s="30" t="n">
        <x:v>46210</x:v>
      </x:c>
      <x:c r="H39" s="30" t="n">
        <x:v>46232</x:v>
      </x:c>
      <x:c r="I39" s="30" t="n">
        <x:v>46230</x:v>
      </x:c>
      <x:c r="J39" s="27" t="str">
        <x:v>L10</x:v>
      </x:c>
      <x:c r="K39" s="27" t="str">
        <x:v>LN-044</x:v>
      </x:c>
      <x:c r="L39" s="27" t="str">
        <x:v>normal</x:v>
      </x:c>
      <x:c r="M39" s="27" t="str">
        <x:v>scheduled</x:v>
      </x:c>
      <x:c r="N39" s="32" t="n">
        <x:v>0.05</x:v>
      </x:c>
      <x:c r="O39" s="34" t="n">
        <x:f>VLOOKUP(C39,style_master!$A$2:$H$33,8,FALSE)</x:f>
        <x:v>35</x:v>
      </x:c>
      <x:c r="P39" s="34" t="n">
        <x:f>E39*O39</x:f>
        <x:v>8400</x:v>
      </x:c>
      <x:c r="Q39" s="36" t="n">
        <x:f>IFERROR(P39/VLOOKUP(K39,line_capacity!$B$2:$N$47,13,FALSE),0)</x:f>
        <x:v>1.2445240939864595</x:v>
      </x:c>
      <x:c r="R39" s="36" t="n">
        <x:f>H39-Dashboard!$B$2</x:f>
        <x:v>63</x:v>
      </x:c>
      <x:c r="S39" s="27" t="str">
        <x:f>IF(R39&lt;=0,"OVERDUE",IF(Q39&gt;R39,"HIGH",IF(Q39/R39&gt;0.65,"MEDIUM","LOW")))</x:f>
        <x:v>LOW</x:v>
      </x:c>
    </x:row>
    <x:row r="40">
      <x:c r="A40" s="27" t="str">
        <x:v>ORD-1139</x:v>
      </x:c>
      <x:c r="B40" s="27" t="str">
        <x:v>Sartoria Napoli</x:v>
      </x:c>
      <x:c r="C40" s="27" t="str">
        <x:v>STY-010-1</x:v>
      </x:c>
      <x:c r="D40" s="27" t="str">
        <x:v>Top</x:v>
      </x:c>
      <x:c r="E40" s="34" t="n">
        <x:v>280</x:v>
      </x:c>
      <x:c r="F40" s="27" t="str">
        <x:v>1-5</x:v>
      </x:c>
      <x:c r="G40" s="30" t="n">
        <x:v>46212</x:v>
      </x:c>
      <x:c r="H40" s="30" t="n">
        <x:v>46236</x:v>
      </x:c>
      <x:c r="I40" s="30" t="n">
        <x:v>46234</x:v>
      </x:c>
      <x:c r="J40" s="27" t="str">
        <x:v>L4</x:v>
      </x:c>
      <x:c r="K40" s="27" t="str">
        <x:v>LN-016</x:v>
      </x:c>
      <x:c r="L40" s="27" t="str">
        <x:v>normal</x:v>
      </x:c>
      <x:c r="M40" s="27" t="str">
        <x:v>ready to cut</x:v>
      </x:c>
      <x:c r="N40" s="32" t="n">
        <x:v>0.18</x:v>
      </x:c>
      <x:c r="O40" s="34" t="n">
        <x:f>VLOOKUP(C40,style_master!$A$2:$H$33,8,FALSE)</x:f>
        <x:v>23</x:v>
      </x:c>
      <x:c r="P40" s="34" t="n">
        <x:f>E40*O40</x:f>
        <x:v>6440</x:v>
      </x:c>
      <x:c r="Q40" s="36" t="n">
        <x:f>IFERROR(P40/VLOOKUP(K40,line_capacity!$B$2:$N$47,13,FALSE),0)</x:f>
        <x:v>1.5782828282828283</x:v>
      </x:c>
      <x:c r="R40" s="36" t="n">
        <x:f>H40-Dashboard!$B$2</x:f>
        <x:v>67</x:v>
      </x:c>
      <x:c r="S40" s="27" t="str">
        <x:f>IF(R40&lt;=0,"OVERDUE",IF(Q40&gt;R40,"HIGH",IF(Q40/R40&gt;0.65,"MEDIUM","LOW")))</x:f>
        <x:v>LOW</x:v>
      </x:c>
    </x:row>
    <x:row r="41">
      <x:c r="A41" s="27" t="str">
        <x:v>ORD-1140</x:v>
      </x:c>
      <x:c r="B41" s="27" t="str">
        <x:v>Casa Palermo</x:v>
      </x:c>
      <x:c r="C41" s="27" t="str">
        <x:v>STY-008-1</x:v>
      </x:c>
      <x:c r="D41" s="27" t="str">
        <x:v>Blazer</x:v>
      </x:c>
      <x:c r="E41" s="34" t="n">
        <x:v>80</x:v>
      </x:c>
      <x:c r="F41" s="27" t="str">
        <x:v>36-46</x:v>
      </x:c>
      <x:c r="G41" s="30" t="n">
        <x:v>46214</x:v>
      </x:c>
      <x:c r="H41" s="30" t="n">
        <x:v>46240</x:v>
      </x:c>
      <x:c r="I41" s="30" t="n">
        <x:v>46238</x:v>
      </x:c>
      <x:c r="J41" s="27" t="str">
        <x:v>L7</x:v>
      </x:c>
      <x:c r="K41" s="27" t="str">
        <x:v>LN-030</x:v>
      </x:c>
      <x:c r="L41" s="27" t="str">
        <x:v>high</x:v>
      </x:c>
      <x:c r="M41" s="27" t="str">
        <x:v>materials ready</x:v>
      </x:c>
      <x:c r="N41" s="32" t="n">
        <x:v>0.12</x:v>
      </x:c>
      <x:c r="O41" s="34" t="n">
        <x:f>VLOOKUP(C41,style_master!$A$2:$H$33,8,FALSE)</x:f>
        <x:v>56</x:v>
      </x:c>
      <x:c r="P41" s="34" t="n">
        <x:f>E41*O41</x:f>
        <x:v>4480</x:v>
      </x:c>
      <x:c r="Q41" s="36" t="n">
        <x:f>IFERROR(P41/VLOOKUP(K41,line_capacity!$B$2:$N$47,13,FALSE),0)</x:f>
        <x:v>0.6414133084098449</x:v>
      </x:c>
      <x:c r="R41" s="36" t="n">
        <x:f>H41-Dashboard!$B$2</x:f>
        <x:v>71</x:v>
      </x:c>
      <x:c r="S41" s="27" t="str">
        <x:f>IF(R41&lt;=0,"OVERDUE",IF(Q41&gt;R41,"HIGH",IF(Q41/R41&gt;0.65,"MEDIUM","LOW")))</x:f>
        <x:v>LOW</x:v>
      </x:c>
    </x:row>
    <x:row r="42">
      <x:c r="A42" s="27" t="str">
        <x:v>ORD-1141</x:v>
      </x:c>
      <x:c r="B42" s="27" t="str">
        <x:v>Linea Roma</x:v>
      </x:c>
      <x:c r="C42" s="27" t="str">
        <x:v>STY-001-2</x:v>
      </x:c>
      <x:c r="D42" s="27" t="str">
        <x:v>Cappotto</x:v>
      </x:c>
      <x:c r="E42" s="34" t="n">
        <x:v>220</x:v>
      </x:c>
      <x:c r="F42" s="27" t="str">
        <x:v>1-5</x:v>
      </x:c>
      <x:c r="G42" s="30" t="n">
        <x:v>46201</x:v>
      </x:c>
      <x:c r="H42" s="30" t="n">
        <x:v>46220</x:v>
      </x:c>
      <x:c r="I42" s="30" t="n">
        <x:v>46218</x:v>
      </x:c>
      <x:c r="J42" s="27" t="str">
        <x:v>L9</x:v>
      </x:c>
      <x:c r="K42" s="27" t="str">
        <x:v>LN-039</x:v>
      </x:c>
      <x:c r="L42" s="27" t="str">
        <x:v>normal</x:v>
      </x:c>
      <x:c r="M42" s="27" t="str">
        <x:v>not started</x:v>
      </x:c>
      <x:c r="N42" s="32" t="n">
        <x:v>0</x:v>
      </x:c>
      <x:c r="O42" s="34" t="n">
        <x:f>VLOOKUP(C42,style_master!$A$2:$H$33,8,FALSE)</x:f>
        <x:v>79</x:v>
      </x:c>
      <x:c r="P42" s="34" t="n">
        <x:f>E42*O42</x:f>
        <x:v>17380</x:v>
      </x:c>
      <x:c r="Q42" s="36" t="n">
        <x:f>IFERROR(P42/VLOOKUP(K42,line_capacity!$B$2:$N$47,13,FALSE),0)</x:f>
        <x:v>2.0820156019397005</x:v>
      </x:c>
      <x:c r="R42" s="36" t="n">
        <x:f>H42-Dashboard!$B$2</x:f>
        <x:v>51</x:v>
      </x:c>
      <x:c r="S42" s="27" t="str">
        <x:f>IF(R42&lt;=0,"OVERDUE",IF(Q42&gt;R42,"HIGH",IF(Q42/R42&gt;0.65,"MEDIUM","LOW")))</x:f>
        <x:v>LOW</x:v>
      </x:c>
    </x:row>
    <x:row r="43">
      <x:c r="A43" s="27" t="str">
        <x:v>ORD-1142</x:v>
      </x:c>
      <x:c r="B43" s="27" t="str">
        <x:v>Boutique Genova</x:v>
      </x:c>
      <x:c r="C43" s="27" t="str">
        <x:v>STY-004-2</x:v>
      </x:c>
      <x:c r="D43" s="27" t="str">
        <x:v>Abito</x:v>
      </x:c>
      <x:c r="E43" s="34" t="n">
        <x:v>320</x:v>
      </x:c>
      <x:c r="F43" s="27" t="str">
        <x:v>S-XXL</x:v>
      </x:c>
      <x:c r="G43" s="30" t="n">
        <x:v>46203</x:v>
      </x:c>
      <x:c r="H43" s="30" t="n">
        <x:v>46226</x:v>
      </x:c>
      <x:c r="I43" s="30" t="n">
        <x:v>46224</x:v>
      </x:c>
      <x:c r="J43" s="27" t="str">
        <x:v>L8</x:v>
      </x:c>
      <x:c r="K43" s="27" t="str">
        <x:v>LN-035</x:v>
      </x:c>
      <x:c r="L43" s="27" t="str">
        <x:v>normal</x:v>
      </x:c>
      <x:c r="M43" s="27" t="str">
        <x:v>in production</x:v>
      </x:c>
      <x:c r="N43" s="32" t="n">
        <x:v>0.34</x:v>
      </x:c>
      <x:c r="O43" s="34" t="n">
        <x:f>VLOOKUP(C43,style_master!$A$2:$H$33,8,FALSE)</x:f>
        <x:v>44</x:v>
      </x:c>
      <x:c r="P43" s="34" t="n">
        <x:f>E43*O43</x:f>
        <x:v>14080</x:v>
      </x:c>
      <x:c r="Q43" s="36" t="n">
        <x:f>IFERROR(P43/VLOOKUP(K43,line_capacity!$B$2:$N$47,13,FALSE),0)</x:f>
        <x:v>2.6505225746212466</x:v>
      </x:c>
      <x:c r="R43" s="36" t="n">
        <x:f>H43-Dashboard!$B$2</x:f>
        <x:v>57</x:v>
      </x:c>
      <x:c r="S43" s="27" t="str">
        <x:f>IF(R43&lt;=0,"OVERDUE",IF(Q43&gt;R43,"HIGH",IF(Q43/R43&gt;0.65,"MEDIUM","LOW")))</x:f>
        <x:v>LOW</x:v>
      </x:c>
    </x:row>
    <x:row r="44">
      <x:c r="A44" s="27" t="str">
        <x:v>ORD-1143</x:v>
      </x:c>
      <x:c r="B44" s="27" t="str">
        <x:v>Moda Verona</x:v>
      </x:c>
      <x:c r="C44" s="27" t="str">
        <x:v>STY-002-2</x:v>
      </x:c>
      <x:c r="D44" s="27" t="str">
        <x:v>Gonna</x:v>
      </x:c>
      <x:c r="E44" s="34" t="n">
        <x:v>900</x:v>
      </x:c>
      <x:c r="F44" s="27" t="str">
        <x:v>XS-XL</x:v>
      </x:c>
      <x:c r="G44" s="30" t="n">
        <x:v>46205</x:v>
      </x:c>
      <x:c r="H44" s="30" t="n">
        <x:v>46237</x:v>
      </x:c>
      <x:c r="I44" s="30" t="n">
        <x:v>46235</x:v>
      </x:c>
      <x:c r="J44" s="27" t="str">
        <x:v>L5</x:v>
      </x:c>
      <x:c r="K44" s="27" t="str">
        <x:v>LN-021</x:v>
      </x:c>
      <x:c r="L44" s="27" t="str">
        <x:v>normal</x:v>
      </x:c>
      <x:c r="M44" s="27" t="str">
        <x:v>scheduled</x:v>
      </x:c>
      <x:c r="N44" s="32" t="n">
        <x:v>0.05</x:v>
      </x:c>
      <x:c r="O44" s="34" t="n">
        <x:f>VLOOKUP(C44,style_master!$A$2:$H$33,8,FALSE)</x:f>
        <x:v>23</x:v>
      </x:c>
      <x:c r="P44" s="34" t="n">
        <x:f>E44*O44</x:f>
        <x:v>20700</x:v>
      </x:c>
      <x:c r="Q44" s="36" t="n">
        <x:f>IFERROR(P44/VLOOKUP(K44,line_capacity!$B$2:$N$47,13,FALSE),0)</x:f>
        <x:v>5.455407969639468</x:v>
      </x:c>
      <x:c r="R44" s="36" t="n">
        <x:f>H44-Dashboard!$B$2</x:f>
        <x:v>68</x:v>
      </x:c>
      <x:c r="S44" s="27" t="str">
        <x:f>IF(R44&lt;=0,"OVERDUE",IF(Q44&gt;R44,"HIGH",IF(Q44/R44&gt;0.65,"MEDIUM","LOW")))</x:f>
        <x:v>LOW</x:v>
      </x:c>
    </x:row>
    <x:row r="45">
      <x:c r="A45" s="27" t="str">
        <x:v>ORD-1144</x:v>
      </x:c>
      <x:c r="B45" s="27" t="str">
        <x:v>Maison Milano</x:v>
      </x:c>
      <x:c r="C45" s="27" t="str">
        <x:v>STY-007-2</x:v>
      </x:c>
      <x:c r="D45" s="27" t="str">
        <x:v>Pantalone</x:v>
      </x:c>
      <x:c r="E45" s="34" t="n">
        <x:v>1100</x:v>
      </x:c>
      <x:c r="F45" s="27" t="str">
        <x:v>S-XXL</x:v>
      </x:c>
      <x:c r="G45" s="30" t="n">
        <x:v>46207</x:v>
      </x:c>
      <x:c r="H45" s="30" t="n">
        <x:v>46240</x:v>
      </x:c>
      <x:c r="I45" s="30" t="n">
        <x:v>46238</x:v>
      </x:c>
      <x:c r="J45" s="27" t="str">
        <x:v>L9</x:v>
      </x:c>
      <x:c r="K45" s="27" t="str">
        <x:v>LN-039</x:v>
      </x:c>
      <x:c r="L45" s="27" t="str">
        <x:v>high</x:v>
      </x:c>
      <x:c r="M45" s="27" t="str">
        <x:v>ready to cut</x:v>
      </x:c>
      <x:c r="N45" s="32" t="n">
        <x:v>0.18</x:v>
      </x:c>
      <x:c r="O45" s="34" t="n">
        <x:f>VLOOKUP(C45,style_master!$A$2:$H$33,8,FALSE)</x:f>
        <x:v>38</x:v>
      </x:c>
      <x:c r="P45" s="34" t="n">
        <x:f>E45*O45</x:f>
        <x:v>41800</x:v>
      </x:c>
      <x:c r="Q45" s="36" t="n">
        <x:f>IFERROR(P45/VLOOKUP(K45,line_capacity!$B$2:$N$47,13,FALSE),0)</x:f>
        <x:v>5.007379295804343</x:v>
      </x:c>
      <x:c r="R45" s="36" t="n">
        <x:f>H45-Dashboard!$B$2</x:f>
        <x:v>71</x:v>
      </x:c>
      <x:c r="S45" s="27" t="str">
        <x:f>IF(R45&lt;=0,"OVERDUE",IF(Q45&gt;R45,"HIGH",IF(Q45/R45&gt;0.65,"MEDIUM","LOW")))</x:f>
        <x:v>LOW</x:v>
      </x:c>
    </x:row>
    <x:row r="46">
      <x:c r="A46" s="27" t="str">
        <x:v>ORD-1145</x:v>
      </x:c>
      <x:c r="B46" s="27" t="str">
        <x:v>Linea Roma</x:v>
      </x:c>
      <x:c r="C46" s="27" t="str">
        <x:v>STY-011-1</x:v>
      </x:c>
      <x:c r="D46" s="27" t="str">
        <x:v>Kimono</x:v>
      </x:c>
      <x:c r="E46" s="34" t="n">
        <x:v>480</x:v>
      </x:c>
      <x:c r="F46" s="27" t="str">
        <x:v>34-44</x:v>
      </x:c>
      <x:c r="G46" s="30" t="n">
        <x:v>46209</x:v>
      </x:c>
      <x:c r="H46" s="30" t="n">
        <x:v>46237</x:v>
      </x:c>
      <x:c r="I46" s="30" t="n">
        <x:v>46235</x:v>
      </x:c>
      <x:c r="J46" s="27" t="str">
        <x:v>L7</x:v>
      </x:c>
      <x:c r="K46" s="27" t="str">
        <x:v>LN-030</x:v>
      </x:c>
      <x:c r="L46" s="27" t="str">
        <x:v>normal</x:v>
      </x:c>
      <x:c r="M46" s="27" t="str">
        <x:v>materials ready</x:v>
      </x:c>
      <x:c r="N46" s="32" t="n">
        <x:v>0.12</x:v>
      </x:c>
      <x:c r="O46" s="34" t="n">
        <x:f>VLOOKUP(C46,style_master!$A$2:$H$33,8,FALSE)</x:f>
        <x:v>36</x:v>
      </x:c>
      <x:c r="P46" s="34" t="n">
        <x:f>E46*O46</x:f>
        <x:v>17280</x:v>
      </x:c>
      <x:c r="Q46" s="36" t="n">
        <x:f>IFERROR(P46/VLOOKUP(K46,line_capacity!$B$2:$N$47,13,FALSE),0)</x:f>
        <x:v>2.4740227610094014</x:v>
      </x:c>
      <x:c r="R46" s="36" t="n">
        <x:f>H46-Dashboard!$B$2</x:f>
        <x:v>68</x:v>
      </x:c>
      <x:c r="S46" s="27" t="str">
        <x:f>IF(R46&lt;=0,"OVERDUE",IF(Q46&gt;R46,"HIGH",IF(Q46/R46&gt;0.65,"MEDIUM","LOW")))</x:f>
        <x:v>LOW</x:v>
      </x:c>
    </x:row>
    <x:row r="47">
      <x:c r="A47" s="27" t="str">
        <x:v>ORD-1146</x:v>
      </x:c>
      <x:c r="B47" s="27" t="str">
        <x:v>Atelier Bologna</x:v>
      </x:c>
      <x:c r="C47" s="27" t="str">
        <x:v>STY-010-2</x:v>
      </x:c>
      <x:c r="D47" s="27" t="str">
        <x:v>Top</x:v>
      </x:c>
      <x:c r="E47" s="34" t="n">
        <x:v>650</x:v>
      </x:c>
      <x:c r="F47" s="27" t="str">
        <x:v>34-44</x:v>
      </x:c>
      <x:c r="G47" s="30" t="n">
        <x:v>46211</x:v>
      </x:c>
      <x:c r="H47" s="30" t="n">
        <x:v>46232</x:v>
      </x:c>
      <x:c r="I47" s="30" t="n">
        <x:v>46230</x:v>
      </x:c>
      <x:c r="J47" s="27" t="str">
        <x:v>L6</x:v>
      </x:c>
      <x:c r="K47" s="27" t="str">
        <x:v>LN-026</x:v>
      </x:c>
      <x:c r="L47" s="27" t="str">
        <x:v>high</x:v>
      </x:c>
      <x:c r="M47" s="27" t="str">
        <x:v>not started</x:v>
      </x:c>
      <x:c r="N47" s="32" t="n">
        <x:v>0</x:v>
      </x:c>
      <x:c r="O47" s="34" t="n">
        <x:f>VLOOKUP(C47,style_master!$A$2:$H$33,8,FALSE)</x:f>
        <x:v>18</x:v>
      </x:c>
      <x:c r="P47" s="34" t="n">
        <x:f>E47*O47</x:f>
        <x:v>11700</x:v>
      </x:c>
      <x:c r="Q47" s="36" t="n">
        <x:f>IFERROR(P47/VLOOKUP(K47,line_capacity!$B$2:$N$47,13,FALSE),0)</x:f>
        <x:v>2.6284290890269153</x:v>
      </x:c>
      <x:c r="R47" s="36" t="n">
        <x:f>H47-Dashboard!$B$2</x:f>
        <x:v>63</x:v>
      </x:c>
      <x:c r="S47" s="27" t="str">
        <x:f>IF(R47&lt;=0,"OVERDUE",IF(Q47&gt;R47,"HIGH",IF(Q47/R47&gt;0.65,"MEDIUM","LOW")))</x:f>
        <x:v>LOW</x:v>
      </x:c>
    </x:row>
    <x:row r="48">
      <x:c r="A48" s="27" t="str">
        <x:v>ORD-1147</x:v>
      </x:c>
      <x:c r="B48" s="27" t="str">
        <x:v>Sartoria Napoli</x:v>
      </x:c>
      <x:c r="C48" s="27" t="str">
        <x:v>STY-012-2</x:v>
      </x:c>
      <x:c r="D48" s="27" t="str">
        <x:v>Body</x:v>
      </x:c>
      <x:c r="E48" s="34" t="n">
        <x:v>140</x:v>
      </x:c>
      <x:c r="F48" s="27" t="str">
        <x:v>34-44</x:v>
      </x:c>
      <x:c r="G48" s="30" t="n">
        <x:v>46213</x:v>
      </x:c>
      <x:c r="H48" s="30" t="n">
        <x:v>46233</x:v>
      </x:c>
      <x:c r="I48" s="30" t="n">
        <x:v>46231</x:v>
      </x:c>
      <x:c r="J48" s="27" t="str">
        <x:v>L10</x:v>
      </x:c>
      <x:c r="K48" s="27" t="str">
        <x:v>LN-044</x:v>
      </x:c>
      <x:c r="L48" s="27" t="str">
        <x:v>normal</x:v>
      </x:c>
      <x:c r="M48" s="27" t="str">
        <x:v>in production</x:v>
      </x:c>
      <x:c r="N48" s="32" t="n">
        <x:v>0.34</x:v>
      </x:c>
      <x:c r="O48" s="34" t="n">
        <x:f>VLOOKUP(C48,style_master!$A$2:$H$33,8,FALSE)</x:f>
        <x:v>25</x:v>
      </x:c>
      <x:c r="P48" s="34" t="n">
        <x:f>E48*O48</x:f>
        <x:v>3500</x:v>
      </x:c>
      <x:c r="Q48" s="36" t="n">
        <x:f>IFERROR(P48/VLOOKUP(K48,line_capacity!$B$2:$N$47,13,FALSE),0)</x:f>
        <x:v>0.5185517058276915</x:v>
      </x:c>
      <x:c r="R48" s="36" t="n">
        <x:f>H48-Dashboard!$B$2</x:f>
        <x:v>64</x:v>
      </x:c>
      <x:c r="S48" s="27" t="str">
        <x:f>IF(R48&lt;=0,"OVERDUE",IF(Q48&gt;R48,"HIGH",IF(Q48/R48&gt;0.65,"MEDIUM","LOW")))</x:f>
        <x:v>LOW</x:v>
      </x:c>
    </x:row>
    <x:row r="49">
      <x:c r="A49" s="27" t="str">
        <x:v>ORD-1148</x:v>
      </x:c>
      <x:c r="B49" s="27" t="str">
        <x:v>Boutique Genova</x:v>
      </x:c>
      <x:c r="C49" s="27" t="str">
        <x:v>STY-006-1</x:v>
      </x:c>
      <x:c r="D49" s="27" t="str">
        <x:v>T-shirt</x:v>
      </x:c>
      <x:c r="E49" s="34" t="n">
        <x:v>1450</x:v>
      </x:c>
      <x:c r="F49" s="27" t="str">
        <x:v>1-5</x:v>
      </x:c>
      <x:c r="G49" s="30" t="n">
        <x:v>46215</x:v>
      </x:c>
      <x:c r="H49" s="30" t="n">
        <x:v>46241</x:v>
      </x:c>
      <x:c r="I49" s="30" t="n">
        <x:v>46239</x:v>
      </x:c>
      <x:c r="J49" s="27" t="str">
        <x:v>L9</x:v>
      </x:c>
      <x:c r="K49" s="27" t="str">
        <x:v>LN-039</x:v>
      </x:c>
      <x:c r="L49" s="27" t="str">
        <x:v>normal</x:v>
      </x:c>
      <x:c r="M49" s="27" t="str">
        <x:v>scheduled</x:v>
      </x:c>
      <x:c r="N49" s="32" t="n">
        <x:v>0.05</x:v>
      </x:c>
      <x:c r="O49" s="34" t="n">
        <x:f>VLOOKUP(C49,style_master!$A$2:$H$33,8,FALSE)</x:f>
        <x:v>17</x:v>
      </x:c>
      <x:c r="P49" s="34" t="n">
        <x:f>E49*O49</x:f>
        <x:v>24650</x:v>
      </x:c>
      <x:c r="Q49" s="36" t="n">
        <x:f>IFERROR(P49/VLOOKUP(K49,line_capacity!$B$2:$N$47,13,FALSE),0)</x:f>
        <x:v>2.952916259367872</x:v>
      </x:c>
      <x:c r="R49" s="36" t="n">
        <x:f>H49-Dashboard!$B$2</x:f>
        <x:v>72</x:v>
      </x:c>
      <x:c r="S49" s="27" t="str">
        <x:f>IF(R49&lt;=0,"OVERDUE",IF(Q49&gt;R49,"HIGH",IF(Q49/R49&gt;0.65,"MEDIUM","LOW")))</x:f>
        <x:v>LOW</x:v>
      </x:c>
    </x:row>
    <x:row r="50">
      <x:c r="A50" s="27" t="str">
        <x:v>ORD-1149</x:v>
      </x:c>
      <x:c r="B50" s="27" t="str">
        <x:v>Maison Milano</x:v>
      </x:c>
      <x:c r="C50" s="27" t="str">
        <x:v>STY-005-2</x:v>
      </x:c>
      <x:c r="D50" s="27" t="str">
        <x:v>Jeans</x:v>
      </x:c>
      <x:c r="E50" s="34" t="n">
        <x:v>700</x:v>
      </x:c>
      <x:c r="F50" s="27" t="str">
        <x:v>36-46</x:v>
      </x:c>
      <x:c r="G50" s="30" t="n">
        <x:v>46217</x:v>
      </x:c>
      <x:c r="H50" s="30" t="n">
        <x:v>46245</x:v>
      </x:c>
      <x:c r="I50" s="30" t="n">
        <x:v>46243</x:v>
      </x:c>
      <x:c r="J50" s="27" t="str">
        <x:v>L9</x:v>
      </x:c>
      <x:c r="K50" s="27" t="str">
        <x:v>LN-039</x:v>
      </x:c>
      <x:c r="L50" s="27" t="str">
        <x:v>normal</x:v>
      </x:c>
      <x:c r="M50" s="27" t="str">
        <x:v>ready to cut</x:v>
      </x:c>
      <x:c r="N50" s="32" t="n">
        <x:v>0.18</x:v>
      </x:c>
      <x:c r="O50" s="34" t="n">
        <x:f>VLOOKUP(C50,style_master!$A$2:$H$33,8,FALSE)</x:f>
        <x:v>35</x:v>
      </x:c>
      <x:c r="P50" s="34" t="n">
        <x:f>E50*O50</x:f>
        <x:v>24500</x:v>
      </x:c>
      <x:c r="Q50" s="36" t="n">
        <x:f>IFERROR(P50/VLOOKUP(K50,line_capacity!$B$2:$N$47,13,FALSE),0)</x:f>
        <x:v>2.934947194909244</x:v>
      </x:c>
      <x:c r="R50" s="36" t="n">
        <x:f>H50-Dashboard!$B$2</x:f>
        <x:v>76</x:v>
      </x:c>
      <x:c r="S50" s="27" t="str">
        <x:f>IF(R50&lt;=0,"OVERDUE",IF(Q50&gt;R50,"HIGH",IF(Q50/R50&gt;0.65,"MEDIUM","LOW")))</x:f>
        <x:v>LOW</x:v>
      </x:c>
    </x:row>
    <x:row r="51">
      <x:c r="A51" s="27" t="str">
        <x:v>ORD-1150</x:v>
      </x:c>
      <x:c r="B51" s="27" t="str">
        <x:v>Linea Roma</x:v>
      </x:c>
      <x:c r="C51" s="27" t="str">
        <x:v>STY-001-1</x:v>
      </x:c>
      <x:c r="D51" s="27" t="str">
        <x:v>Cappotto</x:v>
      </x:c>
      <x:c r="E51" s="34" t="n">
        <x:v>60</x:v>
      </x:c>
      <x:c r="F51" s="27" t="str">
        <x:v>34-44</x:v>
      </x:c>
      <x:c r="G51" s="30" t="n">
        <x:v>46219</x:v>
      </x:c>
      <x:c r="H51" s="30" t="n">
        <x:v>46245</x:v>
      </x:c>
      <x:c r="I51" s="30" t="n">
        <x:v>46243</x:v>
      </x:c>
      <x:c r="J51" s="27" t="str">
        <x:v>L9</x:v>
      </x:c>
      <x:c r="K51" s="27" t="str">
        <x:v>LN-039</x:v>
      </x:c>
      <x:c r="L51" s="27" t="str">
        <x:v>normal</x:v>
      </x:c>
      <x:c r="M51" s="27" t="str">
        <x:v>materials ready</x:v>
      </x:c>
      <x:c r="N51" s="32" t="n">
        <x:v>0.12</x:v>
      </x:c>
      <x:c r="O51" s="34" t="n">
        <x:f>VLOOKUP(C51,style_master!$A$2:$H$33,8,FALSE)</x:f>
        <x:v>80</x:v>
      </x:c>
      <x:c r="P51" s="34" t="n">
        <x:f>E51*O51</x:f>
        <x:v>4800</x:v>
      </x:c>
      <x:c r="Q51" s="36" t="n">
        <x:f>IFERROR(P51/VLOOKUP(K51,line_capacity!$B$2:$N$47,13,FALSE),0)</x:f>
        <x:v>0.5750100626760968</x:v>
      </x:c>
      <x:c r="R51" s="36" t="n">
        <x:f>H51-Dashboard!$B$2</x:f>
        <x:v>76</x:v>
      </x:c>
      <x:c r="S51" s="27" t="str">
        <x:f>IF(R51&lt;=0,"OVERDUE",IF(Q51&gt;R51,"HIGH",IF(Q51/R51&gt;0.65,"MEDIUM","LOW")))</x:f>
        <x:v>LOW</x:v>
      </x:c>
    </x:row>
    <x:row r="52">
      <x:c r="A52" s="27" t="str">
        <x:v>ORD-1151</x:v>
      </x:c>
      <x:c r="B52" s="27" t="str">
        <x:v>Boutique Genova</x:v>
      </x:c>
      <x:c r="C52" s="27" t="str">
        <x:v>STY-007-1</x:v>
      </x:c>
      <x:c r="D52" s="27" t="str">
        <x:v>Pantalone</x:v>
      </x:c>
      <x:c r="E52" s="34" t="n">
        <x:v>360</x:v>
      </x:c>
      <x:c r="F52" s="27" t="str">
        <x:v>S-XXL</x:v>
      </x:c>
      <x:c r="G52" s="30" t="n">
        <x:v>46206</x:v>
      </x:c>
      <x:c r="H52" s="30" t="n">
        <x:v>46225</x:v>
      </x:c>
      <x:c r="I52" s="30" t="n">
        <x:v>46223</x:v>
      </x:c>
      <x:c r="J52" s="27" t="str">
        <x:v>L7</x:v>
      </x:c>
      <x:c r="K52" s="27" t="str">
        <x:v>LN-030</x:v>
      </x:c>
      <x:c r="L52" s="27" t="str">
        <x:v>normal</x:v>
      </x:c>
      <x:c r="M52" s="27" t="str">
        <x:v>not started</x:v>
      </x:c>
      <x:c r="N52" s="32" t="n">
        <x:v>0</x:v>
      </x:c>
      <x:c r="O52" s="34" t="n">
        <x:f>VLOOKUP(C52,style_master!$A$2:$H$33,8,FALSE)</x:f>
        <x:v>34</x:v>
      </x:c>
      <x:c r="P52" s="34" t="n">
        <x:f>E52*O52</x:f>
        <x:v>12240</x:v>
      </x:c>
      <x:c r="Q52" s="36" t="n">
        <x:f>IFERROR(P52/VLOOKUP(K52,line_capacity!$B$2:$N$47,13,FALSE),0)</x:f>
        <x:v>1.7524327890483262</x:v>
      </x:c>
      <x:c r="R52" s="36" t="n">
        <x:f>H52-Dashboard!$B$2</x:f>
        <x:v>56</x:v>
      </x:c>
      <x:c r="S52" s="27" t="str">
        <x:f>IF(R52&lt;=0,"OVERDUE",IF(Q52&gt;R52,"HIGH",IF(Q52/R52&gt;0.65,"MEDIUM","LOW")))</x:f>
        <x:v>LOW</x:v>
      </x:c>
    </x:row>
    <x:row r="53">
      <x:c r="A53" s="27" t="str">
        <x:v>ORD-1152</x:v>
      </x:c>
      <x:c r="B53" s="27" t="str">
        <x:v>Boutique Genova</x:v>
      </x:c>
      <x:c r="C53" s="27" t="str">
        <x:v>STY-010-2</x:v>
      </x:c>
      <x:c r="D53" s="27" t="str">
        <x:v>Top</x:v>
      </x:c>
      <x:c r="E53" s="34" t="n">
        <x:v>650</x:v>
      </x:c>
      <x:c r="F53" s="27" t="str">
        <x:v>34-44</x:v>
      </x:c>
      <x:c r="G53" s="30" t="n">
        <x:v>46208</x:v>
      </x:c>
      <x:c r="H53" s="30" t="n">
        <x:v>46231</x:v>
      </x:c>
      <x:c r="I53" s="30" t="n">
        <x:v>46229</x:v>
      </x:c>
      <x:c r="J53" s="27" t="str">
        <x:v>L6</x:v>
      </x:c>
      <x:c r="K53" s="27" t="str">
        <x:v>LN-026</x:v>
      </x:c>
      <x:c r="L53" s="27" t="str">
        <x:v>normal</x:v>
      </x:c>
      <x:c r="M53" s="27" t="str">
        <x:v>in production</x:v>
      </x:c>
      <x:c r="N53" s="32" t="n">
        <x:v>0.34</x:v>
      </x:c>
      <x:c r="O53" s="34" t="n">
        <x:f>VLOOKUP(C53,style_master!$A$2:$H$33,8,FALSE)</x:f>
        <x:v>18</x:v>
      </x:c>
      <x:c r="P53" s="34" t="n">
        <x:f>E53*O53</x:f>
        <x:v>11700</x:v>
      </x:c>
      <x:c r="Q53" s="36" t="n">
        <x:f>IFERROR(P53/VLOOKUP(K53,line_capacity!$B$2:$N$47,13,FALSE),0)</x:f>
        <x:v>2.6284290890269153</x:v>
      </x:c>
      <x:c r="R53" s="36" t="n">
        <x:f>H53-Dashboard!$B$2</x:f>
        <x:v>62</x:v>
      </x:c>
      <x:c r="S53" s="27" t="str">
        <x:f>IF(R53&lt;=0,"OVERDUE",IF(Q53&gt;R53,"HIGH",IF(Q53/R53&gt;0.65,"MEDIUM","LOW")))</x:f>
        <x:v>LOW</x:v>
      </x:c>
    </x:row>
    <x:row r="54">
      <x:c r="A54" s="27" t="str">
        <x:v>ORD-1153</x:v>
      </x:c>
      <x:c r="B54" s="27" t="str">
        <x:v>Venezia Atelier</x:v>
      </x:c>
      <x:c r="C54" s="27" t="str">
        <x:v>STY-001-2</x:v>
      </x:c>
      <x:c r="D54" s="27" t="str">
        <x:v>Cappotto</x:v>
      </x:c>
      <x:c r="E54" s="34" t="n">
        <x:v>60</x:v>
      </x:c>
      <x:c r="F54" s="27" t="str">
        <x:v>1-5</x:v>
      </x:c>
      <x:c r="G54" s="30" t="n">
        <x:v>46210</x:v>
      </x:c>
      <x:c r="H54" s="30" t="n">
        <x:v>46232</x:v>
      </x:c>
      <x:c r="I54" s="30" t="n">
        <x:v>46230</x:v>
      </x:c>
      <x:c r="J54" s="27" t="str">
        <x:v>L9</x:v>
      </x:c>
      <x:c r="K54" s="27" t="str">
        <x:v>LN-039</x:v>
      </x:c>
      <x:c r="L54" s="27" t="str">
        <x:v>normal</x:v>
      </x:c>
      <x:c r="M54" s="27" t="str">
        <x:v>scheduled</x:v>
      </x:c>
      <x:c r="N54" s="32" t="n">
        <x:v>0.05</x:v>
      </x:c>
      <x:c r="O54" s="34" t="n">
        <x:f>VLOOKUP(C54,style_master!$A$2:$H$33,8,FALSE)</x:f>
        <x:v>79</x:v>
      </x:c>
      <x:c r="P54" s="34" t="n">
        <x:f>E54*O54</x:f>
        <x:v>4740</x:v>
      </x:c>
      <x:c r="Q54" s="36" t="n">
        <x:f>IFERROR(P54/VLOOKUP(K54,line_capacity!$B$2:$N$47,13,FALSE),0)</x:f>
        <x:v>0.5678224368926456</x:v>
      </x:c>
      <x:c r="R54" s="36" t="n">
        <x:f>H54-Dashboard!$B$2</x:f>
        <x:v>63</x:v>
      </x:c>
      <x:c r="S54" s="27" t="str">
        <x:f>IF(R54&lt;=0,"OVERDUE",IF(Q54&gt;R54,"HIGH",IF(Q54/R54&gt;0.65,"MEDIUM","LOW")))</x:f>
        <x:v>LOW</x:v>
      </x:c>
    </x:row>
    <x:row r="55">
      <x:c r="A55" s="27" t="str">
        <x:v>ORD-1154</x:v>
      </x:c>
      <x:c r="B55" s="27" t="str">
        <x:v>Studio Firenze</x:v>
      </x:c>
      <x:c r="C55" s="27" t="str">
        <x:v>STY-016-2</x:v>
      </x:c>
      <x:c r="D55" s="27" t="str">
        <x:v>Baby doll</x:v>
      </x:c>
      <x:c r="E55" s="34" t="n">
        <x:v>300</x:v>
      </x:c>
      <x:c r="F55" s="27" t="str">
        <x:v>S-XXL</x:v>
      </x:c>
      <x:c r="G55" s="30" t="n">
        <x:v>46212</x:v>
      </x:c>
      <x:c r="H55" s="30" t="n">
        <x:v>46236</x:v>
      </x:c>
      <x:c r="I55" s="30" t="n">
        <x:v>46234</x:v>
      </x:c>
      <x:c r="J55" s="27" t="str">
        <x:v>L9</x:v>
      </x:c>
      <x:c r="K55" s="27" t="str">
        <x:v>LN-039</x:v>
      </x:c>
      <x:c r="L55" s="27" t="str">
        <x:v>normal</x:v>
      </x:c>
      <x:c r="M55" s="27" t="str">
        <x:v>ready to cut</x:v>
      </x:c>
      <x:c r="N55" s="32" t="n">
        <x:v>0.18</x:v>
      </x:c>
      <x:c r="O55" s="34" t="n">
        <x:f>VLOOKUP(C55,style_master!$A$2:$H$33,8,FALSE)</x:f>
        <x:v>27</x:v>
      </x:c>
      <x:c r="P55" s="34" t="n">
        <x:f>E55*O55</x:f>
        <x:v>8100</x:v>
      </x:c>
      <x:c r="Q55" s="36" t="n">
        <x:f>IFERROR(P55/VLOOKUP(K55,line_capacity!$B$2:$N$47,13,FALSE),0)</x:f>
        <x:v>0.9703294807659134</x:v>
      </x:c>
      <x:c r="R55" s="36" t="n">
        <x:f>H55-Dashboard!$B$2</x:f>
        <x:v>67</x:v>
      </x:c>
      <x:c r="S55" s="27" t="str">
        <x:f>IF(R55&lt;=0,"OVERDUE",IF(Q55&gt;R55,"HIGH",IF(Q55/R55&gt;0.65,"MEDIUM","LOW")))</x:f>
        <x:v>LOW</x:v>
      </x:c>
    </x:row>
    <x:row r="56">
      <x:c r="A56" s="27" t="str">
        <x:v>ORD-1155</x:v>
      </x:c>
      <x:c r="B56" s="27" t="str">
        <x:v>Studio Firenze</x:v>
      </x:c>
      <x:c r="C56" s="27" t="str">
        <x:v>STY-006-1</x:v>
      </x:c>
      <x:c r="D56" s="27" t="str">
        <x:v>T-shirt</x:v>
      </x:c>
      <x:c r="E56" s="34" t="n">
        <x:v>480</x:v>
      </x:c>
      <x:c r="F56" s="27" t="str">
        <x:v>1-5</x:v>
      </x:c>
      <x:c r="G56" s="30" t="n">
        <x:v>46214</x:v>
      </x:c>
      <x:c r="H56" s="30" t="n">
        <x:v>46241</x:v>
      </x:c>
      <x:c r="I56" s="30" t="n">
        <x:v>46239</x:v>
      </x:c>
      <x:c r="J56" s="27" t="str">
        <x:v>L6</x:v>
      </x:c>
      <x:c r="K56" s="27" t="str">
        <x:v>LN-026</x:v>
      </x:c>
      <x:c r="L56" s="27" t="str">
        <x:v>normal</x:v>
      </x:c>
      <x:c r="M56" s="27" t="str">
        <x:v>materials ready</x:v>
      </x:c>
      <x:c r="N56" s="32" t="n">
        <x:v>0.12</x:v>
      </x:c>
      <x:c r="O56" s="34" t="n">
        <x:f>VLOOKUP(C56,style_master!$A$2:$H$33,8,FALSE)</x:f>
        <x:v>17</x:v>
      </x:c>
      <x:c r="P56" s="34" t="n">
        <x:f>E56*O56</x:f>
        <x:v>8160</x:v>
      </x:c>
      <x:c r="Q56" s="36" t="n">
        <x:f>IFERROR(P56/VLOOKUP(K56,line_capacity!$B$2:$N$47,13,FALSE),0)</x:f>
        <x:v>1.8331608005521052</x:v>
      </x:c>
      <x:c r="R56" s="36" t="n">
        <x:f>H56-Dashboard!$B$2</x:f>
        <x:v>72</x:v>
      </x:c>
      <x:c r="S56" s="27" t="str">
        <x:f>IF(R56&lt;=0,"OVERDUE",IF(Q56&gt;R56,"HIGH",IF(Q56/R56&gt;0.65,"MEDIUM","LOW")))</x:f>
        <x:v>LOW</x:v>
      </x:c>
    </x:row>
    <x:row r="57">
      <x:c r="A57" s="27" t="str">
        <x:v>ORD-1156</x:v>
      </x:c>
      <x:c r="B57" s="27" t="str">
        <x:v>Casa Palermo</x:v>
      </x:c>
      <x:c r="C57" s="27" t="str">
        <x:v>STY-010-1</x:v>
      </x:c>
      <x:c r="D57" s="27" t="str">
        <x:v>Top</x:v>
      </x:c>
      <x:c r="E57" s="34" t="n">
        <x:v>1050</x:v>
      </x:c>
      <x:c r="F57" s="27" t="str">
        <x:v>1-5</x:v>
      </x:c>
      <x:c r="G57" s="30" t="n">
        <x:v>46216</x:v>
      </x:c>
      <x:c r="H57" s="30" t="n">
        <x:v>46241</x:v>
      </x:c>
      <x:c r="I57" s="30" t="n">
        <x:v>46239</x:v>
      </x:c>
      <x:c r="J57" s="27" t="str">
        <x:v>L8</x:v>
      </x:c>
      <x:c r="K57" s="27" t="str">
        <x:v>LN-035</x:v>
      </x:c>
      <x:c r="L57" s="27" t="str">
        <x:v>normal</x:v>
      </x:c>
      <x:c r="M57" s="27" t="str">
        <x:v>not started</x:v>
      </x:c>
      <x:c r="N57" s="32" t="n">
        <x:v>0</x:v>
      </x:c>
      <x:c r="O57" s="34" t="n">
        <x:f>VLOOKUP(C57,style_master!$A$2:$H$33,8,FALSE)</x:f>
        <x:v>23</x:v>
      </x:c>
      <x:c r="P57" s="34" t="n">
        <x:f>E57*O57</x:f>
        <x:v>24150</x:v>
      </x:c>
      <x:c r="Q57" s="36" t="n">
        <x:f>IFERROR(P57/VLOOKUP(K57,line_capacity!$B$2:$N$47,13,FALSE),0)</x:f>
        <x:v>4.54617330803289</x:v>
      </x:c>
      <x:c r="R57" s="36" t="n">
        <x:f>H57-Dashboard!$B$2</x:f>
        <x:v>72</x:v>
      </x:c>
      <x:c r="S57" s="27" t="str">
        <x:f>IF(R57&lt;=0,"OVERDUE",IF(Q57&gt;R57,"HIGH",IF(Q57/R57&gt;0.65,"MEDIUM","LOW")))</x:f>
        <x:v>LOW</x:v>
      </x:c>
    </x:row>
    <x:row r="58">
      <x:c r="A58" s="27" t="str">
        <x:v>ORD-1157</x:v>
      </x:c>
      <x:c r="B58" s="27" t="str">
        <x:v>Bari Concept</x:v>
      </x:c>
      <x:c r="C58" s="27" t="str">
        <x:v>STY-005-1</x:v>
      </x:c>
      <x:c r="D58" s="27" t="str">
        <x:v>Jeans</x:v>
      </x:c>
      <x:c r="E58" s="34" t="n">
        <x:v>1150</x:v>
      </x:c>
      <x:c r="F58" s="27" t="str">
        <x:v>IT38-IT48</x:v>
      </x:c>
      <x:c r="G58" s="30" t="n">
        <x:v>46218</x:v>
      </x:c>
      <x:c r="H58" s="30" t="n">
        <x:v>46258</x:v>
      </x:c>
      <x:c r="I58" s="30" t="n">
        <x:v>46256</x:v>
      </x:c>
      <x:c r="J58" s="27" t="str">
        <x:v>L4</x:v>
      </x:c>
      <x:c r="K58" s="27" t="str">
        <x:v>LN-016</x:v>
      </x:c>
      <x:c r="L58" s="27" t="str">
        <x:v>normal</x:v>
      </x:c>
      <x:c r="M58" s="27" t="str">
        <x:v>in production</x:v>
      </x:c>
      <x:c r="N58" s="32" t="n">
        <x:v>0.34</x:v>
      </x:c>
      <x:c r="O58" s="34" t="n">
        <x:f>VLOOKUP(C58,style_master!$A$2:$H$33,8,FALSE)</x:f>
        <x:v>35</x:v>
      </x:c>
      <x:c r="P58" s="34" t="n">
        <x:f>E58*O58</x:f>
        <x:v>40250</x:v>
      </x:c>
      <x:c r="Q58" s="36" t="n">
        <x:f>IFERROR(P58/VLOOKUP(K58,line_capacity!$B$2:$N$47,13,FALSE),0)</x:f>
        <x:v>9.864267676767676</x:v>
      </x:c>
      <x:c r="R58" s="36" t="n">
        <x:f>H58-Dashboard!$B$2</x:f>
        <x:v>89</x:v>
      </x:c>
      <x:c r="S58" s="27" t="str">
        <x:f>IF(R58&lt;=0,"OVERDUE",IF(Q58&gt;R58,"HIGH",IF(Q58/R58&gt;0.65,"MEDIUM","LOW")))</x:f>
        <x:v>LOW</x:v>
      </x:c>
    </x:row>
    <x:row r="59">
      <x:c r="A59" s="27" t="str">
        <x:v>ORD-1158</x:v>
      </x:c>
      <x:c r="B59" s="27" t="str">
        <x:v>Torino Mode</x:v>
      </x:c>
      <x:c r="C59" s="27" t="str">
        <x:v>STY-009-1</x:v>
      </x:c>
      <x:c r="D59" s="27" t="str">
        <x:v>Felpa</x:v>
      </x:c>
      <x:c r="E59" s="34" t="n">
        <x:v>900</x:v>
      </x:c>
      <x:c r="F59" s="27" t="str">
        <x:v>34-44</x:v>
      </x:c>
      <x:c r="G59" s="30" t="n">
        <x:v>46220</x:v>
      </x:c>
      <x:c r="H59" s="30" t="n">
        <x:v>46245</x:v>
      </x:c>
      <x:c r="I59" s="30" t="n">
        <x:v>46243</x:v>
      </x:c>
      <x:c r="J59" s="27" t="str">
        <x:v>L9</x:v>
      </x:c>
      <x:c r="K59" s="27" t="str">
        <x:v>LN-039</x:v>
      </x:c>
      <x:c r="L59" s="27" t="str">
        <x:v>normal</x:v>
      </x:c>
      <x:c r="M59" s="27" t="str">
        <x:v>scheduled</x:v>
      </x:c>
      <x:c r="N59" s="32" t="n">
        <x:v>0.05</x:v>
      </x:c>
      <x:c r="O59" s="34" t="n">
        <x:f>VLOOKUP(C59,style_master!$A$2:$H$33,8,FALSE)</x:f>
        <x:v>27</x:v>
      </x:c>
      <x:c r="P59" s="34" t="n">
        <x:f>E59*O59</x:f>
        <x:v>24300</x:v>
      </x:c>
      <x:c r="Q59" s="36" t="n">
        <x:f>IFERROR(P59/VLOOKUP(K59,line_capacity!$B$2:$N$47,13,FALSE),0)</x:f>
        <x:v>2.91098844229774</x:v>
      </x:c>
      <x:c r="R59" s="36" t="n">
        <x:f>H59-Dashboard!$B$2</x:f>
        <x:v>76</x:v>
      </x:c>
      <x:c r="S59" s="27" t="str">
        <x:f>IF(R59&lt;=0,"OVERDUE",IF(Q59&gt;R59,"HIGH",IF(Q59/R59&gt;0.65,"MEDIUM","LOW")))</x:f>
        <x:v>LOW</x:v>
      </x:c>
    </x:row>
    <x:row r="60">
      <x:c r="A60" s="27" t="str">
        <x:v>ORD-1159</x:v>
      </x:c>
      <x:c r="B60" s="27" t="str">
        <x:v>Linea Roma</x:v>
      </x:c>
      <x:c r="C60" s="27" t="str">
        <x:v>STY-013-2</x:v>
      </x:c>
      <x:c r="D60" s="27" t="str">
        <x:v>Slip</x:v>
      </x:c>
      <x:c r="E60" s="34" t="n">
        <x:v>150</x:v>
      </x:c>
      <x:c r="F60" s="27" t="str">
        <x:v>S-XXL</x:v>
      </x:c>
      <x:c r="G60" s="30" t="n">
        <x:v>46222</x:v>
      </x:c>
      <x:c r="H60" s="30" t="n">
        <x:v>46246</x:v>
      </x:c>
      <x:c r="I60" s="30" t="n">
        <x:v>46244</x:v>
      </x:c>
      <x:c r="J60" s="27" t="str">
        <x:v>L7</x:v>
      </x:c>
      <x:c r="K60" s="27" t="str">
        <x:v>LN-030</x:v>
      </x:c>
      <x:c r="L60" s="27" t="str">
        <x:v>normal</x:v>
      </x:c>
      <x:c r="M60" s="27" t="str">
        <x:v>ready to cut</x:v>
      </x:c>
      <x:c r="N60" s="32" t="n">
        <x:v>0.18</x:v>
      </x:c>
      <x:c r="O60" s="34" t="n">
        <x:f>VLOOKUP(C60,style_master!$A$2:$H$33,8,FALSE)</x:f>
        <x:v>34</x:v>
      </x:c>
      <x:c r="P60" s="34" t="n">
        <x:f>E60*O60</x:f>
        <x:v>5100</x:v>
      </x:c>
      <x:c r="Q60" s="36" t="n">
        <x:f>IFERROR(P60/VLOOKUP(K60,line_capacity!$B$2:$N$47,13,FALSE),0)</x:f>
        <x:v>0.730180328770136</x:v>
      </x:c>
      <x:c r="R60" s="36" t="n">
        <x:f>H60-Dashboard!$B$2</x:f>
        <x:v>77</x:v>
      </x:c>
      <x:c r="S60" s="27" t="str">
        <x:f>IF(R60&lt;=0,"OVERDUE",IF(Q60&gt;R60,"HIGH",IF(Q60/R60&gt;0.65,"MEDIUM","LOW")))</x:f>
        <x:v>LOW</x:v>
      </x:c>
    </x:row>
    <x:row r="61">
      <x:c r="A61" s="27" t="str">
        <x:v>ORD-1160</x:v>
      </x:c>
      <x:c r="B61" s="27" t="str">
        <x:v>Studio Firenze</x:v>
      </x:c>
      <x:c r="C61" s="27" t="str">
        <x:v>STY-011-2</x:v>
      </x:c>
      <x:c r="D61" s="27" t="str">
        <x:v>Kimono</x:v>
      </x:c>
      <x:c r="E61" s="34" t="n">
        <x:v>480</x:v>
      </x:c>
      <x:c r="F61" s="27" t="str">
        <x:v>70B-90D</x:v>
      </x:c>
      <x:c r="G61" s="30" t="n">
        <x:v>46224</x:v>
      </x:c>
      <x:c r="H61" s="30" t="n">
        <x:v>46253</x:v>
      </x:c>
      <x:c r="I61" s="30" t="n">
        <x:v>46251</x:v>
      </x:c>
      <x:c r="J61" s="27" t="str">
        <x:v>L7</x:v>
      </x:c>
      <x:c r="K61" s="27" t="str">
        <x:v>LN-030</x:v>
      </x:c>
      <x:c r="L61" s="27" t="str">
        <x:v>high</x:v>
      </x:c>
      <x:c r="M61" s="27" t="str">
        <x:v>materials ready</x:v>
      </x:c>
      <x:c r="N61" s="32" t="n">
        <x:v>0.12</x:v>
      </x:c>
      <x:c r="O61" s="34" t="n">
        <x:f>VLOOKUP(C61,style_master!$A$2:$H$33,8,FALSE)</x:f>
        <x:v>39</x:v>
      </x:c>
      <x:c r="P61" s="34" t="n">
        <x:f>E61*O61</x:f>
        <x:v>18720</x:v>
      </x:c>
      <x:c r="Q61" s="36" t="n">
        <x:f>IFERROR(P61/VLOOKUP(K61,line_capacity!$B$2:$N$47,13,FALSE),0)</x:f>
        <x:v>2.680191324426852</x:v>
      </x:c>
      <x:c r="R61" s="36" t="n">
        <x:f>H61-Dashboard!$B$2</x:f>
        <x:v>84</x:v>
      </x:c>
      <x:c r="S61" s="27" t="str">
        <x:f>IF(R61&lt;=0,"OVERDUE",IF(Q61&gt;R61,"HIGH",IF(Q61/R61&gt;0.65,"MEDIUM","LOW")))</x:f>
        <x:v>LOW</x:v>
      </x:c>
    </x:row>
  </x:sheetData>
  <x:conditionalFormatting sqref="S2:S61">
    <x:cfRule type="expression" dxfId="0" priority="1">
      <x:formula>S2="HIGH"</x:formula>
    </x:cfRule>
    <x:cfRule type="expression" dxfId="1" priority="2">
      <x:formula>S2="OVERDUE"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53ca0588204e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729999542236328" hidden="0" customWidth="1"/>
    <x:col min="2" max="2" width="24" hidden="0" customWidth="1"/>
    <x:col min="3" max="3" width="12.109999656677246" hidden="0" customWidth="1"/>
    <x:col min="4" max="4" width="18.170000076293945" hidden="0" customWidth="1"/>
    <x:col min="5" max="5" width="18.440000534057617" hidden="0" customWidth="1"/>
    <x:col min="6" max="6" width="17.770000457763672" hidden="0" customWidth="1"/>
    <x:col min="7" max="7" width="19.520000457763672" hidden="0" customWidth="1"/>
    <x:col min="8" max="8" width="12.920000076293945" hidden="0" customWidth="1"/>
    <x:col min="9" max="9" width="15.609999656677246" hidden="0" customWidth="1"/>
  </x:cols>
  <x:sheetData>
    <x:row r="1" ht="28" customHeight="1">
      <x:c r="A1" s="26" t="str">
        <x:v>product_type</x:v>
      </x:c>
      <x:c r="B1" s="26" t="str">
        <x:v>phase_name</x:v>
      </x:c>
      <x:c r="C1" s="26" t="str">
        <x:v>line_type</x:v>
      </x:c>
      <x:c r="D1" s="26" t="str">
        <x:v>min_time_minutes</x:v>
      </x:c>
      <x:c r="E1" s="26" t="str">
        <x:v>max_time_minutes</x:v>
      </x:c>
      <x:c r="F1" s="26" t="str">
        <x:v>avg_time_minutes</x:v>
      </x:c>
      <x:c r="G1" s="26" t="str">
        <x:v>setup_time_minutes</x:v>
      </x:c>
      <x:c r="H1" s="26" t="str">
        <x:v>phase_order</x:v>
      </x:c>
      <x:c r="I1" s="26" t="str">
        <x:v>dependency</x:v>
      </x:c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</x:row>
    <x:row r="2">
      <x:c r="A2" s="27" t="str">
        <x:v>Cappotto</x:v>
      </x:c>
      <x:c r="B2" s="27" t="str">
        <x:v>taglio tessuto</x:v>
      </x:c>
      <x:c r="C2" s="27" t="str">
        <x:v>cutting</x:v>
      </x:c>
      <x:c r="D2" s="27" t="n">
        <x:v>9</x:v>
      </x:c>
      <x:c r="E2" s="27" t="n">
        <x:v>14</x:v>
      </x:c>
      <x:c r="F2" s="27" t="n">
        <x:v>11.5</x:v>
      </x:c>
      <x:c r="G2" s="27" t="n">
        <x:v>3</x:v>
      </x:c>
      <x:c r="H2" s="27" t="n">
        <x:v>1</x:v>
      </x:c>
      <x:c r="I2" s="27" t="str">
        <x:v>tech pack approved</x:v>
      </x:c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</x:row>
    <x:row r="3">
      <x:c r="A3" s="27" t="str">
        <x:v>Cappotto</x:v>
      </x:c>
      <x:c r="B3" s="27" t="str">
        <x:v>adesivazione</x:v>
      </x:c>
      <x:c r="C3" s="27" t="str">
        <x:v>cutting</x:v>
      </x:c>
      <x:c r="D3" s="27" t="n">
        <x:v>7</x:v>
      </x:c>
      <x:c r="E3" s="27" t="n">
        <x:v>12</x:v>
      </x:c>
      <x:c r="F3" s="27" t="n">
        <x:v>9.5</x:v>
      </x:c>
      <x:c r="G3" s="27" t="n">
        <x:v>3</x:v>
      </x:c>
      <x:c r="H3" s="27" t="n">
        <x:v>2</x:v>
      </x:c>
      <x:c r="I3" s="27" t="str">
        <x:v>previous phase</x:v>
      </x:c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</x:row>
    <x:row r="4">
      <x:c r="A4" s="27" t="str">
        <x:v>Cappotto</x:v>
      </x:c>
      <x:c r="B4" s="27" t="str">
        <x:v>imbastitura</x:v>
      </x:c>
      <x:c r="C4" s="27" t="str">
        <x:v>sewing</x:v>
      </x:c>
      <x:c r="D4" s="27" t="n">
        <x:v>11</x:v>
      </x:c>
      <x:c r="E4" s="27" t="n">
        <x:v>18</x:v>
      </x:c>
      <x:c r="F4" s="27" t="n">
        <x:v>14.5</x:v>
      </x:c>
      <x:c r="G4" s="27" t="n">
        <x:v>2</x:v>
      </x:c>
      <x:c r="H4" s="27" t="n">
        <x:v>3</x:v>
      </x:c>
      <x:c r="I4" s="27" t="str">
        <x:v>previous phase</x:v>
      </x:c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</x:row>
    <x:row r="5">
      <x:c r="A5" s="27" t="str">
        <x:v>Cappotto</x:v>
      </x:c>
      <x:c r="B5" s="27" t="str">
        <x:v>confezione capo</x:v>
      </x:c>
      <x:c r="C5" s="27" t="str">
        <x:v>sewing</x:v>
      </x:c>
      <x:c r="D5" s="27" t="n">
        <x:v>27</x:v>
      </x:c>
      <x:c r="E5" s="27" t="n">
        <x:v>39</x:v>
      </x:c>
      <x:c r="F5" s="27" t="n">
        <x:v>33</x:v>
      </x:c>
      <x:c r="G5" s="27" t="n">
        <x:v>6</x:v>
      </x:c>
      <x:c r="H5" s="27" t="n">
        <x:v>4</x:v>
      </x:c>
      <x:c r="I5" s="27" t="str">
        <x:v>previous phase</x:v>
      </x:c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</x:row>
    <x:row r="6">
      <x:c r="A6" s="27" t="str">
        <x:v>Cappotto</x:v>
      </x:c>
      <x:c r="B6" s="27" t="str">
        <x:v>applicazione fodera</x:v>
      </x:c>
      <x:c r="C6" s="27" t="str">
        <x:v>sewing</x:v>
      </x:c>
      <x:c r="D6" s="27" t="n">
        <x:v>14</x:v>
      </x:c>
      <x:c r="E6" s="27" t="n">
        <x:v>21</x:v>
      </x:c>
      <x:c r="F6" s="27" t="n">
        <x:v>17.5</x:v>
      </x:c>
      <x:c r="G6" s="27" t="n">
        <x:v>3</x:v>
      </x:c>
      <x:c r="H6" s="27" t="n">
        <x:v>5</x:v>
      </x:c>
      <x:c r="I6" s="27" t="str">
        <x:v>previous phase</x:v>
      </x:c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</x:row>
    <x:row r="7">
      <x:c r="A7" s="27" t="str">
        <x:v>Cappotto</x:v>
      </x:c>
      <x:c r="B7" s="27" t="str">
        <x:v>stiro intermedio</x:v>
      </x:c>
      <x:c r="C7" s="27" t="str">
        <x:v>finishing</x:v>
      </x:c>
      <x:c r="D7" s="27" t="n">
        <x:v>6</x:v>
      </x:c>
      <x:c r="E7" s="27" t="n">
        <x:v>9</x:v>
      </x:c>
      <x:c r="F7" s="27" t="n">
        <x:v>7.5</x:v>
      </x:c>
      <x:c r="G7" s="27" t="n">
        <x:v>2</x:v>
      </x:c>
      <x:c r="H7" s="27" t="n">
        <x:v>6</x:v>
      </x:c>
      <x:c r="I7" s="27" t="str">
        <x:v>previous phase</x:v>
      </x:c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</x:row>
    <x:row r="8">
      <x:c r="A8" s="27" t="str">
        <x:v>Cappotto</x:v>
      </x:c>
      <x:c r="B8" s="27" t="str">
        <x:v>controllo qualità</x:v>
      </x:c>
      <x:c r="C8" s="27" t="str">
        <x:v>quality_control</x:v>
      </x:c>
      <x:c r="D8" s="27" t="n">
        <x:v>3</x:v>
      </x:c>
      <x:c r="E8" s="27" t="n">
        <x:v>9</x:v>
      </x:c>
      <x:c r="F8" s="27" t="n">
        <x:v>6</x:v>
      </x:c>
      <x:c r="G8" s="27" t="n">
        <x:v>1</x:v>
      </x:c>
      <x:c r="H8" s="27" t="n">
        <x:v>7</x:v>
      </x:c>
      <x:c r="I8" s="27" t="str">
        <x:v>previous phase</x:v>
      </x:c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</x:row>
    <x:row r="9">
      <x:c r="A9" s="27" t="str">
        <x:v>Cappotto</x:v>
      </x:c>
      <x:c r="B9" s="27" t="str">
        <x:v>packing</x:v>
      </x:c>
      <x:c r="C9" s="27" t="str">
        <x:v>finishing</x:v>
      </x:c>
      <x:c r="D9" s="27" t="n">
        <x:v>3</x:v>
      </x:c>
      <x:c r="E9" s="27" t="n">
        <x:v>4</x:v>
      </x:c>
      <x:c r="F9" s="27" t="n">
        <x:v>3.5</x:v>
      </x:c>
      <x:c r="G9" s="27" t="n">
        <x:v>1</x:v>
      </x:c>
      <x:c r="H9" s="27" t="n">
        <x:v>8</x:v>
      </x:c>
      <x:c r="I9" s="27" t="str">
        <x:v>previous phase</x:v>
      </x:c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</x:row>
    <x:row r="10">
      <x:c r="A10" s="27" t="str">
        <x:v>Gonna</x:v>
      </x:c>
      <x:c r="B10" s="27" t="str">
        <x:v>taglio tessuto</x:v>
      </x:c>
      <x:c r="C10" s="27" t="str">
        <x:v>cutting</x:v>
      </x:c>
      <x:c r="D10" s="27" t="n">
        <x:v>6</x:v>
      </x:c>
      <x:c r="E10" s="27" t="n">
        <x:v>8</x:v>
      </x:c>
      <x:c r="F10" s="27" t="n">
        <x:v>7</x:v>
      </x:c>
      <x:c r="G10" s="27" t="n">
        <x:v>2</x:v>
      </x:c>
      <x:c r="H10" s="27" t="n">
        <x:v>1</x:v>
      </x:c>
      <x:c r="I10" s="27" t="str">
        <x:v>tech pack approved</x:v>
      </x:c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</x:row>
    <x:row r="11">
      <x:c r="A11" s="27" t="str">
        <x:v>Gonna</x:v>
      </x:c>
      <x:c r="B11" s="27" t="str">
        <x:v>applicazione zip</x:v>
      </x:c>
      <x:c r="C11" s="27" t="str">
        <x:v>sewing</x:v>
      </x:c>
      <x:c r="D11" s="27" t="n">
        <x:v>4</x:v>
      </x:c>
      <x:c r="E11" s="27" t="n">
        <x:v>8</x:v>
      </x:c>
      <x:c r="F11" s="27" t="n">
        <x:v>6</x:v>
      </x:c>
      <x:c r="G11" s="27" t="n">
        <x:v>2</x:v>
      </x:c>
      <x:c r="H11" s="27" t="n">
        <x:v>2</x:v>
      </x:c>
      <x:c r="I11" s="27" t="str">
        <x:v>previous phase</x:v>
      </x:c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</x:row>
    <x:row r="12">
      <x:c r="A12" s="27" t="str">
        <x:v>Gonna</x:v>
      </x:c>
      <x:c r="B12" s="27" t="str">
        <x:v>confezione capo</x:v>
      </x:c>
      <x:c r="C12" s="27" t="str">
        <x:v>sewing</x:v>
      </x:c>
      <x:c r="D12" s="27" t="n">
        <x:v>11</x:v>
      </x:c>
      <x:c r="E12" s="27" t="n">
        <x:v>18</x:v>
      </x:c>
      <x:c r="F12" s="27" t="n">
        <x:v>14.5</x:v>
      </x:c>
      <x:c r="G12" s="27" t="n">
        <x:v>3</x:v>
      </x:c>
      <x:c r="H12" s="27" t="n">
        <x:v>3</x:v>
      </x:c>
      <x:c r="I12" s="27" t="str">
        <x:v>previous phase</x:v>
      </x:c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</x:row>
    <x:row r="13">
      <x:c r="A13" s="27" t="str">
        <x:v>Gonna</x:v>
      </x:c>
      <x:c r="B13" s="27" t="str">
        <x:v>orlo</x:v>
      </x:c>
      <x:c r="C13" s="27" t="str">
        <x:v>sewing</x:v>
      </x:c>
      <x:c r="D13" s="27" t="n">
        <x:v>5</x:v>
      </x:c>
      <x:c r="E13" s="27" t="n">
        <x:v>6</x:v>
      </x:c>
      <x:c r="F13" s="27" t="n">
        <x:v>5.5</x:v>
      </x:c>
      <x:c r="G13" s="27" t="n">
        <x:v>2</x:v>
      </x:c>
      <x:c r="H13" s="27" t="n">
        <x:v>4</x:v>
      </x:c>
      <x:c r="I13" s="27" t="str">
        <x:v>previous phase</x:v>
      </x:c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</x:row>
    <x:row r="14">
      <x:c r="A14" s="27" t="str">
        <x:v>Gonna</x:v>
      </x:c>
      <x:c r="B14" s="27" t="str">
        <x:v>stiro finale</x:v>
      </x:c>
      <x:c r="C14" s="27" t="str">
        <x:v>finishing</x:v>
      </x:c>
      <x:c r="D14" s="27" t="n">
        <x:v>3</x:v>
      </x:c>
      <x:c r="E14" s="27" t="n">
        <x:v>4</x:v>
      </x:c>
      <x:c r="F14" s="27" t="n">
        <x:v>3.5</x:v>
      </x:c>
      <x:c r="G14" s="27" t="n">
        <x:v>1</x:v>
      </x:c>
      <x:c r="H14" s="27" t="n">
        <x:v>5</x:v>
      </x:c>
      <x:c r="I14" s="27" t="str">
        <x:v>previous phase</x:v>
      </x:c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</x:row>
    <x:row r="15">
      <x:c r="A15" s="27" t="str">
        <x:v>Gonna</x:v>
      </x:c>
      <x:c r="B15" s="27" t="str">
        <x:v>controllo qualità</x:v>
      </x:c>
      <x:c r="C15" s="27" t="str">
        <x:v>quality_control</x:v>
      </x:c>
      <x:c r="D15" s="27" t="n">
        <x:v>3</x:v>
      </x:c>
      <x:c r="E15" s="27" t="n">
        <x:v>5</x:v>
      </x:c>
      <x:c r="F15" s="27" t="n">
        <x:v>4</x:v>
      </x:c>
      <x:c r="G15" s="27" t="n">
        <x:v>1</x:v>
      </x:c>
      <x:c r="H15" s="27" t="n">
        <x:v>6</x:v>
      </x:c>
      <x:c r="I15" s="27" t="str">
        <x:v>previous phase</x:v>
      </x:c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</x:row>
    <x:row r="16">
      <x:c r="A16" s="27" t="str">
        <x:v>Camicia</x:v>
      </x:c>
      <x:c r="B16" s="27" t="str">
        <x:v>taglio tessuto</x:v>
      </x:c>
      <x:c r="C16" s="27" t="str">
        <x:v>cutting</x:v>
      </x:c>
      <x:c r="D16" s="27" t="n">
        <x:v>7</x:v>
      </x:c>
      <x:c r="E16" s="27" t="n">
        <x:v>11</x:v>
      </x:c>
      <x:c r="F16" s="27" t="n">
        <x:v>9</x:v>
      </x:c>
      <x:c r="G16" s="27" t="n">
        <x:v>2</x:v>
      </x:c>
      <x:c r="H16" s="27" t="n">
        <x:v>1</x:v>
      </x:c>
      <x:c r="I16" s="27" t="str">
        <x:v>tech pack approved</x:v>
      </x:c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</x:row>
    <x:row r="17">
      <x:c r="A17" s="27" t="str">
        <x:v>Camicia</x:v>
      </x:c>
      <x:c r="B17" s="27" t="str">
        <x:v>collo e polsi</x:v>
      </x:c>
      <x:c r="C17" s="27" t="str">
        <x:v>sewing</x:v>
      </x:c>
      <x:c r="D17" s="27" t="n">
        <x:v>6</x:v>
      </x:c>
      <x:c r="E17" s="27" t="n">
        <x:v>9</x:v>
      </x:c>
      <x:c r="F17" s="27" t="n">
        <x:v>7.5</x:v>
      </x:c>
      <x:c r="G17" s="27" t="n">
        <x:v>3</x:v>
      </x:c>
      <x:c r="H17" s="27" t="n">
        <x:v>2</x:v>
      </x:c>
      <x:c r="I17" s="27" t="str">
        <x:v>previous phase</x:v>
      </x:c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</x:row>
    <x:row r="18">
      <x:c r="A18" s="27" t="str">
        <x:v>Camicia</x:v>
      </x:c>
      <x:c r="B18" s="27" t="str">
        <x:v>asolatura/bottoni</x:v>
      </x:c>
      <x:c r="C18" s="27" t="str">
        <x:v>sewing</x:v>
      </x:c>
      <x:c r="D18" s="27" t="n">
        <x:v>4</x:v>
      </x:c>
      <x:c r="E18" s="27" t="n">
        <x:v>7</x:v>
      </x:c>
      <x:c r="F18" s="27" t="n">
        <x:v>5.5</x:v>
      </x:c>
      <x:c r="G18" s="27" t="n">
        <x:v>1</x:v>
      </x:c>
      <x:c r="H18" s="27" t="n">
        <x:v>3</x:v>
      </x:c>
      <x:c r="I18" s="27" t="str">
        <x:v>previous phase</x:v>
      </x:c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</x:row>
    <x:row r="19">
      <x:c r="A19" s="27" t="str">
        <x:v>Camicia</x:v>
      </x:c>
      <x:c r="B19" s="27" t="str">
        <x:v>confezione capo</x:v>
      </x:c>
      <x:c r="C19" s="27" t="str">
        <x:v>sewing</x:v>
      </x:c>
      <x:c r="D19" s="27" t="n">
        <x:v>12</x:v>
      </x:c>
      <x:c r="E19" s="27" t="n">
        <x:v>18</x:v>
      </x:c>
      <x:c r="F19" s="27" t="n">
        <x:v>15</x:v>
      </x:c>
      <x:c r="G19" s="27" t="n">
        <x:v>4</x:v>
      </x:c>
      <x:c r="H19" s="27" t="n">
        <x:v>4</x:v>
      </x:c>
      <x:c r="I19" s="27" t="str">
        <x:v>previous phase</x:v>
      </x:c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</x:row>
    <x:row r="20">
      <x:c r="A20" s="27" t="str">
        <x:v>Camicia</x:v>
      </x:c>
      <x:c r="B20" s="27" t="str">
        <x:v>stiro finale</x:v>
      </x:c>
      <x:c r="C20" s="27" t="str">
        <x:v>finishing</x:v>
      </x:c>
      <x:c r="D20" s="27" t="n">
        <x:v>3</x:v>
      </x:c>
      <x:c r="E20" s="27" t="n">
        <x:v>8</x:v>
      </x:c>
      <x:c r="F20" s="27" t="n">
        <x:v>5.5</x:v>
      </x:c>
      <x:c r="G20" s="27" t="n">
        <x:v>1</x:v>
      </x:c>
      <x:c r="H20" s="27" t="n">
        <x:v>5</x:v>
      </x:c>
      <x:c r="I20" s="27" t="str">
        <x:v>previous phase</x:v>
      </x:c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</x:row>
    <x:row r="21">
      <x:c r="A21" s="27" t="str">
        <x:v>Camicia</x:v>
      </x:c>
      <x:c r="B21" s="27" t="str">
        <x:v>controllo qualità</x:v>
      </x:c>
      <x:c r="C21" s="27" t="str">
        <x:v>quality_control</x:v>
      </x:c>
      <x:c r="D21" s="27" t="n">
        <x:v>3</x:v>
      </x:c>
      <x:c r="E21" s="27" t="n">
        <x:v>4</x:v>
      </x:c>
      <x:c r="F21" s="27" t="n">
        <x:v>3.5</x:v>
      </x:c>
      <x:c r="G21" s="27" t="n">
        <x:v>1</x:v>
      </x:c>
      <x:c r="H21" s="27" t="n">
        <x:v>6</x:v>
      </x:c>
      <x:c r="I21" s="27" t="str">
        <x:v>previous phase</x:v>
      </x:c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</x:row>
    <x:row r="22">
      <x:c r="A22" s="27" t="str">
        <x:v>Abito</x:v>
      </x:c>
      <x:c r="B22" s="27" t="str">
        <x:v>taglio tessuto</x:v>
      </x:c>
      <x:c r="C22" s="27" t="str">
        <x:v>cutting</x:v>
      </x:c>
      <x:c r="D22" s="27" t="n">
        <x:v>8</x:v>
      </x:c>
      <x:c r="E22" s="27" t="n">
        <x:v>12</x:v>
      </x:c>
      <x:c r="F22" s="27" t="n">
        <x:v>10</x:v>
      </x:c>
      <x:c r="G22" s="27" t="n">
        <x:v>3</x:v>
      </x:c>
      <x:c r="H22" s="27" t="n">
        <x:v>1</x:v>
      </x:c>
      <x:c r="I22" s="27" t="str">
        <x:v>tech pack approved</x:v>
      </x:c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</x:row>
    <x:row r="23">
      <x:c r="A23" s="27" t="str">
        <x:v>Abito</x:v>
      </x:c>
      <x:c r="B23" s="27" t="str">
        <x:v>imbastitura</x:v>
      </x:c>
      <x:c r="C23" s="27" t="str">
        <x:v>sewing</x:v>
      </x:c>
      <x:c r="D23" s="27" t="n">
        <x:v>7</x:v>
      </x:c>
      <x:c r="E23" s="27" t="n">
        <x:v>13</x:v>
      </x:c>
      <x:c r="F23" s="27" t="n">
        <x:v>10</x:v>
      </x:c>
      <x:c r="G23" s="27" t="n">
        <x:v>3</x:v>
      </x:c>
      <x:c r="H23" s="27" t="n">
        <x:v>2</x:v>
      </x:c>
      <x:c r="I23" s="27" t="str">
        <x:v>previous phase</x:v>
      </x:c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</x:row>
    <x:row r="24">
      <x:c r="A24" s="27" t="str">
        <x:v>Abito</x:v>
      </x:c>
      <x:c r="B24" s="27" t="str">
        <x:v>confezione corpino</x:v>
      </x:c>
      <x:c r="C24" s="27" t="str">
        <x:v>sewing</x:v>
      </x:c>
      <x:c r="D24" s="27" t="n">
        <x:v>13</x:v>
      </x:c>
      <x:c r="E24" s="27" t="n">
        <x:v>23</x:v>
      </x:c>
      <x:c r="F24" s="27" t="n">
        <x:v>18</x:v>
      </x:c>
      <x:c r="G24" s="27" t="n">
        <x:v>3</x:v>
      </x:c>
      <x:c r="H24" s="27" t="n">
        <x:v>3</x:v>
      </x:c>
      <x:c r="I24" s="27" t="str">
        <x:v>previous phase</x:v>
      </x:c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</x:row>
    <x:row r="25">
      <x:c r="A25" s="27" t="str">
        <x:v>Abito</x:v>
      </x:c>
      <x:c r="B25" s="27" t="str">
        <x:v>confezione gonna</x:v>
      </x:c>
      <x:c r="C25" s="27" t="str">
        <x:v>sewing</x:v>
      </x:c>
      <x:c r="D25" s="27" t="n">
        <x:v>11</x:v>
      </x:c>
      <x:c r="E25" s="27" t="n">
        <x:v>15</x:v>
      </x:c>
      <x:c r="F25" s="27" t="n">
        <x:v>13</x:v>
      </x:c>
      <x:c r="G25" s="27" t="n">
        <x:v>4</x:v>
      </x:c>
      <x:c r="H25" s="27" t="n">
        <x:v>4</x:v>
      </x:c>
      <x:c r="I25" s="27" t="str">
        <x:v>previous phase</x:v>
      </x:c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</x:row>
    <x:row r="26">
      <x:c r="A26" s="27" t="str">
        <x:v>Abito</x:v>
      </x:c>
      <x:c r="B26" s="27" t="str">
        <x:v>stiro finale</x:v>
      </x:c>
      <x:c r="C26" s="27" t="str">
        <x:v>finishing</x:v>
      </x:c>
      <x:c r="D26" s="27" t="n">
        <x:v>3</x:v>
      </x:c>
      <x:c r="E26" s="27" t="n">
        <x:v>7</x:v>
      </x:c>
      <x:c r="F26" s="27" t="n">
        <x:v>5</x:v>
      </x:c>
      <x:c r="G26" s="27" t="n">
        <x:v>1</x:v>
      </x:c>
      <x:c r="H26" s="27" t="n">
        <x:v>5</x:v>
      </x:c>
      <x:c r="I26" s="27" t="str">
        <x:v>previous phase</x:v>
      </x:c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</x:row>
    <x:row r="27">
      <x:c r="A27" s="27" t="str">
        <x:v>Abito</x:v>
      </x:c>
      <x:c r="B27" s="27" t="str">
        <x:v>controllo qualità</x:v>
      </x:c>
      <x:c r="C27" s="27" t="str">
        <x:v>quality_control</x:v>
      </x:c>
      <x:c r="D27" s="27" t="n">
        <x:v>3</x:v>
      </x:c>
      <x:c r="E27" s="27" t="n">
        <x:v>6</x:v>
      </x:c>
      <x:c r="F27" s="27" t="n">
        <x:v>4.5</x:v>
      </x:c>
      <x:c r="G27" s="27" t="n">
        <x:v>1</x:v>
      </x:c>
      <x:c r="H27" s="27" t="n">
        <x:v>6</x:v>
      </x:c>
      <x:c r="I27" s="27" t="str">
        <x:v>previous phase</x:v>
      </x:c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</x:row>
    <x:row r="28">
      <x:c r="A28" s="27" t="str">
        <x:v>Jeans</x:v>
      </x:c>
      <x:c r="B28" s="27" t="str">
        <x:v>taglio tessuto</x:v>
      </x:c>
      <x:c r="C28" s="27" t="str">
        <x:v>cutting</x:v>
      </x:c>
      <x:c r="D28" s="27" t="n">
        <x:v>6</x:v>
      </x:c>
      <x:c r="E28" s="27" t="n">
        <x:v>11</x:v>
      </x:c>
      <x:c r="F28" s="27" t="n">
        <x:v>8.5</x:v>
      </x:c>
      <x:c r="G28" s="27" t="n">
        <x:v>2</x:v>
      </x:c>
      <x:c r="H28" s="27" t="n">
        <x:v>1</x:v>
      </x:c>
      <x:c r="I28" s="27" t="str">
        <x:v>tech pack approved</x:v>
      </x:c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</x:row>
    <x:row r="29">
      <x:c r="A29" s="27" t="str">
        <x:v>Jeans</x:v>
      </x:c>
      <x:c r="B29" s="27" t="str">
        <x:v>cuciture tasche</x:v>
      </x:c>
      <x:c r="C29" s="27" t="str">
        <x:v>sewing</x:v>
      </x:c>
      <x:c r="D29" s="27" t="n">
        <x:v>7</x:v>
      </x:c>
      <x:c r="E29" s="27" t="n">
        <x:v>10</x:v>
      </x:c>
      <x:c r="F29" s="27" t="n">
        <x:v>8.5</x:v>
      </x:c>
      <x:c r="G29" s="27" t="n">
        <x:v>3</x:v>
      </x:c>
      <x:c r="H29" s="27" t="n">
        <x:v>2</x:v>
      </x:c>
      <x:c r="I29" s="27" t="str">
        <x:v>previous phase</x:v>
      </x:c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</x:row>
    <x:row r="30">
      <x:c r="A30" s="27" t="str">
        <x:v>Jeans</x:v>
      </x:c>
      <x:c r="B30" s="27" t="str">
        <x:v>confezione capo</x:v>
      </x:c>
      <x:c r="C30" s="27" t="str">
        <x:v>sewing</x:v>
      </x:c>
      <x:c r="D30" s="27" t="n">
        <x:v>13</x:v>
      </x:c>
      <x:c r="E30" s="27" t="n">
        <x:v>21</x:v>
      </x:c>
      <x:c r="F30" s="27" t="n">
        <x:v>17</x:v>
      </x:c>
      <x:c r="G30" s="27" t="n">
        <x:v>3</x:v>
      </x:c>
      <x:c r="H30" s="27" t="n">
        <x:v>3</x:v>
      </x:c>
      <x:c r="I30" s="27" t="str">
        <x:v>previous phase</x:v>
      </x:c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</x:row>
    <x:row r="31">
      <x:c r="A31" s="27" t="str">
        <x:v>Jeans</x:v>
      </x:c>
      <x:c r="B31" s="27" t="str">
        <x:v>lavaggio/trattamenti</x:v>
      </x:c>
      <x:c r="C31" s="27" t="str">
        <x:v>washing</x:v>
      </x:c>
      <x:c r="D31" s="27" t="n">
        <x:v>7</x:v>
      </x:c>
      <x:c r="E31" s="27" t="n">
        <x:v>10</x:v>
      </x:c>
      <x:c r="F31" s="27" t="n">
        <x:v>8.5</x:v>
      </x:c>
      <x:c r="G31" s="27" t="n">
        <x:v>2</x:v>
      </x:c>
      <x:c r="H31" s="27" t="n">
        <x:v>4</x:v>
      </x:c>
      <x:c r="I31" s="27" t="str">
        <x:v>previous phase</x:v>
      </x:c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</x:row>
    <x:row r="32">
      <x:c r="A32" s="27" t="str">
        <x:v>Jeans</x:v>
      </x:c>
      <x:c r="B32" s="27" t="str">
        <x:v>stiro finale</x:v>
      </x:c>
      <x:c r="C32" s="27" t="str">
        <x:v>finishing</x:v>
      </x:c>
      <x:c r="D32" s="27" t="n">
        <x:v>3</x:v>
      </x:c>
      <x:c r="E32" s="27" t="n">
        <x:v>7</x:v>
      </x:c>
      <x:c r="F32" s="27" t="n">
        <x:v>5</x:v>
      </x:c>
      <x:c r="G32" s="27" t="n">
        <x:v>1</x:v>
      </x:c>
      <x:c r="H32" s="27" t="n">
        <x:v>5</x:v>
      </x:c>
      <x:c r="I32" s="27" t="str">
        <x:v>previous phase</x:v>
      </x:c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</x:row>
    <x:row r="33">
      <x:c r="A33" s="27" t="str">
        <x:v>Jeans</x:v>
      </x:c>
      <x:c r="B33" s="27" t="str">
        <x:v>controllo qualità</x:v>
      </x:c>
      <x:c r="C33" s="27" t="str">
        <x:v>quality_control</x:v>
      </x:c>
      <x:c r="D33" s="27" t="n">
        <x:v>3</x:v>
      </x:c>
      <x:c r="E33" s="27" t="n">
        <x:v>4</x:v>
      </x:c>
      <x:c r="F33" s="27" t="n">
        <x:v>3.5</x:v>
      </x:c>
      <x:c r="G33" s="27" t="n">
        <x:v>1</x:v>
      </x:c>
      <x:c r="H33" s="27" t="n">
        <x:v>6</x:v>
      </x:c>
      <x:c r="I33" s="27" t="str">
        <x:v>previous phase</x:v>
      </x:c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</x:row>
    <x:row r="34">
      <x:c r="A34" s="27" t="str">
        <x:v>T-shirt</x:v>
      </x:c>
      <x:c r="B34" s="27" t="str">
        <x:v>taglio tessuto</x:v>
      </x:c>
      <x:c r="C34" s="27" t="str">
        <x:v>cutting</x:v>
      </x:c>
      <x:c r="D34" s="27" t="n">
        <x:v>4</x:v>
      </x:c>
      <x:c r="E34" s="27" t="n">
        <x:v>5</x:v>
      </x:c>
      <x:c r="F34" s="27" t="n">
        <x:v>4.5</x:v>
      </x:c>
      <x:c r="G34" s="27" t="n">
        <x:v>1</x:v>
      </x:c>
      <x:c r="H34" s="27" t="n">
        <x:v>1</x:v>
      </x:c>
      <x:c r="I34" s="27" t="str">
        <x:v>tech pack approved</x:v>
      </x:c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</x:row>
    <x:row r="35">
      <x:c r="A35" s="27" t="str">
        <x:v>T-shirt</x:v>
      </x:c>
      <x:c r="B35" s="27" t="str">
        <x:v>spalle e fianchi</x:v>
      </x:c>
      <x:c r="C35" s="27" t="str">
        <x:v>sewing</x:v>
      </x:c>
      <x:c r="D35" s="27" t="n">
        <x:v>3</x:v>
      </x:c>
      <x:c r="E35" s="27" t="n">
        <x:v>8</x:v>
      </x:c>
      <x:c r="F35" s="27" t="n">
        <x:v>5.5</x:v>
      </x:c>
      <x:c r="G35" s="27" t="n">
        <x:v>2</x:v>
      </x:c>
      <x:c r="H35" s="27" t="n">
        <x:v>2</x:v>
      </x:c>
      <x:c r="I35" s="27" t="str">
        <x:v>previous phase</x:v>
      </x:c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</x:row>
    <x:row r="36">
      <x:c r="A36" s="27" t="str">
        <x:v>T-shirt</x:v>
      </x:c>
      <x:c r="B36" s="27" t="str">
        <x:v>collo</x:v>
      </x:c>
      <x:c r="C36" s="27" t="str">
        <x:v>sewing</x:v>
      </x:c>
      <x:c r="D36" s="27" t="n">
        <x:v>3</x:v>
      </x:c>
      <x:c r="E36" s="27" t="n">
        <x:v>6</x:v>
      </x:c>
      <x:c r="F36" s="27" t="n">
        <x:v>4.5</x:v>
      </x:c>
      <x:c r="G36" s="27" t="n">
        <x:v>1</x:v>
      </x:c>
      <x:c r="H36" s="27" t="n">
        <x:v>3</x:v>
      </x:c>
      <x:c r="I36" s="27" t="str">
        <x:v>previous phase</x:v>
      </x:c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</x:row>
    <x:row r="37">
      <x:c r="A37" s="27" t="str">
        <x:v>T-shirt</x:v>
      </x:c>
      <x:c r="B37" s="27" t="str">
        <x:v>orlo</x:v>
      </x:c>
      <x:c r="C37" s="27" t="str">
        <x:v>sewing</x:v>
      </x:c>
      <x:c r="D37" s="27" t="n">
        <x:v>4</x:v>
      </x:c>
      <x:c r="E37" s="27" t="n">
        <x:v>5</x:v>
      </x:c>
      <x:c r="F37" s="27" t="n">
        <x:v>4.5</x:v>
      </x:c>
      <x:c r="G37" s="27" t="n">
        <x:v>1</x:v>
      </x:c>
      <x:c r="H37" s="27" t="n">
        <x:v>4</x:v>
      </x:c>
      <x:c r="I37" s="27" t="str">
        <x:v>previous phase</x:v>
      </x:c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</x:row>
    <x:row r="38">
      <x:c r="A38" s="27" t="str">
        <x:v>T-shirt</x:v>
      </x:c>
      <x:c r="B38" s="27" t="str">
        <x:v>stiro/packing</x:v>
      </x:c>
      <x:c r="C38" s="27" t="str">
        <x:v>finishing</x:v>
      </x:c>
      <x:c r="D38" s="27" t="n">
        <x:v>3</x:v>
      </x:c>
      <x:c r="E38" s="27" t="n">
        <x:v>4</x:v>
      </x:c>
      <x:c r="F38" s="27" t="n">
        <x:v>3.5</x:v>
      </x:c>
      <x:c r="G38" s="27" t="n">
        <x:v>1</x:v>
      </x:c>
      <x:c r="H38" s="27" t="n">
        <x:v>5</x:v>
      </x:c>
      <x:c r="I38" s="27" t="str">
        <x:v>previous phase</x:v>
      </x:c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</x:row>
    <x:row r="39">
      <x:c r="A39" s="27" t="str">
        <x:v>T-shirt</x:v>
      </x:c>
      <x:c r="B39" s="27" t="str">
        <x:v>controllo qualità</x:v>
      </x:c>
      <x:c r="C39" s="27" t="str">
        <x:v>quality_control</x:v>
      </x:c>
      <x:c r="D39" s="27" t="n">
        <x:v>3</x:v>
      </x:c>
      <x:c r="E39" s="27" t="n">
        <x:v>4</x:v>
      </x:c>
      <x:c r="F39" s="27" t="n">
        <x:v>3.5</x:v>
      </x:c>
      <x:c r="G39" s="27" t="n">
        <x:v>1</x:v>
      </x:c>
      <x:c r="H39" s="27" t="n">
        <x:v>6</x:v>
      </x:c>
      <x:c r="I39" s="27" t="str">
        <x:v>previous phase</x:v>
      </x:c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</x:row>
    <x:row r="40">
      <x:c r="A40" s="27" t="str">
        <x:v>Pantalone</x:v>
      </x:c>
      <x:c r="B40" s="27" t="str">
        <x:v>taglio tessuto</x:v>
      </x:c>
      <x:c r="C40" s="27" t="str">
        <x:v>cutting</x:v>
      </x:c>
      <x:c r="D40" s="27" t="n">
        <x:v>7</x:v>
      </x:c>
      <x:c r="E40" s="27" t="n">
        <x:v>11</x:v>
      </x:c>
      <x:c r="F40" s="27" t="n">
        <x:v>9</x:v>
      </x:c>
      <x:c r="G40" s="27" t="n">
        <x:v>2</x:v>
      </x:c>
      <x:c r="H40" s="27" t="n">
        <x:v>1</x:v>
      </x:c>
      <x:c r="I40" s="27" t="str">
        <x:v>tech pack approved</x:v>
      </x:c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</x:row>
    <x:row r="41">
      <x:c r="A41" s="27" t="str">
        <x:v>Pantalone</x:v>
      </x:c>
      <x:c r="B41" s="27" t="str">
        <x:v>tasche</x:v>
      </x:c>
      <x:c r="C41" s="27" t="str">
        <x:v>sewing</x:v>
      </x:c>
      <x:c r="D41" s="27" t="n">
        <x:v>5</x:v>
      </x:c>
      <x:c r="E41" s="27" t="n">
        <x:v>8</x:v>
      </x:c>
      <x:c r="F41" s="27" t="n">
        <x:v>6.5</x:v>
      </x:c>
      <x:c r="G41" s="27" t="n">
        <x:v>3</x:v>
      </x:c>
      <x:c r="H41" s="27" t="n">
        <x:v>2</x:v>
      </x:c>
      <x:c r="I41" s="27" t="str">
        <x:v>previous phase</x:v>
      </x:c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</x:row>
    <x:row r="42">
      <x:c r="A42" s="27" t="str">
        <x:v>Pantalone</x:v>
      </x:c>
      <x:c r="B42" s="27" t="str">
        <x:v>cintura</x:v>
      </x:c>
      <x:c r="C42" s="27" t="str">
        <x:v>sewing</x:v>
      </x:c>
      <x:c r="D42" s="27" t="n">
        <x:v>5</x:v>
      </x:c>
      <x:c r="E42" s="27" t="n">
        <x:v>8</x:v>
      </x:c>
      <x:c r="F42" s="27" t="n">
        <x:v>6.5</x:v>
      </x:c>
      <x:c r="G42" s="27" t="n">
        <x:v>1</x:v>
      </x:c>
      <x:c r="H42" s="27" t="n">
        <x:v>3</x:v>
      </x:c>
      <x:c r="I42" s="27" t="str">
        <x:v>previous phase</x:v>
      </x:c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</x:row>
    <x:row r="43">
      <x:c r="A43" s="27" t="str">
        <x:v>Pantalone</x:v>
      </x:c>
      <x:c r="B43" s="27" t="str">
        <x:v>confezione capo</x:v>
      </x:c>
      <x:c r="C43" s="27" t="str">
        <x:v>sewing</x:v>
      </x:c>
      <x:c r="D43" s="27" t="n">
        <x:v>12</x:v>
      </x:c>
      <x:c r="E43" s="27" t="n">
        <x:v>18</x:v>
      </x:c>
      <x:c r="F43" s="27" t="n">
        <x:v>15</x:v>
      </x:c>
      <x:c r="G43" s="27" t="n">
        <x:v>4</x:v>
      </x:c>
      <x:c r="H43" s="27" t="n">
        <x:v>4</x:v>
      </x:c>
      <x:c r="I43" s="27" t="str">
        <x:v>previous phase</x:v>
      </x:c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</x:row>
    <x:row r="44">
      <x:c r="A44" s="27" t="str">
        <x:v>Pantalone</x:v>
      </x:c>
      <x:c r="B44" s="27" t="str">
        <x:v>stiro finale</x:v>
      </x:c>
      <x:c r="C44" s="27" t="str">
        <x:v>finishing</x:v>
      </x:c>
      <x:c r="D44" s="27" t="n">
        <x:v>3</x:v>
      </x:c>
      <x:c r="E44" s="27" t="n">
        <x:v>7</x:v>
      </x:c>
      <x:c r="F44" s="27" t="n">
        <x:v>5</x:v>
      </x:c>
      <x:c r="G44" s="27" t="n">
        <x:v>1</x:v>
      </x:c>
      <x:c r="H44" s="27" t="n">
        <x:v>5</x:v>
      </x:c>
      <x:c r="I44" s="27" t="str">
        <x:v>previous phase</x:v>
      </x:c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</x:row>
    <x:row r="45">
      <x:c r="A45" s="27" t="str">
        <x:v>Pantalone</x:v>
      </x:c>
      <x:c r="B45" s="27" t="str">
        <x:v>controllo qualità</x:v>
      </x:c>
      <x:c r="C45" s="27" t="str">
        <x:v>quality_control</x:v>
      </x:c>
      <x:c r="D45" s="27" t="n">
        <x:v>3</x:v>
      </x:c>
      <x:c r="E45" s="27" t="n">
        <x:v>4</x:v>
      </x:c>
      <x:c r="F45" s="27" t="n">
        <x:v>3.5</x:v>
      </x:c>
      <x:c r="G45" s="27" t="n">
        <x:v>1</x:v>
      </x:c>
      <x:c r="H45" s="27" t="n">
        <x:v>6</x:v>
      </x:c>
      <x:c r="I45" s="27" t="str">
        <x:v>previous phase</x:v>
      </x:c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</x:row>
    <x:row r="46">
      <x:c r="A46" s="27" t="str">
        <x:v>Blazer</x:v>
      </x:c>
      <x:c r="B46" s="27" t="str">
        <x:v>taglio tessuto</x:v>
      </x:c>
      <x:c r="C46" s="27" t="str">
        <x:v>cutting</x:v>
      </x:c>
      <x:c r="D46" s="27" t="n">
        <x:v>10</x:v>
      </x:c>
      <x:c r="E46" s="27" t="n">
        <x:v>14</x:v>
      </x:c>
      <x:c r="F46" s="27" t="n">
        <x:v>12</x:v>
      </x:c>
      <x:c r="G46" s="27" t="n">
        <x:v>3</x:v>
      </x:c>
      <x:c r="H46" s="27" t="n">
        <x:v>1</x:v>
      </x:c>
      <x:c r="I46" s="27" t="str">
        <x:v>tech pack approved</x:v>
      </x:c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</x:row>
    <x:row r="47">
      <x:c r="A47" s="27" t="str">
        <x:v>Blazer</x:v>
      </x:c>
      <x:c r="B47" s="27" t="str">
        <x:v>adesivazione</x:v>
      </x:c>
      <x:c r="C47" s="27" t="str">
        <x:v>cutting</x:v>
      </x:c>
      <x:c r="D47" s="27" t="n">
        <x:v>6</x:v>
      </x:c>
      <x:c r="E47" s="27" t="n">
        <x:v>12</x:v>
      </x:c>
      <x:c r="F47" s="27" t="n">
        <x:v>9</x:v>
      </x:c>
      <x:c r="G47" s="27" t="n">
        <x:v>3</x:v>
      </x:c>
      <x:c r="H47" s="27" t="n">
        <x:v>2</x:v>
      </x:c>
      <x:c r="I47" s="27" t="str">
        <x:v>previous phase</x:v>
      </x:c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</x:row>
    <x:row r="48">
      <x:c r="A48" s="27" t="str">
        <x:v>Blazer</x:v>
      </x:c>
      <x:c r="B48" s="27" t="str">
        <x:v>costruzione davanti</x:v>
      </x:c>
      <x:c r="C48" s="27" t="str">
        <x:v>sewing</x:v>
      </x:c>
      <x:c r="D48" s="27" t="n">
        <x:v>16</x:v>
      </x:c>
      <x:c r="E48" s="27" t="n">
        <x:v>26</x:v>
      </x:c>
      <x:c r="F48" s="27" t="n">
        <x:v>21</x:v>
      </x:c>
      <x:c r="G48" s="27" t="n">
        <x:v>3</x:v>
      </x:c>
      <x:c r="H48" s="27" t="n">
        <x:v>3</x:v>
      </x:c>
      <x:c r="I48" s="27" t="str">
        <x:v>previous phase</x:v>
      </x:c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</x:row>
    <x:row r="49">
      <x:c r="A49" s="27" t="str">
        <x:v>Blazer</x:v>
      </x:c>
      <x:c r="B49" s="27" t="str">
        <x:v>maniche</x:v>
      </x:c>
      <x:c r="C49" s="27" t="str">
        <x:v>sewing</x:v>
      </x:c>
      <x:c r="D49" s="27" t="n">
        <x:v>13</x:v>
      </x:c>
      <x:c r="E49" s="27" t="n">
        <x:v>17</x:v>
      </x:c>
      <x:c r="F49" s="27" t="n">
        <x:v>15</x:v>
      </x:c>
      <x:c r="G49" s="27" t="n">
        <x:v>4</x:v>
      </x:c>
      <x:c r="H49" s="27" t="n">
        <x:v>4</x:v>
      </x:c>
      <x:c r="I49" s="27" t="str">
        <x:v>previous phase</x:v>
      </x:c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</x:row>
    <x:row r="50">
      <x:c r="A50" s="27" t="str">
        <x:v>Blazer</x:v>
      </x:c>
      <x:c r="B50" s="27" t="str">
        <x:v>applicazione fodera</x:v>
      </x:c>
      <x:c r="C50" s="27" t="str">
        <x:v>sewing</x:v>
      </x:c>
      <x:c r="D50" s="27" t="n">
        <x:v>11</x:v>
      </x:c>
      <x:c r="E50" s="27" t="n">
        <x:v>20</x:v>
      </x:c>
      <x:c r="F50" s="27" t="n">
        <x:v>15.5</x:v>
      </x:c>
      <x:c r="G50" s="27" t="n">
        <x:v>3</x:v>
      </x:c>
      <x:c r="H50" s="27" t="n">
        <x:v>5</x:v>
      </x:c>
      <x:c r="I50" s="27" t="str">
        <x:v>previous phase</x:v>
      </x:c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</x:row>
    <x:row r="51">
      <x:c r="A51" s="27" t="str">
        <x:v>Blazer</x:v>
      </x:c>
      <x:c r="B51" s="27" t="str">
        <x:v>stiro finale</x:v>
      </x:c>
      <x:c r="C51" s="27" t="str">
        <x:v>finishing</x:v>
      </x:c>
      <x:c r="D51" s="27" t="n">
        <x:v>6</x:v>
      </x:c>
      <x:c r="E51" s="27" t="n">
        <x:v>11</x:v>
      </x:c>
      <x:c r="F51" s="27" t="n">
        <x:v>8.5</x:v>
      </x:c>
      <x:c r="G51" s="27" t="n">
        <x:v>2</x:v>
      </x:c>
      <x:c r="H51" s="27" t="n">
        <x:v>6</x:v>
      </x:c>
      <x:c r="I51" s="27" t="str">
        <x:v>previous phase</x:v>
      </x:c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</x:row>
    <x:row r="52">
      <x:c r="A52" s="27" t="str">
        <x:v>Blazer</x:v>
      </x:c>
      <x:c r="B52" s="27" t="str">
        <x:v>controllo qualità</x:v>
      </x:c>
      <x:c r="C52" s="27" t="str">
        <x:v>quality_control</x:v>
      </x:c>
      <x:c r="D52" s="27" t="n">
        <x:v>5</x:v>
      </x:c>
      <x:c r="E52" s="27" t="n">
        <x:v>9</x:v>
      </x:c>
      <x:c r="F52" s="27" t="n">
        <x:v>7</x:v>
      </x:c>
      <x:c r="G52" s="27" t="n">
        <x:v>1</x:v>
      </x:c>
      <x:c r="H52" s="27" t="n">
        <x:v>7</x:v>
      </x:c>
      <x:c r="I52" s="27" t="str">
        <x:v>previous phase</x:v>
      </x:c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</x:row>
    <x:row r="53">
      <x:c r="A53" s="27" t="str">
        <x:v>Felpa</x:v>
      </x:c>
      <x:c r="B53" s="27" t="str">
        <x:v>taglio tessuto</x:v>
      </x:c>
      <x:c r="C53" s="27" t="str">
        <x:v>cutting</x:v>
      </x:c>
      <x:c r="D53" s="27" t="n">
        <x:v>3</x:v>
      </x:c>
      <x:c r="E53" s="27" t="n">
        <x:v>5</x:v>
      </x:c>
      <x:c r="F53" s="27" t="n">
        <x:v>4</x:v>
      </x:c>
      <x:c r="G53" s="27" t="n">
        <x:v>2</x:v>
      </x:c>
      <x:c r="H53" s="27" t="n">
        <x:v>1</x:v>
      </x:c>
      <x:c r="I53" s="27" t="str">
        <x:v>tech pack approved</x:v>
      </x:c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</x:row>
    <x:row r="54">
      <x:c r="A54" s="27" t="str">
        <x:v>Felpa</x:v>
      </x:c>
      <x:c r="B54" s="27" t="str">
        <x:v>assemblaggio busto</x:v>
      </x:c>
      <x:c r="C54" s="27" t="str">
        <x:v>sewing</x:v>
      </x:c>
      <x:c r="D54" s="27" t="n">
        <x:v>6</x:v>
      </x:c>
      <x:c r="E54" s="27" t="n">
        <x:v>9</x:v>
      </x:c>
      <x:c r="F54" s="27" t="n">
        <x:v>7.5</x:v>
      </x:c>
      <x:c r="G54" s="27" t="n">
        <x:v>1</x:v>
      </x:c>
      <x:c r="H54" s="27" t="n">
        <x:v>2</x:v>
      </x:c>
      <x:c r="I54" s="27" t="str">
        <x:v>previous phase</x:v>
      </x:c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</x:row>
    <x:row r="55">
      <x:c r="A55" s="27" t="str">
        <x:v>Felpa</x:v>
      </x:c>
      <x:c r="B55" s="27" t="str">
        <x:v>cappuccio/collo</x:v>
      </x:c>
      <x:c r="C55" s="27" t="str">
        <x:v>sewing</x:v>
      </x:c>
      <x:c r="D55" s="27" t="n">
        <x:v>6</x:v>
      </x:c>
      <x:c r="E55" s="27" t="n">
        <x:v>8</x:v>
      </x:c>
      <x:c r="F55" s="27" t="n">
        <x:v>7</x:v>
      </x:c>
      <x:c r="G55" s="27" t="n">
        <x:v>2</x:v>
      </x:c>
      <x:c r="H55" s="27" t="n">
        <x:v>3</x:v>
      </x:c>
      <x:c r="I55" s="27" t="str">
        <x:v>previous phase</x:v>
      </x:c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</x:row>
    <x:row r="56">
      <x:c r="A56" s="27" t="str">
        <x:v>Felpa</x:v>
      </x:c>
      <x:c r="B56" s="27" t="str">
        <x:v>polsi e fondo</x:v>
      </x:c>
      <x:c r="C56" s="27" t="str">
        <x:v>sewing</x:v>
      </x:c>
      <x:c r="D56" s="27" t="n">
        <x:v>3</x:v>
      </x:c>
      <x:c r="E56" s="27" t="n">
        <x:v>8</x:v>
      </x:c>
      <x:c r="F56" s="27" t="n">
        <x:v>5.5</x:v>
      </x:c>
      <x:c r="G56" s="27" t="n">
        <x:v>1</x:v>
      </x:c>
      <x:c r="H56" s="27" t="n">
        <x:v>4</x:v>
      </x:c>
      <x:c r="I56" s="27" t="str">
        <x:v>previous phase</x:v>
      </x:c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</x:row>
    <x:row r="57">
      <x:c r="A57" s="27" t="str">
        <x:v>Felpa</x:v>
      </x:c>
      <x:c r="B57" s="27" t="str">
        <x:v>stiro/packing</x:v>
      </x:c>
      <x:c r="C57" s="27" t="str">
        <x:v>finishing</x:v>
      </x:c>
      <x:c r="D57" s="27" t="n">
        <x:v>3</x:v>
      </x:c>
      <x:c r="E57" s="27" t="n">
        <x:v>4</x:v>
      </x:c>
      <x:c r="F57" s="27" t="n">
        <x:v>3.5</x:v>
      </x:c>
      <x:c r="G57" s="27" t="n">
        <x:v>1</x:v>
      </x:c>
      <x:c r="H57" s="27" t="n">
        <x:v>5</x:v>
      </x:c>
      <x:c r="I57" s="27" t="str">
        <x:v>previous phase</x:v>
      </x:c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</x:row>
    <x:row r="58">
      <x:c r="A58" s="27" t="str">
        <x:v>Felpa</x:v>
      </x:c>
      <x:c r="B58" s="27" t="str">
        <x:v>controllo qualità</x:v>
      </x:c>
      <x:c r="C58" s="27" t="str">
        <x:v>quality_control</x:v>
      </x:c>
      <x:c r="D58" s="27" t="n">
        <x:v>3</x:v>
      </x:c>
      <x:c r="E58" s="27" t="n">
        <x:v>4</x:v>
      </x:c>
      <x:c r="F58" s="27" t="n">
        <x:v>3.5</x:v>
      </x:c>
      <x:c r="G58" s="27" t="n">
        <x:v>1</x:v>
      </x:c>
      <x:c r="H58" s="27" t="n">
        <x:v>6</x:v>
      </x:c>
      <x:c r="I58" s="27" t="str">
        <x:v>previous phase</x:v>
      </x:c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</x:row>
    <x:row r="59">
      <x:c r="A59" s="27" t="str">
        <x:v>Top</x:v>
      </x:c>
      <x:c r="B59" s="27" t="str">
        <x:v>taglio tessuto</x:v>
      </x:c>
      <x:c r="C59" s="27" t="str">
        <x:v>cutting</x:v>
      </x:c>
      <x:c r="D59" s="27" t="n">
        <x:v>3</x:v>
      </x:c>
      <x:c r="E59" s="27" t="n">
        <x:v>5</x:v>
      </x:c>
      <x:c r="F59" s="27" t="n">
        <x:v>4</x:v>
      </x:c>
      <x:c r="G59" s="27" t="n">
        <x:v>2</x:v>
      </x:c>
      <x:c r="H59" s="27" t="n">
        <x:v>1</x:v>
      </x:c>
      <x:c r="I59" s="27" t="str">
        <x:v>tech pack approved</x:v>
      </x:c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</x:row>
    <x:row r="60">
      <x:c r="A60" s="27" t="str">
        <x:v>Top</x:v>
      </x:c>
      <x:c r="B60" s="27" t="str">
        <x:v>confezione capo</x:v>
      </x:c>
      <x:c r="C60" s="27" t="str">
        <x:v>sewing</x:v>
      </x:c>
      <x:c r="D60" s="27" t="n">
        <x:v>6</x:v>
      </x:c>
      <x:c r="E60" s="27" t="n">
        <x:v>11</x:v>
      </x:c>
      <x:c r="F60" s="27" t="n">
        <x:v>8.5</x:v>
      </x:c>
      <x:c r="G60" s="27" t="n">
        <x:v>1</x:v>
      </x:c>
      <x:c r="H60" s="27" t="n">
        <x:v>2</x:v>
      </x:c>
      <x:c r="I60" s="27" t="str">
        <x:v>previous phase</x:v>
      </x:c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</x:row>
    <x:row r="61">
      <x:c r="A61" s="27" t="str">
        <x:v>Top</x:v>
      </x:c>
      <x:c r="B61" s="27" t="str">
        <x:v>elastici/finizioni</x:v>
      </x:c>
      <x:c r="C61" s="27" t="str">
        <x:v>sewing</x:v>
      </x:c>
      <x:c r="D61" s="27" t="n">
        <x:v>3</x:v>
      </x:c>
      <x:c r="E61" s="27" t="n">
        <x:v>4</x:v>
      </x:c>
      <x:c r="F61" s="27" t="n">
        <x:v>3.5</x:v>
      </x:c>
      <x:c r="G61" s="27" t="n">
        <x:v>1</x:v>
      </x:c>
      <x:c r="H61" s="27" t="n">
        <x:v>3</x:v>
      </x:c>
      <x:c r="I61" s="27" t="str">
        <x:v>previous phase</x:v>
      </x:c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</x:row>
    <x:row r="62">
      <x:c r="A62" s="27" t="str">
        <x:v>Top</x:v>
      </x:c>
      <x:c r="B62" s="27" t="str">
        <x:v>stiro finale</x:v>
      </x:c>
      <x:c r="C62" s="27" t="str">
        <x:v>finishing</x:v>
      </x:c>
      <x:c r="D62" s="27" t="n">
        <x:v>3</x:v>
      </x:c>
      <x:c r="E62" s="27" t="n">
        <x:v>4</x:v>
      </x:c>
      <x:c r="F62" s="27" t="n">
        <x:v>3.5</x:v>
      </x:c>
      <x:c r="G62" s="27" t="n">
        <x:v>1</x:v>
      </x:c>
      <x:c r="H62" s="27" t="n">
        <x:v>4</x:v>
      </x:c>
      <x:c r="I62" s="27" t="str">
        <x:v>previous phase</x:v>
      </x:c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</x:row>
    <x:row r="63">
      <x:c r="A63" s="27" t="str">
        <x:v>Top</x:v>
      </x:c>
      <x:c r="B63" s="27" t="str">
        <x:v>controllo qualità</x:v>
      </x:c>
      <x:c r="C63" s="27" t="str">
        <x:v>quality_control</x:v>
      </x:c>
      <x:c r="D63" s="27" t="n">
        <x:v>3</x:v>
      </x:c>
      <x:c r="E63" s="27" t="n">
        <x:v>4</x:v>
      </x:c>
      <x:c r="F63" s="27" t="n">
        <x:v>3.5</x:v>
      </x:c>
      <x:c r="G63" s="27" t="n">
        <x:v>1</x:v>
      </x:c>
      <x:c r="H63" s="27" t="n">
        <x:v>5</x:v>
      </x:c>
      <x:c r="I63" s="27" t="str">
        <x:v>previous phase</x:v>
      </x:c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</x:row>
    <x:row r="64">
      <x:c r="A64" s="27" t="str">
        <x:v>Kimono</x:v>
      </x:c>
      <x:c r="B64" s="27" t="str">
        <x:v>taglio tessuto</x:v>
      </x:c>
      <x:c r="C64" s="27" t="str">
        <x:v>cutting</x:v>
      </x:c>
      <x:c r="D64" s="27" t="n">
        <x:v>8</x:v>
      </x:c>
      <x:c r="E64" s="27" t="n">
        <x:v>13</x:v>
      </x:c>
      <x:c r="F64" s="27" t="n">
        <x:v>10.5</x:v>
      </x:c>
      <x:c r="G64" s="27" t="n">
        <x:v>2</x:v>
      </x:c>
      <x:c r="H64" s="27" t="n">
        <x:v>1</x:v>
      </x:c>
      <x:c r="I64" s="27" t="str">
        <x:v>tech pack approved</x:v>
      </x:c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</x:row>
    <x:row r="65">
      <x:c r="A65" s="27" t="str">
        <x:v>Kimono</x:v>
      </x:c>
      <x:c r="B65" s="27" t="str">
        <x:v>cuciture spalle</x:v>
      </x:c>
      <x:c r="C65" s="27" t="str">
        <x:v>sewing</x:v>
      </x:c>
      <x:c r="D65" s="27" t="n">
        <x:v>5</x:v>
      </x:c>
      <x:c r="E65" s="27" t="n">
        <x:v>8</x:v>
      </x:c>
      <x:c r="F65" s="27" t="n">
        <x:v>6.5</x:v>
      </x:c>
      <x:c r="G65" s="27" t="n">
        <x:v>2</x:v>
      </x:c>
      <x:c r="H65" s="27" t="n">
        <x:v>2</x:v>
      </x:c>
      <x:c r="I65" s="27" t="str">
        <x:v>previous phase</x:v>
      </x:c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</x:row>
    <x:row r="66">
      <x:c r="A66" s="27" t="str">
        <x:v>Kimono</x:v>
      </x:c>
      <x:c r="B66" s="27" t="str">
        <x:v>maniche</x:v>
      </x:c>
      <x:c r="C66" s="27" t="str">
        <x:v>sewing</x:v>
      </x:c>
      <x:c r="D66" s="27" t="n">
        <x:v>8</x:v>
      </x:c>
      <x:c r="E66" s="27" t="n">
        <x:v>12</x:v>
      </x:c>
      <x:c r="F66" s="27" t="n">
        <x:v>10</x:v>
      </x:c>
      <x:c r="G66" s="27" t="n">
        <x:v>2</x:v>
      </x:c>
      <x:c r="H66" s="27" t="n">
        <x:v>3</x:v>
      </x:c>
      <x:c r="I66" s="27" t="str">
        <x:v>previous phase</x:v>
      </x:c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</x:row>
    <x:row r="67">
      <x:c r="A67" s="27" t="str">
        <x:v>Kimono</x:v>
      </x:c>
      <x:c r="B67" s="27" t="str">
        <x:v>cintura</x:v>
      </x:c>
      <x:c r="C67" s="27" t="str">
        <x:v>sewing</x:v>
      </x:c>
      <x:c r="D67" s="27" t="n">
        <x:v>5</x:v>
      </x:c>
      <x:c r="E67" s="27" t="n">
        <x:v>8</x:v>
      </x:c>
      <x:c r="F67" s="27" t="n">
        <x:v>6.5</x:v>
      </x:c>
      <x:c r="G67" s="27" t="n">
        <x:v>2</x:v>
      </x:c>
      <x:c r="H67" s="27" t="n">
        <x:v>4</x:v>
      </x:c>
      <x:c r="I67" s="27" t="str">
        <x:v>previous phase</x:v>
      </x:c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</x:row>
    <x:row r="68">
      <x:c r="A68" s="27" t="str">
        <x:v>Kimono</x:v>
      </x:c>
      <x:c r="B68" s="27" t="str">
        <x:v>stiro finale</x:v>
      </x:c>
      <x:c r="C68" s="27" t="str">
        <x:v>finishing</x:v>
      </x:c>
      <x:c r="D68" s="27" t="n">
        <x:v>3</x:v>
      </x:c>
      <x:c r="E68" s="27" t="n">
        <x:v>8</x:v>
      </x:c>
      <x:c r="F68" s="27" t="n">
        <x:v>5.5</x:v>
      </x:c>
      <x:c r="G68" s="27" t="n">
        <x:v>1</x:v>
      </x:c>
      <x:c r="H68" s="27" t="n">
        <x:v>5</x:v>
      </x:c>
      <x:c r="I68" s="27" t="str">
        <x:v>previous phase</x:v>
      </x:c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</x:row>
    <x:row r="69">
      <x:c r="A69" s="27" t="str">
        <x:v>Kimono</x:v>
      </x:c>
      <x:c r="B69" s="27" t="str">
        <x:v>controllo qualità</x:v>
      </x:c>
      <x:c r="C69" s="27" t="str">
        <x:v>quality_control</x:v>
      </x:c>
      <x:c r="D69" s="27" t="n">
        <x:v>3</x:v>
      </x:c>
      <x:c r="E69" s="27" t="n">
        <x:v>4</x:v>
      </x:c>
      <x:c r="F69" s="27" t="n">
        <x:v>3.5</x:v>
      </x:c>
      <x:c r="G69" s="27" t="n">
        <x:v>1</x:v>
      </x:c>
      <x:c r="H69" s="27" t="n">
        <x:v>6</x:v>
      </x:c>
      <x:c r="I69" s="27" t="str">
        <x:v>previous phase</x:v>
      </x:c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</x:row>
    <x:row r="70">
      <x:c r="A70" s="27" t="str">
        <x:v>Body</x:v>
      </x:c>
      <x:c r="B70" s="27" t="str">
        <x:v>taglio tessuto</x:v>
      </x:c>
      <x:c r="C70" s="27" t="str">
        <x:v>cutting</x:v>
      </x:c>
      <x:c r="D70" s="27" t="n">
        <x:v>5</x:v>
      </x:c>
      <x:c r="E70" s="27" t="n">
        <x:v>6</x:v>
      </x:c>
      <x:c r="F70" s="27" t="n">
        <x:v>5.5</x:v>
      </x:c>
      <x:c r="G70" s="27" t="n">
        <x:v>1</x:v>
      </x:c>
      <x:c r="H70" s="27" t="n">
        <x:v>1</x:v>
      </x:c>
      <x:c r="I70" s="27" t="str">
        <x:v>tech pack approved</x:v>
      </x:c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</x:row>
    <x:row r="71">
      <x:c r="A71" s="27" t="str">
        <x:v>Body</x:v>
      </x:c>
      <x:c r="B71" s="27" t="str">
        <x:v>assemblaggio</x:v>
      </x:c>
      <x:c r="C71" s="27" t="str">
        <x:v>sewing</x:v>
      </x:c>
      <x:c r="D71" s="27" t="n">
        <x:v>8</x:v>
      </x:c>
      <x:c r="E71" s="27" t="n">
        <x:v>14</x:v>
      </x:c>
      <x:c r="F71" s="27" t="n">
        <x:v>11</x:v>
      </x:c>
      <x:c r="G71" s="27" t="n">
        <x:v>3</x:v>
      </x:c>
      <x:c r="H71" s="27" t="n">
        <x:v>2</x:v>
      </x:c>
      <x:c r="I71" s="27" t="str">
        <x:v>previous phase</x:v>
      </x:c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</x:row>
    <x:row r="72">
      <x:c r="A72" s="27" t="str">
        <x:v>Body</x:v>
      </x:c>
      <x:c r="B72" s="27" t="str">
        <x:v>applicazione elastici</x:v>
      </x:c>
      <x:c r="C72" s="27" t="str">
        <x:v>sewing</x:v>
      </x:c>
      <x:c r="D72" s="27" t="n">
        <x:v>5</x:v>
      </x:c>
      <x:c r="E72" s="27" t="n">
        <x:v>11</x:v>
      </x:c>
      <x:c r="F72" s="27" t="n">
        <x:v>8</x:v>
      </x:c>
      <x:c r="G72" s="27" t="n">
        <x:v>1</x:v>
      </x:c>
      <x:c r="H72" s="27" t="n">
        <x:v>3</x:v>
      </x:c>
      <x:c r="I72" s="27" t="str">
        <x:v>previous phase</x:v>
      </x:c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</x:row>
    <x:row r="73">
      <x:c r="A73" s="27" t="str">
        <x:v>Body</x:v>
      </x:c>
      <x:c r="B73" s="27" t="str">
        <x:v>bottoni automatici</x:v>
      </x:c>
      <x:c r="C73" s="27" t="str">
        <x:v>sewing</x:v>
      </x:c>
      <x:c r="D73" s="27" t="n">
        <x:v>4</x:v>
      </x:c>
      <x:c r="E73" s="27" t="n">
        <x:v>5</x:v>
      </x:c>
      <x:c r="F73" s="27" t="n">
        <x:v>4.5</x:v>
      </x:c>
      <x:c r="G73" s="27" t="n">
        <x:v>1</x:v>
      </x:c>
      <x:c r="H73" s="27" t="n">
        <x:v>4</x:v>
      </x:c>
      <x:c r="I73" s="27" t="str">
        <x:v>previous phase</x:v>
      </x:c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</x:row>
    <x:row r="74">
      <x:c r="A74" s="27" t="str">
        <x:v>Body</x:v>
      </x:c>
      <x:c r="B74" s="27" t="str">
        <x:v>controllo qualità</x:v>
      </x:c>
      <x:c r="C74" s="27" t="str">
        <x:v>quality_control</x:v>
      </x:c>
      <x:c r="D74" s="27" t="n">
        <x:v>3</x:v>
      </x:c>
      <x:c r="E74" s="27" t="n">
        <x:v>4</x:v>
      </x:c>
      <x:c r="F74" s="27" t="n">
        <x:v>3.5</x:v>
      </x:c>
      <x:c r="G74" s="27" t="n">
        <x:v>1</x:v>
      </x:c>
      <x:c r="H74" s="27" t="n">
        <x:v>5</x:v>
      </x:c>
      <x:c r="I74" s="27" t="str">
        <x:v>previous phase</x:v>
      </x:c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</x:row>
    <x:row r="75">
      <x:c r="A75" s="27" t="str">
        <x:v>Slip</x:v>
      </x:c>
      <x:c r="B75" s="27" t="str">
        <x:v>taglio tessuto</x:v>
      </x:c>
      <x:c r="C75" s="27" t="str">
        <x:v>cutting</x:v>
      </x:c>
      <x:c r="D75" s="27" t="n">
        <x:v>3</x:v>
      </x:c>
      <x:c r="E75" s="27" t="n">
        <x:v>5</x:v>
      </x:c>
      <x:c r="F75" s="27" t="n">
        <x:v>4</x:v>
      </x:c>
      <x:c r="G75" s="27" t="n">
        <x:v>1</x:v>
      </x:c>
      <x:c r="H75" s="27" t="n">
        <x:v>1</x:v>
      </x:c>
      <x:c r="I75" s="27" t="str">
        <x:v>tech pack approved</x:v>
      </x:c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</x:row>
    <x:row r="76">
      <x:c r="A76" s="27" t="str">
        <x:v>Slip</x:v>
      </x:c>
      <x:c r="B76" s="27" t="str">
        <x:v>assemblaggio</x:v>
      </x:c>
      <x:c r="C76" s="27" t="str">
        <x:v>sewing</x:v>
      </x:c>
      <x:c r="D76" s="27" t="n">
        <x:v>6</x:v>
      </x:c>
      <x:c r="E76" s="27" t="n">
        <x:v>10</x:v>
      </x:c>
      <x:c r="F76" s="27" t="n">
        <x:v>8</x:v>
      </x:c>
      <x:c r="G76" s="27" t="n">
        <x:v>1</x:v>
      </x:c>
      <x:c r="H76" s="27" t="n">
        <x:v>2</x:v>
      </x:c>
      <x:c r="I76" s="27" t="str">
        <x:v>previous phase</x:v>
      </x:c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</x:row>
    <x:row r="77">
      <x:c r="A77" s="27" t="str">
        <x:v>Slip</x:v>
      </x:c>
      <x:c r="B77" s="27" t="str">
        <x:v>elastici</x:v>
      </x:c>
      <x:c r="C77" s="27" t="str">
        <x:v>sewing</x:v>
      </x:c>
      <x:c r="D77" s="27" t="n">
        <x:v>3</x:v>
      </x:c>
      <x:c r="E77" s="27" t="n">
        <x:v>4</x:v>
      </x:c>
      <x:c r="F77" s="27" t="n">
        <x:v>3.5</x:v>
      </x:c>
      <x:c r="G77" s="27" t="n">
        <x:v>1</x:v>
      </x:c>
      <x:c r="H77" s="27" t="n">
        <x:v>3</x:v>
      </x:c>
      <x:c r="I77" s="27" t="str">
        <x:v>previous phase</x:v>
      </x:c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</x:row>
    <x:row r="78">
      <x:c r="A78" s="27" t="str">
        <x:v>Slip</x:v>
      </x:c>
      <x:c r="B78" s="27" t="str">
        <x:v>controllo qualità</x:v>
      </x:c>
      <x:c r="C78" s="27" t="str">
        <x:v>quality_control</x:v>
      </x:c>
      <x:c r="D78" s="27" t="n">
        <x:v>3</x:v>
      </x:c>
      <x:c r="E78" s="27" t="n">
        <x:v>4</x:v>
      </x:c>
      <x:c r="F78" s="27" t="n">
        <x:v>3.5</x:v>
      </x:c>
      <x:c r="G78" s="27" t="n">
        <x:v>1</x:v>
      </x:c>
      <x:c r="H78" s="27" t="n">
        <x:v>4</x:v>
      </x:c>
      <x:c r="I78" s="27" t="str">
        <x:v>previous phase</x:v>
      </x:c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</x:row>
    <x:row r="79">
      <x:c r="A79" s="27" t="str">
        <x:v>Bra</x:v>
      </x:c>
      <x:c r="B79" s="27" t="str">
        <x:v>taglio tessuto</x:v>
      </x:c>
      <x:c r="C79" s="27" t="str">
        <x:v>cutting</x:v>
      </x:c>
      <x:c r="D79" s="27" t="n">
        <x:v>5</x:v>
      </x:c>
      <x:c r="E79" s="27" t="n">
        <x:v>8</x:v>
      </x:c>
      <x:c r="F79" s="27" t="n">
        <x:v>6.5</x:v>
      </x:c>
      <x:c r="G79" s="27" t="n">
        <x:v>2</x:v>
      </x:c>
      <x:c r="H79" s="27" t="n">
        <x:v>1</x:v>
      </x:c>
      <x:c r="I79" s="27" t="str">
        <x:v>tech pack approved</x:v>
      </x:c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</x:row>
    <x:row r="80">
      <x:c r="A80" s="27" t="str">
        <x:v>Bra</x:v>
      </x:c>
      <x:c r="B80" s="27" t="str">
        <x:v>coppe</x:v>
      </x:c>
      <x:c r="C80" s="27" t="str">
        <x:v>sewing</x:v>
      </x:c>
      <x:c r="D80" s="27" t="n">
        <x:v>7</x:v>
      </x:c>
      <x:c r="E80" s="27" t="n">
        <x:v>14</x:v>
      </x:c>
      <x:c r="F80" s="27" t="n">
        <x:v>10.5</x:v>
      </x:c>
      <x:c r="G80" s="27" t="n">
        <x:v>2</x:v>
      </x:c>
      <x:c r="H80" s="27" t="n">
        <x:v>2</x:v>
      </x:c>
      <x:c r="I80" s="27" t="str">
        <x:v>previous phase</x:v>
      </x:c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</x:row>
    <x:row r="81">
      <x:c r="A81" s="27" t="str">
        <x:v>Bra</x:v>
      </x:c>
      <x:c r="B81" s="27" t="str">
        <x:v>elastici e spalline</x:v>
      </x:c>
      <x:c r="C81" s="27" t="str">
        <x:v>sewing</x:v>
      </x:c>
      <x:c r="D81" s="27" t="n">
        <x:v>7</x:v>
      </x:c>
      <x:c r="E81" s="27" t="n">
        <x:v>10</x:v>
      </x:c>
      <x:c r="F81" s="27" t="n">
        <x:v>8.5</x:v>
      </x:c>
      <x:c r="G81" s="27" t="n">
        <x:v>2</x:v>
      </x:c>
      <x:c r="H81" s="27" t="n">
        <x:v>3</x:v>
      </x:c>
      <x:c r="I81" s="27" t="str">
        <x:v>previous phase</x:v>
      </x:c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</x:row>
    <x:row r="82">
      <x:c r="A82" s="27" t="str">
        <x:v>Bra</x:v>
      </x:c>
      <x:c r="B82" s="27" t="str">
        <x:v>ganci e rifiniture</x:v>
      </x:c>
      <x:c r="C82" s="27" t="str">
        <x:v>sewing</x:v>
      </x:c>
      <x:c r="D82" s="27" t="n">
        <x:v>6</x:v>
      </x:c>
      <x:c r="E82" s="27" t="n">
        <x:v>8</x:v>
      </x:c>
      <x:c r="F82" s="27" t="n">
        <x:v>7</x:v>
      </x:c>
      <x:c r="G82" s="27" t="n">
        <x:v>1</x:v>
      </x:c>
      <x:c r="H82" s="27" t="n">
        <x:v>4</x:v>
      </x:c>
      <x:c r="I82" s="27" t="str">
        <x:v>previous phase</x:v>
      </x:c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</x:row>
    <x:row r="83">
      <x:c r="A83" s="27" t="str">
        <x:v>Bra</x:v>
      </x:c>
      <x:c r="B83" s="27" t="str">
        <x:v>controllo qualità</x:v>
      </x:c>
      <x:c r="C83" s="27" t="str">
        <x:v>quality_control</x:v>
      </x:c>
      <x:c r="D83" s="27" t="n">
        <x:v>3</x:v>
      </x:c>
      <x:c r="E83" s="27" t="n">
        <x:v>6</x:v>
      </x:c>
      <x:c r="F83" s="27" t="n">
        <x:v>4.5</x:v>
      </x:c>
      <x:c r="G83" s="27" t="n">
        <x:v>1</x:v>
      </x:c>
      <x:c r="H83" s="27" t="n">
        <x:v>5</x:v>
      </x:c>
      <x:c r="I83" s="27" t="str">
        <x:v>previous phase</x:v>
      </x:c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</x:row>
    <x:row r="84">
      <x:c r="A84" s="27" t="str">
        <x:v>Boxer</x:v>
      </x:c>
      <x:c r="B84" s="27" t="str">
        <x:v>taglio tessuto</x:v>
      </x:c>
      <x:c r="C84" s="27" t="str">
        <x:v>cutting</x:v>
      </x:c>
      <x:c r="D84" s="27" t="n">
        <x:v>3</x:v>
      </x:c>
      <x:c r="E84" s="27" t="n">
        <x:v>7</x:v>
      </x:c>
      <x:c r="F84" s="27" t="n">
        <x:v>5</x:v>
      </x:c>
      <x:c r="G84" s="27" t="n">
        <x:v>1</x:v>
      </x:c>
      <x:c r="H84" s="27" t="n">
        <x:v>1</x:v>
      </x:c>
      <x:c r="I84" s="27" t="str">
        <x:v>tech pack approved</x:v>
      </x:c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</x:row>
    <x:row r="85">
      <x:c r="A85" s="27" t="str">
        <x:v>Boxer</x:v>
      </x:c>
      <x:c r="B85" s="27" t="str">
        <x:v>assemblaggio</x:v>
      </x:c>
      <x:c r="C85" s="27" t="str">
        <x:v>sewing</x:v>
      </x:c>
      <x:c r="D85" s="27" t="n">
        <x:v>7</x:v>
      </x:c>
      <x:c r="E85" s="27" t="n">
        <x:v>8</x:v>
      </x:c>
      <x:c r="F85" s="27" t="n">
        <x:v>7.5</x:v>
      </x:c>
      <x:c r="G85" s="27" t="n">
        <x:v>2</x:v>
      </x:c>
      <x:c r="H85" s="27" t="n">
        <x:v>2</x:v>
      </x:c>
      <x:c r="I85" s="27" t="str">
        <x:v>previous phase</x:v>
      </x:c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</x:row>
    <x:row r="86">
      <x:c r="A86" s="27" t="str">
        <x:v>Boxer</x:v>
      </x:c>
      <x:c r="B86" s="27" t="str">
        <x:v>elastico vita</x:v>
      </x:c>
      <x:c r="C86" s="27" t="str">
        <x:v>sewing</x:v>
      </x:c>
      <x:c r="D86" s="27" t="n">
        <x:v>3</x:v>
      </x:c>
      <x:c r="E86" s="27" t="n">
        <x:v>5</x:v>
      </x:c>
      <x:c r="F86" s="27" t="n">
        <x:v>4</x:v>
      </x:c>
      <x:c r="G86" s="27" t="n">
        <x:v>1</x:v>
      </x:c>
      <x:c r="H86" s="27" t="n">
        <x:v>3</x:v>
      </x:c>
      <x:c r="I86" s="27" t="str">
        <x:v>previous phase</x:v>
      </x:c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</x:row>
    <x:row r="87">
      <x:c r="A87" s="27" t="str">
        <x:v>Boxer</x:v>
      </x:c>
      <x:c r="B87" s="27" t="str">
        <x:v>controllo qualità</x:v>
      </x:c>
      <x:c r="C87" s="27" t="str">
        <x:v>quality_control</x:v>
      </x:c>
      <x:c r="D87" s="27" t="n">
        <x:v>3</x:v>
      </x:c>
      <x:c r="E87" s="27" t="n">
        <x:v>4</x:v>
      </x:c>
      <x:c r="F87" s="27" t="n">
        <x:v>3.5</x:v>
      </x:c>
      <x:c r="G87" s="27" t="n">
        <x:v>1</x:v>
      </x:c>
      <x:c r="H87" s="27" t="n">
        <x:v>4</x:v>
      </x:c>
      <x:c r="I87" s="27" t="str">
        <x:v>previous phase</x:v>
      </x:c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</x:row>
    <x:row r="88">
      <x:c r="A88" s="27" t="str">
        <x:v>Baby doll</x:v>
      </x:c>
      <x:c r="B88" s="27" t="str">
        <x:v>taglio tessuto</x:v>
      </x:c>
      <x:c r="C88" s="27" t="str">
        <x:v>cutting</x:v>
      </x:c>
      <x:c r="D88" s="27" t="n">
        <x:v>6</x:v>
      </x:c>
      <x:c r="E88" s="27" t="n">
        <x:v>10</x:v>
      </x:c>
      <x:c r="F88" s="27" t="n">
        <x:v>8</x:v>
      </x:c>
      <x:c r="G88" s="27" t="n">
        <x:v>1</x:v>
      </x:c>
      <x:c r="H88" s="27" t="n">
        <x:v>1</x:v>
      </x:c>
      <x:c r="I88" s="27" t="str">
        <x:v>tech pack approved</x:v>
      </x:c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</x:row>
    <x:row r="89">
      <x:c r="A89" s="27" t="str">
        <x:v>Baby doll</x:v>
      </x:c>
      <x:c r="B89" s="27" t="str">
        <x:v>confezione corpino</x:v>
      </x:c>
      <x:c r="C89" s="27" t="str">
        <x:v>sewing</x:v>
      </x:c>
      <x:c r="D89" s="27" t="n">
        <x:v>8</x:v>
      </x:c>
      <x:c r="E89" s="27" t="n">
        <x:v>12</x:v>
      </x:c>
      <x:c r="F89" s="27" t="n">
        <x:v>10</x:v>
      </x:c>
      <x:c r="G89" s="27" t="n">
        <x:v>3</x:v>
      </x:c>
      <x:c r="H89" s="27" t="n">
        <x:v>2</x:v>
      </x:c>
      <x:c r="I89" s="27" t="str">
        <x:v>previous phase</x:v>
      </x:c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</x:row>
    <x:row r="90">
      <x:c r="A90" s="27" t="str">
        <x:v>Baby doll</x:v>
      </x:c>
      <x:c r="B90" s="27" t="str">
        <x:v>orlo e rifiniture</x:v>
      </x:c>
      <x:c r="C90" s="27" t="str">
        <x:v>sewing</x:v>
      </x:c>
      <x:c r="D90" s="27" t="n">
        <x:v>5</x:v>
      </x:c>
      <x:c r="E90" s="27" t="n">
        <x:v>8</x:v>
      </x:c>
      <x:c r="F90" s="27" t="n">
        <x:v>6.5</x:v>
      </x:c>
      <x:c r="G90" s="27" t="n">
        <x:v>1</x:v>
      </x:c>
      <x:c r="H90" s="27" t="n">
        <x:v>3</x:v>
      </x:c>
      <x:c r="I90" s="27" t="str">
        <x:v>previous phase</x:v>
      </x:c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</x:row>
    <x:row r="91">
      <x:c r="A91" s="27" t="str">
        <x:v>Baby doll</x:v>
      </x:c>
      <x:c r="B91" s="27" t="str">
        <x:v>stiro finale</x:v>
      </x:c>
      <x:c r="C91" s="27" t="str">
        <x:v>finishing</x:v>
      </x:c>
      <x:c r="D91" s="27" t="n">
        <x:v>3</x:v>
      </x:c>
      <x:c r="E91" s="27" t="n">
        <x:v>5</x:v>
      </x:c>
      <x:c r="F91" s="27" t="n">
        <x:v>4</x:v>
      </x:c>
      <x:c r="G91" s="27" t="n">
        <x:v>1</x:v>
      </x:c>
      <x:c r="H91" s="27" t="n">
        <x:v>4</x:v>
      </x:c>
      <x:c r="I91" s="27" t="str">
        <x:v>previous phase</x:v>
      </x:c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</x:row>
    <x:row r="92">
      <x:c r="A92" s="27" t="str">
        <x:v>Baby doll</x:v>
      </x:c>
      <x:c r="B92" s="27" t="str">
        <x:v>controllo qualità</x:v>
      </x:c>
      <x:c r="C92" s="27" t="str">
        <x:v>quality_control</x:v>
      </x:c>
      <x:c r="D92" s="27" t="n">
        <x:v>3</x:v>
      </x:c>
      <x:c r="E92" s="27" t="n">
        <x:v>6</x:v>
      </x:c>
      <x:c r="F92" s="27" t="n">
        <x:v>4.5</x:v>
      </x:c>
      <x:c r="G92" s="27" t="n">
        <x:v>1</x:v>
      </x:c>
      <x:c r="H92" s="27" t="n">
        <x:v>5</x:v>
      </x:c>
      <x:c r="I92" s="27" t="str">
        <x:v>previous phase</x:v>
      </x:c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</x:row>
  </x:sheetData>
  <x:pageMargins left="0.7" right="0.7" top="0.75" bottom="0.75" header="0.3" footer="0.3"/>
  <x:tableParts count="1">
    <x:tablePart xmlns:r="http://schemas.openxmlformats.org/officeDocument/2006/relationships" r:id="R3cbdc3b7e16c47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15.34000015258789" hidden="0" customWidth="1"/>
    <x:col min="3" max="3" width="12.920000076293945" hidden="0" customWidth="1"/>
    <x:col min="4" max="4" width="7.130000114440918" hidden="0" customWidth="1"/>
    <x:col min="5" max="5" width="19.3799991607666" hidden="0" customWidth="1"/>
    <x:col min="6" max="6" width="22.479999542236328" hidden="0" customWidth="1"/>
    <x:col min="7" max="7" width="23.010000228881836" hidden="0" customWidth="1"/>
    <x:col min="8" max="8" width="17.229999542236328" hidden="0" customWidth="1"/>
    <x:col min="9" max="9" width="16.420000076293945" hidden="0" customWidth="1"/>
    <x:col min="10" max="10" width="18.440000534057617" hidden="0" customWidth="1"/>
    <x:col min="11" max="11" width="17.5" hidden="0" customWidth="1"/>
    <x:col min="12" max="12" width="10.359999656677246" hidden="0" customWidth="1"/>
  </x:cols>
  <x:sheetData>
    <x:row r="1" ht="28" customHeight="1">
      <x:c r="A1" s="26" t="str">
        <x:v>lab_id</x:v>
      </x:c>
      <x:c r="B1" s="26" t="str">
        <x:v>lab_name</x:v>
      </x:c>
      <x:c r="C1" s="26" t="str">
        <x:v>region</x:v>
      </x:c>
      <x:c r="D1" s="26" t="str">
        <x:v>city</x:v>
      </x:c>
      <x:c r="E1" s="26" t="str">
        <x:v>number_of_workers</x:v>
      </x:c>
      <x:c r="F1" s="26" t="str">
        <x:v>working_hours_per_day</x:v>
      </x:c>
      <x:c r="G1" s="26" t="str">
        <x:v>working_days_per_week</x:v>
      </x:c>
      <x:c r="H1" s="26" t="str">
        <x:v>default_efficiency</x:v>
      </x:c>
      <x:c r="I1" s="26" t="str">
        <x:v>machine_uptime</x:v>
      </x:c>
      <x:c r="J1" s="26" t="str">
        <x:v>max_weekly_hours</x:v>
      </x:c>
      <x:c r="K1" s="26" t="str">
        <x:v>overtime_allowed</x:v>
      </x:c>
      <x:c r="L1" s="26" t="str">
        <x:v>risk_level</x:v>
      </x:c>
      <x:c r="M1" s="26"/>
      <x:c r="N1" s="26"/>
      <x:c r="O1" s="26"/>
      <x:c r="P1" s="26"/>
      <x:c r="Q1" s="26"/>
      <x:c r="R1" s="26"/>
      <x:c r="S1" s="26"/>
    </x:row>
    <x:row r="2">
      <x:c r="A2" s="27" t="str">
        <x:v>L1</x:v>
      </x:c>
      <x:c r="B2" s="27" t="str">
        <x:v>Laboratorio Nord</x:v>
      </x:c>
      <x:c r="C2" s="27" t="str">
        <x:v>Lombardy</x:v>
      </x:c>
      <x:c r="D2" s="27" t="str">
        <x:v>Bergamo</x:v>
      </x:c>
      <x:c r="E2" s="27" t="n">
        <x:v>58</x:v>
      </x:c>
      <x:c r="F2" s="27" t="n">
        <x:v>8</x:v>
      </x:c>
      <x:c r="G2" s="27" t="n">
        <x:v>5</x:v>
      </x:c>
      <x:c r="H2" s="32" t="n">
        <x:v>0.86</x:v>
      </x:c>
      <x:c r="I2" s="32" t="n">
        <x:v>0.94</x:v>
      </x:c>
      <x:c r="J2" s="27" t="n">
        <x:v>45</x:v>
      </x:c>
      <x:c r="K2" s="27" t="str">
        <x:v>No</x:v>
      </x:c>
      <x:c r="L2" s="27" t="str">
        <x:v>Low</x:v>
      </x:c>
      <x:c r="M2" s="27"/>
      <x:c r="N2" s="27"/>
      <x:c r="O2" s="27"/>
      <x:c r="P2" s="27"/>
      <x:c r="Q2" s="27"/>
      <x:c r="R2" s="27"/>
      <x:c r="S2" s="27"/>
    </x:row>
    <x:row r="3">
      <x:c r="A3" s="27" t="str">
        <x:v>L2</x:v>
      </x:c>
      <x:c r="B3" s="27" t="str">
        <x:v>Laboratorio Veneto</x:v>
      </x:c>
      <x:c r="C3" s="27" t="str">
        <x:v>Veneto</x:v>
      </x:c>
      <x:c r="D3" s="27" t="str">
        <x:v>Vicenza</x:v>
      </x:c>
      <x:c r="E3" s="27" t="n">
        <x:v>84</x:v>
      </x:c>
      <x:c r="F3" s="27" t="n">
        <x:v>8</x:v>
      </x:c>
      <x:c r="G3" s="27" t="n">
        <x:v>5</x:v>
      </x:c>
      <x:c r="H3" s="32" t="n">
        <x:v>0.85</x:v>
      </x:c>
      <x:c r="I3" s="32" t="n">
        <x:v>0.93</x:v>
      </x:c>
      <x:c r="J3" s="27" t="n">
        <x:v>48</x:v>
      </x:c>
      <x:c r="K3" s="27" t="str">
        <x:v>Yes</x:v>
      </x:c>
      <x:c r="L3" s="27" t="str">
        <x:v>Low</x:v>
      </x:c>
      <x:c r="M3" s="27"/>
      <x:c r="N3" s="27"/>
      <x:c r="O3" s="27"/>
      <x:c r="P3" s="27"/>
      <x:c r="Q3" s="27"/>
      <x:c r="R3" s="27"/>
      <x:c r="S3" s="27"/>
    </x:row>
    <x:row r="4">
      <x:c r="A4" s="27" t="str">
        <x:v>L3</x:v>
      </x:c>
      <x:c r="B4" s="27" t="str">
        <x:v>Laboratorio Centro</x:v>
      </x:c>
      <x:c r="C4" s="27" t="str">
        <x:v>Lazio</x:v>
      </x:c>
      <x:c r="D4" s="27" t="str">
        <x:v>Roma</x:v>
      </x:c>
      <x:c r="E4" s="27" t="n">
        <x:v>76</x:v>
      </x:c>
      <x:c r="F4" s="27" t="n">
        <x:v>8</x:v>
      </x:c>
      <x:c r="G4" s="27" t="n">
        <x:v>5</x:v>
      </x:c>
      <x:c r="H4" s="32" t="n">
        <x:v>0.86</x:v>
      </x:c>
      <x:c r="I4" s="32" t="n">
        <x:v>0.94</x:v>
      </x:c>
      <x:c r="J4" s="27" t="n">
        <x:v>45</x:v>
      </x:c>
      <x:c r="K4" s="27" t="str">
        <x:v>No</x:v>
      </x:c>
      <x:c r="L4" s="27" t="str">
        <x:v>Low</x:v>
      </x:c>
      <x:c r="M4" s="27"/>
      <x:c r="N4" s="27"/>
      <x:c r="O4" s="27"/>
      <x:c r="P4" s="27"/>
      <x:c r="Q4" s="27"/>
      <x:c r="R4" s="27"/>
      <x:c r="S4" s="27"/>
    </x:row>
    <x:row r="5">
      <x:c r="A5" s="27" t="str">
        <x:v>L4</x:v>
      </x:c>
      <x:c r="B5" s="27" t="str">
        <x:v>Laboratorio Est</x:v>
      </x:c>
      <x:c r="C5" s="27" t="str">
        <x:v>Emilia-Romagna</x:v>
      </x:c>
      <x:c r="D5" s="27" t="str">
        <x:v>Modena</x:v>
      </x:c>
      <x:c r="E5" s="27" t="n">
        <x:v>98</x:v>
      </x:c>
      <x:c r="F5" s="27" t="n">
        <x:v>8</x:v>
      </x:c>
      <x:c r="G5" s="27" t="n">
        <x:v>5</x:v>
      </x:c>
      <x:c r="H5" s="32" t="n">
        <x:v>0.84</x:v>
      </x:c>
      <x:c r="I5" s="32" t="n">
        <x:v>0.92</x:v>
      </x:c>
      <x:c r="J5" s="27" t="n">
        <x:v>48</x:v>
      </x:c>
      <x:c r="K5" s="27" t="str">
        <x:v>No</x:v>
      </x:c>
      <x:c r="L5" s="27" t="str">
        <x:v>Low</x:v>
      </x:c>
      <x:c r="M5" s="27"/>
      <x:c r="N5" s="27"/>
      <x:c r="O5" s="27"/>
      <x:c r="P5" s="27"/>
      <x:c r="Q5" s="27"/>
      <x:c r="R5" s="27"/>
      <x:c r="S5" s="27"/>
    </x:row>
    <x:row r="6">
      <x:c r="A6" s="27" t="str">
        <x:v>L5</x:v>
      </x:c>
      <x:c r="B6" s="27" t="str">
        <x:v>Atelier Toscana</x:v>
      </x:c>
      <x:c r="C6" s="27" t="str">
        <x:v>Tuscany</x:v>
      </x:c>
      <x:c r="D6" s="27" t="str">
        <x:v>Prato</x:v>
      </x:c>
      <x:c r="E6" s="27" t="n">
        <x:v>48</x:v>
      </x:c>
      <x:c r="F6" s="27" t="n">
        <x:v>8</x:v>
      </x:c>
      <x:c r="G6" s="27" t="n">
        <x:v>5</x:v>
      </x:c>
      <x:c r="H6" s="32" t="n">
        <x:v>0.85</x:v>
      </x:c>
      <x:c r="I6" s="32" t="n">
        <x:v>0.93</x:v>
      </x:c>
      <x:c r="J6" s="27" t="n">
        <x:v>45</x:v>
      </x:c>
      <x:c r="K6" s="27" t="str">
        <x:v>No</x:v>
      </x:c>
      <x:c r="L6" s="27" t="str">
        <x:v>Low</x:v>
      </x:c>
      <x:c r="M6" s="27"/>
      <x:c r="N6" s="27"/>
      <x:c r="O6" s="27"/>
      <x:c r="P6" s="27"/>
      <x:c r="Q6" s="27"/>
      <x:c r="R6" s="27"/>
      <x:c r="S6" s="27"/>
    </x:row>
    <x:row r="7">
      <x:c r="A7" s="27" t="str">
        <x:v>L6</x:v>
      </x:c>
      <x:c r="B7" s="27" t="str">
        <x:v>Unità Sud</x:v>
      </x:c>
      <x:c r="C7" s="27" t="str">
        <x:v>Puglia</x:v>
      </x:c>
      <x:c r="D7" s="27" t="str">
        <x:v>Bari</x:v>
      </x:c>
      <x:c r="E7" s="27" t="n">
        <x:v>70</x:v>
      </x:c>
      <x:c r="F7" s="27" t="n">
        <x:v>8</x:v>
      </x:c>
      <x:c r="G7" s="27" t="n">
        <x:v>5</x:v>
      </x:c>
      <x:c r="H7" s="32" t="n">
        <x:v>0.84</x:v>
      </x:c>
      <x:c r="I7" s="32" t="n">
        <x:v>0.92</x:v>
      </x:c>
      <x:c r="J7" s="27" t="n">
        <x:v>48</x:v>
      </x:c>
      <x:c r="K7" s="27" t="str">
        <x:v>Yes</x:v>
      </x:c>
      <x:c r="L7" s="27" t="str">
        <x:v>Low</x:v>
      </x:c>
      <x:c r="M7" s="27"/>
      <x:c r="N7" s="27"/>
      <x:c r="O7" s="27"/>
      <x:c r="P7" s="27"/>
      <x:c r="Q7" s="27"/>
      <x:c r="R7" s="27"/>
      <x:c r="S7" s="27"/>
    </x:row>
    <x:row r="8">
      <x:c r="A8" s="27" t="str">
        <x:v>L7</x:v>
      </x:c>
      <x:c r="B8" s="27" t="str">
        <x:v>Iberia Garments</x:v>
      </x:c>
      <x:c r="C8" s="27" t="str">
        <x:v>Porto</x:v>
      </x:c>
      <x:c r="D8" s="27" t="str">
        <x:v>Porto</x:v>
      </x:c>
      <x:c r="E8" s="27" t="n">
        <x:v>110</x:v>
      </x:c>
      <x:c r="F8" s="27" t="n">
        <x:v>8</x:v>
      </x:c>
      <x:c r="G8" s="27" t="n">
        <x:v>5</x:v>
      </x:c>
      <x:c r="H8" s="32" t="n">
        <x:v>0.86</x:v>
      </x:c>
      <x:c r="I8" s="32" t="n">
        <x:v>0.94</x:v>
      </x:c>
      <x:c r="J8" s="27" t="n">
        <x:v>48</x:v>
      </x:c>
      <x:c r="K8" s="27" t="str">
        <x:v>Yes</x:v>
      </x:c>
      <x:c r="L8" s="27" t="str">
        <x:v>Low</x:v>
      </x:c>
      <x:c r="M8" s="27"/>
      <x:c r="N8" s="27"/>
      <x:c r="O8" s="27"/>
      <x:c r="P8" s="27"/>
      <x:c r="Q8" s="27"/>
      <x:c r="R8" s="27"/>
      <x:c r="S8" s="27"/>
    </x:row>
    <x:row r="9">
      <x:c r="A9" s="27" t="str">
        <x:v>L8</x:v>
      </x:c>
      <x:c r="B9" s="27" t="str">
        <x:v>Balkan Stitch</x:v>
      </x:c>
      <x:c r="C9" s="27" t="str">
        <x:v>Transylvania</x:v>
      </x:c>
      <x:c r="D9" s="27" t="str">
        <x:v>Cluj</x:v>
      </x:c>
      <x:c r="E9" s="27" t="n">
        <x:v>88</x:v>
      </x:c>
      <x:c r="F9" s="27" t="n">
        <x:v>8</x:v>
      </x:c>
      <x:c r="G9" s="27" t="n">
        <x:v>5</x:v>
      </x:c>
      <x:c r="H9" s="32" t="n">
        <x:v>0.85</x:v>
      </x:c>
      <x:c r="I9" s="32" t="n">
        <x:v>0.93</x:v>
      </x:c>
      <x:c r="J9" s="27" t="n">
        <x:v>48</x:v>
      </x:c>
      <x:c r="K9" s="27" t="str">
        <x:v>Yes</x:v>
      </x:c>
      <x:c r="L9" s="27" t="str">
        <x:v>Low</x:v>
      </x:c>
      <x:c r="M9" s="27"/>
      <x:c r="N9" s="27"/>
      <x:c r="O9" s="27"/>
      <x:c r="P9" s="27"/>
      <x:c r="Q9" s="27"/>
      <x:c r="R9" s="27"/>
      <x:c r="S9" s="27"/>
    </x:row>
    <x:row r="10">
      <x:c r="A10" s="27" t="str">
        <x:v>L9</x:v>
      </x:c>
      <x:c r="B10" s="27" t="str">
        <x:v>Marmara Apparel</x:v>
      </x:c>
      <x:c r="C10" s="27" t="str">
        <x:v>Istanbul</x:v>
      </x:c>
      <x:c r="D10" s="27" t="str">
        <x:v>Istanbul</x:v>
      </x:c>
      <x:c r="E10" s="27" t="n">
        <x:v>130</x:v>
      </x:c>
      <x:c r="F10" s="27" t="n">
        <x:v>8</x:v>
      </x:c>
      <x:c r="G10" s="27" t="n">
        <x:v>6</x:v>
      </x:c>
      <x:c r="H10" s="32" t="n">
        <x:v>0.85</x:v>
      </x:c>
      <x:c r="I10" s="32" t="n">
        <x:v>0.93</x:v>
      </x:c>
      <x:c r="J10" s="27" t="n">
        <x:v>48</x:v>
      </x:c>
      <x:c r="K10" s="27" t="str">
        <x:v>Yes</x:v>
      </x:c>
      <x:c r="L10" s="27" t="str">
        <x:v>Low</x:v>
      </x:c>
      <x:c r="M10" s="27"/>
      <x:c r="N10" s="27"/>
      <x:c r="O10" s="27"/>
      <x:c r="P10" s="27"/>
      <x:c r="Q10" s="27"/>
      <x:c r="R10" s="27"/>
      <x:c r="S10" s="27"/>
    </x:row>
    <x:row r="11">
      <x:c r="A11" s="27" t="str">
        <x:v>L10</x:v>
      </x:c>
      <x:c r="B11" s="27" t="str">
        <x:v>Tunis Craft Unit</x:v>
      </x:c>
      <x:c r="C11" s="27" t="str">
        <x:v>Tunis</x:v>
      </x:c>
      <x:c r="D11" s="27" t="str">
        <x:v>Tunis</x:v>
      </x:c>
      <x:c r="E11" s="27" t="n">
        <x:v>96</x:v>
      </x:c>
      <x:c r="F11" s="27" t="n">
        <x:v>8</x:v>
      </x:c>
      <x:c r="G11" s="27" t="n">
        <x:v>5</x:v>
      </x:c>
      <x:c r="H11" s="32" t="n">
        <x:v>0.84</x:v>
      </x:c>
      <x:c r="I11" s="32" t="n">
        <x:v>0.93</x:v>
      </x:c>
      <x:c r="J11" s="27" t="n">
        <x:v>48</x:v>
      </x:c>
      <x:c r="K11" s="27" t="str">
        <x:v>Yes</x:v>
      </x:c>
      <x:c r="L11" s="27" t="str">
        <x:v>Low</x:v>
      </x:c>
      <x:c r="M11" s="27"/>
      <x:c r="N11" s="27"/>
      <x:c r="O11" s="27"/>
      <x:c r="P11" s="27"/>
      <x:c r="Q11" s="27"/>
      <x:c r="R11" s="27"/>
      <x:c r="S11" s="27"/>
    </x:row>
  </x:sheetData>
  <x:pageMargins left="0.7" right="0.7" top="0.75" bottom="0.75" header="0.3" footer="0.3"/>
  <x:tableParts count="1">
    <x:tablePart xmlns:r="http://schemas.openxmlformats.org/officeDocument/2006/relationships" r:id="R46cb493af5104d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8.210000038146973" hidden="0" customWidth="1"/>
    <x:col min="3" max="3" width="12.109999656677246" hidden="0" customWidth="1"/>
    <x:col min="4" max="4" width="16.549999237060547" hidden="0" customWidth="1"/>
    <x:col min="5" max="5" width="10.5" hidden="0" customWidth="1"/>
    <x:col min="6" max="6" width="10.359999656677246" hidden="0" customWidth="1"/>
    <x:col min="7" max="7" width="11.84000015258789" hidden="0" customWidth="1"/>
    <x:col min="8" max="8" width="15.479999542236328" hidden="0" customWidth="1"/>
    <x:col min="9" max="9" width="10.359999656677246" hidden="0" customWidth="1"/>
    <x:col min="10" max="10" width="8.479999542236328" hidden="0" customWidth="1"/>
    <x:col min="11" max="11" width="17.5" hidden="0" customWidth="1"/>
    <x:col min="12" max="12" width="21.799999237060547" hidden="0" customWidth="1"/>
    <x:col min="13" max="13" width="16.81999969482422" hidden="0" customWidth="1"/>
    <x:col min="14" max="14" width="25.709999084472656" hidden="0" customWidth="1"/>
  </x:cols>
  <x:sheetData>
    <x:row r="1" ht="28" customHeight="1">
      <x:c r="A1" s="26" t="str">
        <x:v>lab_id</x:v>
      </x:c>
      <x:c r="B1" s="26" t="str">
        <x:v>line_id</x:v>
      </x:c>
      <x:c r="C1" s="26" t="str">
        <x:v>line_type</x:v>
      </x:c>
      <x:c r="D1" s="26" t="str">
        <x:v>primary_product</x:v>
      </x:c>
      <x:c r="E1" s="26" t="str">
        <x:v>operators</x:v>
      </x:c>
      <x:c r="F1" s="26" t="str">
        <x:v>machines</x:v>
      </x:c>
      <x:c r="G1" s="26" t="str">
        <x:v>shift_hours</x:v>
      </x:c>
      <x:c r="H1" s="26" t="str">
        <x:v>days_per_week</x:v>
      </x:c>
      <x:c r="I1" s="26" t="str">
        <x:v>efficiency</x:v>
      </x:c>
      <x:c r="J1" s="26" t="str">
        <x:v>uptime</x:v>
      </x:c>
      <x:c r="K1" s="26" t="str">
        <x:v>overtime_allowed</x:v>
      </x:c>
      <x:c r="L1" s="26" t="str">
        <x:v>weekly_capacity_hours</x:v>
      </x:c>
      <x:c r="M1" s="26" t="str">
        <x:v>net_minutes_day</x:v>
      </x:c>
      <x:c r="N1" s="26" t="str">
        <x:v>available_smv_minutes_day</x:v>
      </x:c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</x:row>
    <x:row r="2">
      <x:c r="A2" s="27" t="str">
        <x:v>L1</x:v>
      </x:c>
      <x:c r="B2" s="27" t="str">
        <x:v>LN-001</x:v>
      </x:c>
      <x:c r="C2" s="27" t="str">
        <x:v>cutting</x:v>
      </x:c>
      <x:c r="D2" s="27" t="str">
        <x:v>Cappotto</x:v>
      </x:c>
      <x:c r="E2" s="27" t="n">
        <x:v>5</x:v>
      </x:c>
      <x:c r="F2" s="27" t="n">
        <x:v>2</x:v>
      </x:c>
      <x:c r="G2" s="27" t="n">
        <x:v>8</x:v>
      </x:c>
      <x:c r="H2" s="27" t="n">
        <x:v>5</x:v>
      </x:c>
      <x:c r="I2" s="32" t="n">
        <x:v>0.86</x:v>
      </x:c>
      <x:c r="J2" s="32" t="n">
        <x:v>0.94</x:v>
      </x:c>
      <x:c r="K2" s="27" t="str">
        <x:v>No</x:v>
      </x:c>
      <x:c r="L2" s="36" t="n">
        <x:f>G2*H2</x:f>
        <x:v>40</x:v>
      </x:c>
      <x:c r="M2" s="36" t="n">
        <x:f>E2*G2*60</x:f>
        <x:v>2400</x:v>
      </x:c>
      <x:c r="N2" s="36" t="n">
        <x:f>M2*I2*J2</x:f>
        <x:v>1940.1599999999999</x:v>
      </x:c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</x:row>
    <x:row r="3">
      <x:c r="A3" s="27" t="str">
        <x:v>L1</x:v>
      </x:c>
      <x:c r="B3" s="27" t="str">
        <x:v>LN-002</x:v>
      </x:c>
      <x:c r="C3" s="27" t="str">
        <x:v>sewing</x:v>
      </x:c>
      <x:c r="D3" s="27" t="str">
        <x:v>Abito</x:v>
      </x:c>
      <x:c r="E3" s="27" t="n">
        <x:v>9</x:v>
      </x:c>
      <x:c r="F3" s="27" t="n">
        <x:v>8</x:v>
      </x:c>
      <x:c r="G3" s="27" t="n">
        <x:v>8</x:v>
      </x:c>
      <x:c r="H3" s="27" t="n">
        <x:v>5</x:v>
      </x:c>
      <x:c r="I3" s="32" t="n">
        <x:v>0.86</x:v>
      </x:c>
      <x:c r="J3" s="32" t="n">
        <x:v>0.94</x:v>
      </x:c>
      <x:c r="K3" s="27" t="str">
        <x:v>No</x:v>
      </x:c>
      <x:c r="L3" s="36" t="n">
        <x:f>G3*H3</x:f>
        <x:v>40</x:v>
      </x:c>
      <x:c r="M3" s="36" t="n">
        <x:f>E3*G3*60</x:f>
        <x:v>4320</x:v>
      </x:c>
      <x:c r="N3" s="36" t="n">
        <x:f>M3*I3*J3</x:f>
        <x:v>3492.2879999999996</x:v>
      </x:c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</x:row>
    <x:row r="4">
      <x:c r="A4" s="27" t="str">
        <x:v>L1</x:v>
      </x:c>
      <x:c r="B4" s="27" t="str">
        <x:v>LN-003</x:v>
      </x:c>
      <x:c r="C4" s="27" t="str">
        <x:v>finishing</x:v>
      </x:c>
      <x:c r="D4" s="27" t="str">
        <x:v>Jeans</x:v>
      </x:c>
      <x:c r="E4" s="27" t="n">
        <x:v>7</x:v>
      </x:c>
      <x:c r="F4" s="27" t="n">
        <x:v>5</x:v>
      </x:c>
      <x:c r="G4" s="27" t="n">
        <x:v>8</x:v>
      </x:c>
      <x:c r="H4" s="27" t="n">
        <x:v>5</x:v>
      </x:c>
      <x:c r="I4" s="32" t="n">
        <x:v>0.86</x:v>
      </x:c>
      <x:c r="J4" s="32" t="n">
        <x:v>0.94</x:v>
      </x:c>
      <x:c r="K4" s="27" t="str">
        <x:v>No</x:v>
      </x:c>
      <x:c r="L4" s="36" t="n">
        <x:f>G4*H4</x:f>
        <x:v>40</x:v>
      </x:c>
      <x:c r="M4" s="36" t="n">
        <x:f>E4*G4*60</x:f>
        <x:v>3360</x:v>
      </x:c>
      <x:c r="N4" s="36" t="n">
        <x:f>M4*I4*J4</x:f>
        <x:v>2716.2239999999997</x:v>
      </x:c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</x:row>
    <x:row r="5">
      <x:c r="A5" s="27" t="str">
        <x:v>L1</x:v>
      </x:c>
      <x:c r="B5" s="27" t="str">
        <x:v>LN-004</x:v>
      </x:c>
      <x:c r="C5" s="27" t="str">
        <x:v>quality_control</x:v>
      </x:c>
      <x:c r="D5" s="27" t="str">
        <x:v>Mixed apparel</x:v>
      </x:c>
      <x:c r="E5" s="27" t="n">
        <x:v>7</x:v>
      </x:c>
      <x:c r="F5" s="27" t="n">
        <x:v>0</x:v>
      </x:c>
      <x:c r="G5" s="27" t="n">
        <x:v>8</x:v>
      </x:c>
      <x:c r="H5" s="27" t="n">
        <x:v>5</x:v>
      </x:c>
      <x:c r="I5" s="32" t="n">
        <x:v>0.86</x:v>
      </x:c>
      <x:c r="J5" s="32" t="n">
        <x:v>0.94</x:v>
      </x:c>
      <x:c r="K5" s="27" t="str">
        <x:v>No</x:v>
      </x:c>
      <x:c r="L5" s="36" t="n">
        <x:f>G5*H5</x:f>
        <x:v>40</x:v>
      </x:c>
      <x:c r="M5" s="36" t="n">
        <x:f>E5*G5*60</x:f>
        <x:v>3360</x:v>
      </x:c>
      <x:c r="N5" s="36" t="n">
        <x:f>M5*I5*J5</x:f>
        <x:v>2716.2239999999997</x:v>
      </x:c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</x:row>
    <x:row r="6">
      <x:c r="A6" s="27" t="str">
        <x:v>L1</x:v>
      </x:c>
      <x:c r="B6" s="27" t="str">
        <x:v>LN-005</x:v>
      </x:c>
      <x:c r="C6" s="27" t="str">
        <x:v>sampling</x:v>
      </x:c>
      <x:c r="D6" s="27" t="str">
        <x:v>Development</x:v>
      </x:c>
      <x:c r="E6" s="27" t="n">
        <x:v>5</x:v>
      </x:c>
      <x:c r="F6" s="27" t="n">
        <x:v>2</x:v>
      </x:c>
      <x:c r="G6" s="27" t="n">
        <x:v>8</x:v>
      </x:c>
      <x:c r="H6" s="27" t="n">
        <x:v>5</x:v>
      </x:c>
      <x:c r="I6" s="32" t="n">
        <x:v>0.86</x:v>
      </x:c>
      <x:c r="J6" s="32" t="n">
        <x:v>0.94</x:v>
      </x:c>
      <x:c r="K6" s="27" t="str">
        <x:v>No</x:v>
      </x:c>
      <x:c r="L6" s="36" t="n">
        <x:f>G6*H6</x:f>
        <x:v>40</x:v>
      </x:c>
      <x:c r="M6" s="36" t="n">
        <x:f>E6*G6*60</x:f>
        <x:v>2400</x:v>
      </x:c>
      <x:c r="N6" s="36" t="n">
        <x:f>M6*I6*J6</x:f>
        <x:v>1940.1599999999999</x:v>
      </x:c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</x:row>
    <x:row r="7">
      <x:c r="A7" s="27" t="str">
        <x:v>L2</x:v>
      </x:c>
      <x:c r="B7" s="27" t="str">
        <x:v>LN-006</x:v>
      </x:c>
      <x:c r="C7" s="27" t="str">
        <x:v>cutting</x:v>
      </x:c>
      <x:c r="D7" s="27" t="str">
        <x:v>T-shirt</x:v>
      </x:c>
      <x:c r="E7" s="27" t="n">
        <x:v>6</x:v>
      </x:c>
      <x:c r="F7" s="27" t="n">
        <x:v>3</x:v>
      </x:c>
      <x:c r="G7" s="27" t="n">
        <x:v>8</x:v>
      </x:c>
      <x:c r="H7" s="27" t="n">
        <x:v>5</x:v>
      </x:c>
      <x:c r="I7" s="32" t="n">
        <x:v>0.85</x:v>
      </x:c>
      <x:c r="J7" s="32" t="n">
        <x:v>0.93</x:v>
      </x:c>
      <x:c r="K7" s="27" t="str">
        <x:v>Yes</x:v>
      </x:c>
      <x:c r="L7" s="36" t="n">
        <x:f>G7*H7</x:f>
        <x:v>40</x:v>
      </x:c>
      <x:c r="M7" s="36" t="n">
        <x:f>E7*G7*60</x:f>
        <x:v>2880</x:v>
      </x:c>
      <x:c r="N7" s="36" t="n">
        <x:f>M7*I7*J7</x:f>
        <x:v>2276.6400000000003</x:v>
      </x:c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</x:row>
    <x:row r="8">
      <x:c r="A8" s="27" t="str">
        <x:v>L2</x:v>
      </x:c>
      <x:c r="B8" s="27" t="str">
        <x:v>LN-007</x:v>
      </x:c>
      <x:c r="C8" s="27" t="str">
        <x:v>sewing</x:v>
      </x:c>
      <x:c r="D8" s="27" t="str">
        <x:v>Top</x:v>
      </x:c>
      <x:c r="E8" s="27" t="n">
        <x:v>8</x:v>
      </x:c>
      <x:c r="F8" s="27" t="n">
        <x:v>7</x:v>
      </x:c>
      <x:c r="G8" s="27" t="n">
        <x:v>8</x:v>
      </x:c>
      <x:c r="H8" s="27" t="n">
        <x:v>5</x:v>
      </x:c>
      <x:c r="I8" s="32" t="n">
        <x:v>0.85</x:v>
      </x:c>
      <x:c r="J8" s="32" t="n">
        <x:v>0.93</x:v>
      </x:c>
      <x:c r="K8" s="27" t="str">
        <x:v>Yes</x:v>
      </x:c>
      <x:c r="L8" s="36" t="n">
        <x:f>G8*H8</x:f>
        <x:v>40</x:v>
      </x:c>
      <x:c r="M8" s="36" t="n">
        <x:f>E8*G8*60</x:f>
        <x:v>3840</x:v>
      </x:c>
      <x:c r="N8" s="36" t="n">
        <x:f>M8*I8*J8</x:f>
        <x:v>3035.52</x:v>
      </x:c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</x:row>
    <x:row r="9">
      <x:c r="A9" s="27" t="str">
        <x:v>L2</x:v>
      </x:c>
      <x:c r="B9" s="27" t="str">
        <x:v>LN-008</x:v>
      </x:c>
      <x:c r="C9" s="27" t="str">
        <x:v>finishing</x:v>
      </x:c>
      <x:c r="D9" s="27" t="str">
        <x:v>Kimono</x:v>
      </x:c>
      <x:c r="E9" s="27" t="n">
        <x:v>7</x:v>
      </x:c>
      <x:c r="F9" s="27" t="n">
        <x:v>5</x:v>
      </x:c>
      <x:c r="G9" s="27" t="n">
        <x:v>8</x:v>
      </x:c>
      <x:c r="H9" s="27" t="n">
        <x:v>5</x:v>
      </x:c>
      <x:c r="I9" s="32" t="n">
        <x:v>0.85</x:v>
      </x:c>
      <x:c r="J9" s="32" t="n">
        <x:v>0.93</x:v>
      </x:c>
      <x:c r="K9" s="27" t="str">
        <x:v>Yes</x:v>
      </x:c>
      <x:c r="L9" s="36" t="n">
        <x:f>G9*H9</x:f>
        <x:v>40</x:v>
      </x:c>
      <x:c r="M9" s="36" t="n">
        <x:f>E9*G9*60</x:f>
        <x:v>3360</x:v>
      </x:c>
      <x:c r="N9" s="36" t="n">
        <x:f>M9*I9*J9</x:f>
        <x:v>2656.08</x:v>
      </x:c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</x:row>
    <x:row r="10">
      <x:c r="A10" s="27" t="str">
        <x:v>L2</x:v>
      </x:c>
      <x:c r="B10" s="27" t="str">
        <x:v>LN-009</x:v>
      </x:c>
      <x:c r="C10" s="27" t="str">
        <x:v>quality_control</x:v>
      </x:c>
      <x:c r="D10" s="27" t="str">
        <x:v>Mixed apparel</x:v>
      </x:c>
      <x:c r="E10" s="27" t="n">
        <x:v>4</x:v>
      </x:c>
      <x:c r="F10" s="27" t="n">
        <x:v>0</x:v>
      </x:c>
      <x:c r="G10" s="27" t="n">
        <x:v>8</x:v>
      </x:c>
      <x:c r="H10" s="27" t="n">
        <x:v>5</x:v>
      </x:c>
      <x:c r="I10" s="32" t="n">
        <x:v>0.85</x:v>
      </x:c>
      <x:c r="J10" s="32" t="n">
        <x:v>0.93</x:v>
      </x:c>
      <x:c r="K10" s="27" t="str">
        <x:v>Yes</x:v>
      </x:c>
      <x:c r="L10" s="36" t="n">
        <x:f>G10*H10</x:f>
        <x:v>40</x:v>
      </x:c>
      <x:c r="M10" s="36" t="n">
        <x:f>E10*G10*60</x:f>
        <x:v>1920</x:v>
      </x:c>
      <x:c r="N10" s="36" t="n">
        <x:f>M10*I10*J10</x:f>
        <x:v>1517.76</x:v>
      </x:c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</x:row>
    <x:row r="11">
      <x:c r="A11" s="27" t="str">
        <x:v>L3</x:v>
      </x:c>
      <x:c r="B11" s="27" t="str">
        <x:v>LN-010</x:v>
      </x:c>
      <x:c r="C11" s="27" t="str">
        <x:v>cutting</x:v>
      </x:c>
      <x:c r="D11" s="27" t="str">
        <x:v>Body</x:v>
      </x:c>
      <x:c r="E11" s="27" t="n">
        <x:v>6</x:v>
      </x:c>
      <x:c r="F11" s="27" t="n">
        <x:v>3</x:v>
      </x:c>
      <x:c r="G11" s="27" t="n">
        <x:v>8</x:v>
      </x:c>
      <x:c r="H11" s="27" t="n">
        <x:v>5</x:v>
      </x:c>
      <x:c r="I11" s="32" t="n">
        <x:v>0.86</x:v>
      </x:c>
      <x:c r="J11" s="32" t="n">
        <x:v>0.94</x:v>
      </x:c>
      <x:c r="K11" s="27" t="str">
        <x:v>No</x:v>
      </x:c>
      <x:c r="L11" s="36" t="n">
        <x:f>G11*H11</x:f>
        <x:v>40</x:v>
      </x:c>
      <x:c r="M11" s="36" t="n">
        <x:f>E11*G11*60</x:f>
        <x:v>2880</x:v>
      </x:c>
      <x:c r="N11" s="36" t="n">
        <x:f>M11*I11*J11</x:f>
        <x:v>2328.192</x:v>
      </x:c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</x:row>
    <x:row r="12">
      <x:c r="A12" s="27" t="str">
        <x:v>L3</x:v>
      </x:c>
      <x:c r="B12" s="27" t="str">
        <x:v>LN-011</x:v>
      </x:c>
      <x:c r="C12" s="27" t="str">
        <x:v>sewing</x:v>
      </x:c>
      <x:c r="D12" s="27" t="str">
        <x:v>Gonna</x:v>
      </x:c>
      <x:c r="E12" s="27" t="n">
        <x:v>9</x:v>
      </x:c>
      <x:c r="F12" s="27" t="n">
        <x:v>8</x:v>
      </x:c>
      <x:c r="G12" s="27" t="n">
        <x:v>8</x:v>
      </x:c>
      <x:c r="H12" s="27" t="n">
        <x:v>5</x:v>
      </x:c>
      <x:c r="I12" s="32" t="n">
        <x:v>0.86</x:v>
      </x:c>
      <x:c r="J12" s="32" t="n">
        <x:v>0.94</x:v>
      </x:c>
      <x:c r="K12" s="27" t="str">
        <x:v>No</x:v>
      </x:c>
      <x:c r="L12" s="36" t="n">
        <x:f>G12*H12</x:f>
        <x:v>40</x:v>
      </x:c>
      <x:c r="M12" s="36" t="n">
        <x:f>E12*G12*60</x:f>
        <x:v>4320</x:v>
      </x:c>
      <x:c r="N12" s="36" t="n">
        <x:f>M12*I12*J12</x:f>
        <x:v>3492.2879999999996</x:v>
      </x:c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</x:row>
    <x:row r="13">
      <x:c r="A13" s="27" t="str">
        <x:v>L3</x:v>
      </x:c>
      <x:c r="B13" s="27" t="str">
        <x:v>LN-012</x:v>
      </x:c>
      <x:c r="C13" s="27" t="str">
        <x:v>finishing</x:v>
      </x:c>
      <x:c r="D13" s="27" t="str">
        <x:v>Abito</x:v>
      </x:c>
      <x:c r="E13" s="27" t="n">
        <x:v>6</x:v>
      </x:c>
      <x:c r="F13" s="27" t="n">
        <x:v>4</x:v>
      </x:c>
      <x:c r="G13" s="27" t="n">
        <x:v>8</x:v>
      </x:c>
      <x:c r="H13" s="27" t="n">
        <x:v>5</x:v>
      </x:c>
      <x:c r="I13" s="32" t="n">
        <x:v>0.86</x:v>
      </x:c>
      <x:c r="J13" s="32" t="n">
        <x:v>0.94</x:v>
      </x:c>
      <x:c r="K13" s="27" t="str">
        <x:v>No</x:v>
      </x:c>
      <x:c r="L13" s="36" t="n">
        <x:f>G13*H13</x:f>
        <x:v>40</x:v>
      </x:c>
      <x:c r="M13" s="36" t="n">
        <x:f>E13*G13*60</x:f>
        <x:v>2880</x:v>
      </x:c>
      <x:c r="N13" s="36" t="n">
        <x:f>M13*I13*J13</x:f>
        <x:v>2328.192</x:v>
      </x:c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</x:row>
    <x:row r="14">
      <x:c r="A14" s="27" t="str">
        <x:v>L3</x:v>
      </x:c>
      <x:c r="B14" s="27" t="str">
        <x:v>LN-013</x:v>
      </x:c>
      <x:c r="C14" s="27" t="str">
        <x:v>quality_control</x:v>
      </x:c>
      <x:c r="D14" s="27" t="str">
        <x:v>Mixed apparel</x:v>
      </x:c>
      <x:c r="E14" s="27" t="n">
        <x:v>4</x:v>
      </x:c>
      <x:c r="F14" s="27" t="n">
        <x:v>0</x:v>
      </x:c>
      <x:c r="G14" s="27" t="n">
        <x:v>8</x:v>
      </x:c>
      <x:c r="H14" s="27" t="n">
        <x:v>5</x:v>
      </x:c>
      <x:c r="I14" s="32" t="n">
        <x:v>0.86</x:v>
      </x:c>
      <x:c r="J14" s="32" t="n">
        <x:v>0.94</x:v>
      </x:c>
      <x:c r="K14" s="27" t="str">
        <x:v>No</x:v>
      </x:c>
      <x:c r="L14" s="36" t="n">
        <x:f>G14*H14</x:f>
        <x:v>40</x:v>
      </x:c>
      <x:c r="M14" s="36" t="n">
        <x:f>E14*G14*60</x:f>
        <x:v>1920</x:v>
      </x:c>
      <x:c r="N14" s="36" t="n">
        <x:f>M14*I14*J14</x:f>
        <x:v>1552.128</x:v>
      </x:c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</x:row>
    <x:row r="15">
      <x:c r="A15" s="27" t="str">
        <x:v>L3</x:v>
      </x:c>
      <x:c r="B15" s="27" t="str">
        <x:v>LN-014</x:v>
      </x:c>
      <x:c r="C15" s="27" t="str">
        <x:v>sampling</x:v>
      </x:c>
      <x:c r="D15" s="27" t="str">
        <x:v>Development</x:v>
      </x:c>
      <x:c r="E15" s="27" t="n">
        <x:v>5</x:v>
      </x:c>
      <x:c r="F15" s="27" t="n">
        <x:v>3</x:v>
      </x:c>
      <x:c r="G15" s="27" t="n">
        <x:v>8</x:v>
      </x:c>
      <x:c r="H15" s="27" t="n">
        <x:v>5</x:v>
      </x:c>
      <x:c r="I15" s="32" t="n">
        <x:v>0.86</x:v>
      </x:c>
      <x:c r="J15" s="32" t="n">
        <x:v>0.94</x:v>
      </x:c>
      <x:c r="K15" s="27" t="str">
        <x:v>No</x:v>
      </x:c>
      <x:c r="L15" s="36" t="n">
        <x:f>G15*H15</x:f>
        <x:v>40</x:v>
      </x:c>
      <x:c r="M15" s="36" t="n">
        <x:f>E15*G15*60</x:f>
        <x:v>2400</x:v>
      </x:c>
      <x:c r="N15" s="36" t="n">
        <x:f>M15*I15*J15</x:f>
        <x:v>1940.1599999999999</x:v>
      </x:c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</x:row>
    <x:row r="16">
      <x:c r="A16" s="27" t="str">
        <x:v>L4</x:v>
      </x:c>
      <x:c r="B16" s="27" t="str">
        <x:v>LN-015</x:v>
      </x:c>
      <x:c r="C16" s="27" t="str">
        <x:v>cutting</x:v>
      </x:c>
      <x:c r="D16" s="27" t="str">
        <x:v>Camicia</x:v>
      </x:c>
      <x:c r="E16" s="27" t="n">
        <x:v>7</x:v>
      </x:c>
      <x:c r="F16" s="27" t="n">
        <x:v>4</x:v>
      </x:c>
      <x:c r="G16" s="27" t="n">
        <x:v>8</x:v>
      </x:c>
      <x:c r="H16" s="27" t="n">
        <x:v>5</x:v>
      </x:c>
      <x:c r="I16" s="32" t="n">
        <x:v>0.84</x:v>
      </x:c>
      <x:c r="J16" s="32" t="n">
        <x:v>0.92</x:v>
      </x:c>
      <x:c r="K16" s="27" t="str">
        <x:v>No</x:v>
      </x:c>
      <x:c r="L16" s="36" t="n">
        <x:f>G16*H16</x:f>
        <x:v>40</x:v>
      </x:c>
      <x:c r="M16" s="36" t="n">
        <x:f>E16*G16*60</x:f>
        <x:v>3360</x:v>
      </x:c>
      <x:c r="N16" s="36" t="n">
        <x:f>M16*I16*J16</x:f>
        <x:v>2596.608</x:v>
      </x:c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</x:row>
    <x:row r="17">
      <x:c r="A17" s="27" t="str">
        <x:v>L4</x:v>
      </x:c>
      <x:c r="B17" s="27" t="str">
        <x:v>LN-016</x:v>
      </x:c>
      <x:c r="C17" s="27" t="str">
        <x:v>sewing</x:v>
      </x:c>
      <x:c r="D17" s="27" t="str">
        <x:v>Pantalone</x:v>
      </x:c>
      <x:c r="E17" s="27" t="n">
        <x:v>11</x:v>
      </x:c>
      <x:c r="F17" s="27" t="n">
        <x:v>10</x:v>
      </x:c>
      <x:c r="G17" s="27" t="n">
        <x:v>8</x:v>
      </x:c>
      <x:c r="H17" s="27" t="n">
        <x:v>5</x:v>
      </x:c>
      <x:c r="I17" s="32" t="n">
        <x:v>0.84</x:v>
      </x:c>
      <x:c r="J17" s="32" t="n">
        <x:v>0.92</x:v>
      </x:c>
      <x:c r="K17" s="27" t="str">
        <x:v>No</x:v>
      </x:c>
      <x:c r="L17" s="36" t="n">
        <x:f>G17*H17</x:f>
        <x:v>40</x:v>
      </x:c>
      <x:c r="M17" s="36" t="n">
        <x:f>E17*G17*60</x:f>
        <x:v>5280</x:v>
      </x:c>
      <x:c r="N17" s="36" t="n">
        <x:f>M17*I17*J17</x:f>
        <x:v>4080.384</x:v>
      </x:c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</x:row>
    <x:row r="18">
      <x:c r="A18" s="27" t="str">
        <x:v>L4</x:v>
      </x:c>
      <x:c r="B18" s="27" t="str">
        <x:v>LN-017</x:v>
      </x:c>
      <x:c r="C18" s="27" t="str">
        <x:v>finishing</x:v>
      </x:c>
      <x:c r="D18" s="27" t="str">
        <x:v>Top</x:v>
      </x:c>
      <x:c r="E18" s="27" t="n">
        <x:v>6</x:v>
      </x:c>
      <x:c r="F18" s="27" t="n">
        <x:v>4</x:v>
      </x:c>
      <x:c r="G18" s="27" t="n">
        <x:v>8</x:v>
      </x:c>
      <x:c r="H18" s="27" t="n">
        <x:v>5</x:v>
      </x:c>
      <x:c r="I18" s="32" t="n">
        <x:v>0.84</x:v>
      </x:c>
      <x:c r="J18" s="32" t="n">
        <x:v>0.92</x:v>
      </x:c>
      <x:c r="K18" s="27" t="str">
        <x:v>No</x:v>
      </x:c>
      <x:c r="L18" s="36" t="n">
        <x:f>G18*H18</x:f>
        <x:v>40</x:v>
      </x:c>
      <x:c r="M18" s="36" t="n">
        <x:f>E18*G18*60</x:f>
        <x:v>2880</x:v>
      </x:c>
      <x:c r="N18" s="36" t="n">
        <x:f>M18*I18*J18</x:f>
        <x:v>2225.6639999999998</x:v>
      </x:c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</x:row>
    <x:row r="19">
      <x:c r="A19" s="27" t="str">
        <x:v>L4</x:v>
      </x:c>
      <x:c r="B19" s="27" t="str">
        <x:v>LN-018</x:v>
      </x:c>
      <x:c r="C19" s="27" t="str">
        <x:v>quality_control</x:v>
      </x:c>
      <x:c r="D19" s="27" t="str">
        <x:v>Mixed apparel</x:v>
      </x:c>
      <x:c r="E19" s="27" t="n">
        <x:v>5</x:v>
      </x:c>
      <x:c r="F19" s="27" t="n">
        <x:v>0</x:v>
      </x:c>
      <x:c r="G19" s="27" t="n">
        <x:v>8</x:v>
      </x:c>
      <x:c r="H19" s="27" t="n">
        <x:v>5</x:v>
      </x:c>
      <x:c r="I19" s="32" t="n">
        <x:v>0.84</x:v>
      </x:c>
      <x:c r="J19" s="32" t="n">
        <x:v>0.92</x:v>
      </x:c>
      <x:c r="K19" s="27" t="str">
        <x:v>No</x:v>
      </x:c>
      <x:c r="L19" s="36" t="n">
        <x:f>G19*H19</x:f>
        <x:v>40</x:v>
      </x:c>
      <x:c r="M19" s="36" t="n">
        <x:f>E19*G19*60</x:f>
        <x:v>2400</x:v>
      </x:c>
      <x:c r="N19" s="36" t="n">
        <x:f>M19*I19*J19</x:f>
        <x:v>1854.72</x:v>
      </x:c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</x:row>
    <x:row r="20">
      <x:c r="A20" s="27" t="str">
        <x:v>L4</x:v>
      </x:c>
      <x:c r="B20" s="27" t="str">
        <x:v>LN-019</x:v>
      </x:c>
      <x:c r="C20" s="27" t="str">
        <x:v>washing</x:v>
      </x:c>
      <x:c r="D20" s="27" t="str">
        <x:v>Denim / casualwear</x:v>
      </x:c>
      <x:c r="E20" s="27" t="n">
        <x:v>7</x:v>
      </x:c>
      <x:c r="F20" s="27" t="n">
        <x:v>2</x:v>
      </x:c>
      <x:c r="G20" s="27" t="n">
        <x:v>8</x:v>
      </x:c>
      <x:c r="H20" s="27" t="n">
        <x:v>5</x:v>
      </x:c>
      <x:c r="I20" s="32" t="n">
        <x:v>0.84</x:v>
      </x:c>
      <x:c r="J20" s="32" t="n">
        <x:v>0.92</x:v>
      </x:c>
      <x:c r="K20" s="27" t="str">
        <x:v>No</x:v>
      </x:c>
      <x:c r="L20" s="36" t="n">
        <x:f>G20*H20</x:f>
        <x:v>40</x:v>
      </x:c>
      <x:c r="M20" s="36" t="n">
        <x:f>E20*G20*60</x:f>
        <x:v>3360</x:v>
      </x:c>
      <x:c r="N20" s="36" t="n">
        <x:f>M20*I20*J20</x:f>
        <x:v>2596.608</x:v>
      </x:c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</x:row>
    <x:row r="21">
      <x:c r="A21" s="27" t="str">
        <x:v>L5</x:v>
      </x:c>
      <x:c r="B21" s="27" t="str">
        <x:v>LN-020</x:v>
      </x:c>
      <x:c r="C21" s="27" t="str">
        <x:v>cutting</x:v>
      </x:c>
      <x:c r="D21" s="27" t="str">
        <x:v>Body</x:v>
      </x:c>
      <x:c r="E21" s="27" t="n">
        <x:v>8</x:v>
      </x:c>
      <x:c r="F21" s="27" t="n">
        <x:v>5</x:v>
      </x:c>
      <x:c r="G21" s="27" t="n">
        <x:v>8</x:v>
      </x:c>
      <x:c r="H21" s="27" t="n">
        <x:v>5</x:v>
      </x:c>
      <x:c r="I21" s="32" t="n">
        <x:v>0.85</x:v>
      </x:c>
      <x:c r="J21" s="32" t="n">
        <x:v>0.93</x:v>
      </x:c>
      <x:c r="K21" s="27" t="str">
        <x:v>No</x:v>
      </x:c>
      <x:c r="L21" s="36" t="n">
        <x:f>G21*H21</x:f>
        <x:v>40</x:v>
      </x:c>
      <x:c r="M21" s="36" t="n">
        <x:f>E21*G21*60</x:f>
        <x:v>3840</x:v>
      </x:c>
      <x:c r="N21" s="36" t="n">
        <x:f>M21*I21*J21</x:f>
        <x:v>3035.52</x:v>
      </x:c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</x:row>
    <x:row r="22">
      <x:c r="A22" s="27" t="str">
        <x:v>L5</x:v>
      </x:c>
      <x:c r="B22" s="27" t="str">
        <x:v>LN-021</x:v>
      </x:c>
      <x:c r="C22" s="27" t="str">
        <x:v>sewing</x:v>
      </x:c>
      <x:c r="D22" s="27" t="str">
        <x:v>Blazer</x:v>
      </x:c>
      <x:c r="E22" s="27" t="n">
        <x:v>10</x:v>
      </x:c>
      <x:c r="F22" s="27" t="n">
        <x:v>9</x:v>
      </x:c>
      <x:c r="G22" s="27" t="n">
        <x:v>8</x:v>
      </x:c>
      <x:c r="H22" s="27" t="n">
        <x:v>5</x:v>
      </x:c>
      <x:c r="I22" s="32" t="n">
        <x:v>0.85</x:v>
      </x:c>
      <x:c r="J22" s="32" t="n">
        <x:v>0.93</x:v>
      </x:c>
      <x:c r="K22" s="27" t="str">
        <x:v>No</x:v>
      </x:c>
      <x:c r="L22" s="36" t="n">
        <x:f>G22*H22</x:f>
        <x:v>40</x:v>
      </x:c>
      <x:c r="M22" s="36" t="n">
        <x:f>E22*G22*60</x:f>
        <x:v>4800</x:v>
      </x:c>
      <x:c r="N22" s="36" t="n">
        <x:f>M22*I22*J22</x:f>
        <x:v>3794.4</x:v>
      </x:c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</x:row>
    <x:row r="23">
      <x:c r="A23" s="27" t="str">
        <x:v>L5</x:v>
      </x:c>
      <x:c r="B23" s="27" t="str">
        <x:v>LN-022</x:v>
      </x:c>
      <x:c r="C23" s="27" t="str">
        <x:v>finishing</x:v>
      </x:c>
      <x:c r="D23" s="27" t="str">
        <x:v>Abito</x:v>
      </x:c>
      <x:c r="E23" s="27" t="n">
        <x:v>6</x:v>
      </x:c>
      <x:c r="F23" s="27" t="n">
        <x:v>4</x:v>
      </x:c>
      <x:c r="G23" s="27" t="n">
        <x:v>8</x:v>
      </x:c>
      <x:c r="H23" s="27" t="n">
        <x:v>5</x:v>
      </x:c>
      <x:c r="I23" s="32" t="n">
        <x:v>0.85</x:v>
      </x:c>
      <x:c r="J23" s="32" t="n">
        <x:v>0.93</x:v>
      </x:c>
      <x:c r="K23" s="27" t="str">
        <x:v>No</x:v>
      </x:c>
      <x:c r="L23" s="36" t="n">
        <x:f>G23*H23</x:f>
        <x:v>40</x:v>
      </x:c>
      <x:c r="M23" s="36" t="n">
        <x:f>E23*G23*60</x:f>
        <x:v>2880</x:v>
      </x:c>
      <x:c r="N23" s="36" t="n">
        <x:f>M23*I23*J23</x:f>
        <x:v>2276.6400000000003</x:v>
      </x:c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</x:row>
    <x:row r="24">
      <x:c r="A24" s="27" t="str">
        <x:v>L5</x:v>
      </x:c>
      <x:c r="B24" s="27" t="str">
        <x:v>LN-023</x:v>
      </x:c>
      <x:c r="C24" s="27" t="str">
        <x:v>quality_control</x:v>
      </x:c>
      <x:c r="D24" s="27" t="str">
        <x:v>Mixed apparel</x:v>
      </x:c>
      <x:c r="E24" s="27" t="n">
        <x:v>6</x:v>
      </x:c>
      <x:c r="F24" s="27" t="n">
        <x:v>0</x:v>
      </x:c>
      <x:c r="G24" s="27" t="n">
        <x:v>8</x:v>
      </x:c>
      <x:c r="H24" s="27" t="n">
        <x:v>5</x:v>
      </x:c>
      <x:c r="I24" s="32" t="n">
        <x:v>0.85</x:v>
      </x:c>
      <x:c r="J24" s="32" t="n">
        <x:v>0.93</x:v>
      </x:c>
      <x:c r="K24" s="27" t="str">
        <x:v>No</x:v>
      </x:c>
      <x:c r="L24" s="36" t="n">
        <x:f>G24*H24</x:f>
        <x:v>40</x:v>
      </x:c>
      <x:c r="M24" s="36" t="n">
        <x:f>E24*G24*60</x:f>
        <x:v>2880</x:v>
      </x:c>
      <x:c r="N24" s="36" t="n">
        <x:f>M24*I24*J24</x:f>
        <x:v>2276.6400000000003</x:v>
      </x:c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</x:row>
    <x:row r="25">
      <x:c r="A25" s="27" t="str">
        <x:v>L5</x:v>
      </x:c>
      <x:c r="B25" s="27" t="str">
        <x:v>LN-024</x:v>
      </x:c>
      <x:c r="C25" s="27" t="str">
        <x:v>sampling</x:v>
      </x:c>
      <x:c r="D25" s="27" t="str">
        <x:v>Development</x:v>
      </x:c>
      <x:c r="E25" s="27" t="n">
        <x:v>6</x:v>
      </x:c>
      <x:c r="F25" s="27" t="n">
        <x:v>3</x:v>
      </x:c>
      <x:c r="G25" s="27" t="n">
        <x:v>8</x:v>
      </x:c>
      <x:c r="H25" s="27" t="n">
        <x:v>5</x:v>
      </x:c>
      <x:c r="I25" s="32" t="n">
        <x:v>0.85</x:v>
      </x:c>
      <x:c r="J25" s="32" t="n">
        <x:v>0.93</x:v>
      </x:c>
      <x:c r="K25" s="27" t="str">
        <x:v>No</x:v>
      </x:c>
      <x:c r="L25" s="36" t="n">
        <x:f>G25*H25</x:f>
        <x:v>40</x:v>
      </x:c>
      <x:c r="M25" s="36" t="n">
        <x:f>E25*G25*60</x:f>
        <x:v>2880</x:v>
      </x:c>
      <x:c r="N25" s="36" t="n">
        <x:f>M25*I25*J25</x:f>
        <x:v>2276.6400000000003</x:v>
      </x:c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</x:row>
    <x:row r="26">
      <x:c r="A26" s="27" t="str">
        <x:v>L6</x:v>
      </x:c>
      <x:c r="B26" s="27" t="str">
        <x:v>LN-025</x:v>
      </x:c>
      <x:c r="C26" s="27" t="str">
        <x:v>cutting</x:v>
      </x:c>
      <x:c r="D26" s="27" t="str">
        <x:v>Camicia</x:v>
      </x:c>
      <x:c r="E26" s="27" t="n">
        <x:v>5</x:v>
      </x:c>
      <x:c r="F26" s="27" t="n">
        <x:v>2</x:v>
      </x:c>
      <x:c r="G26" s="27" t="n">
        <x:v>8</x:v>
      </x:c>
      <x:c r="H26" s="27" t="n">
        <x:v>5</x:v>
      </x:c>
      <x:c r="I26" s="32" t="n">
        <x:v>0.84</x:v>
      </x:c>
      <x:c r="J26" s="32" t="n">
        <x:v>0.92</x:v>
      </x:c>
      <x:c r="K26" s="27" t="str">
        <x:v>Yes</x:v>
      </x:c>
      <x:c r="L26" s="36" t="n">
        <x:f>G26*H26</x:f>
        <x:v>40</x:v>
      </x:c>
      <x:c r="M26" s="36" t="n">
        <x:f>E26*G26*60</x:f>
        <x:v>2400</x:v>
      </x:c>
      <x:c r="N26" s="36" t="n">
        <x:f>M26*I26*J26</x:f>
        <x:v>1854.72</x:v>
      </x:c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</x:row>
    <x:row r="27">
      <x:c r="A27" s="27" t="str">
        <x:v>L6</x:v>
      </x:c>
      <x:c r="B27" s="27" t="str">
        <x:v>LN-026</x:v>
      </x:c>
      <x:c r="C27" s="27" t="str">
        <x:v>sewing</x:v>
      </x:c>
      <x:c r="D27" s="27" t="str">
        <x:v>Abito</x:v>
      </x:c>
      <x:c r="E27" s="27" t="n">
        <x:v>12</x:v>
      </x:c>
      <x:c r="F27" s="27" t="n">
        <x:v>11</x:v>
      </x:c>
      <x:c r="G27" s="27" t="n">
        <x:v>8</x:v>
      </x:c>
      <x:c r="H27" s="27" t="n">
        <x:v>5</x:v>
      </x:c>
      <x:c r="I27" s="32" t="n">
        <x:v>0.84</x:v>
      </x:c>
      <x:c r="J27" s="32" t="n">
        <x:v>0.92</x:v>
      </x:c>
      <x:c r="K27" s="27" t="str">
        <x:v>Yes</x:v>
      </x:c>
      <x:c r="L27" s="36" t="n">
        <x:f>G27*H27</x:f>
        <x:v>40</x:v>
      </x:c>
      <x:c r="M27" s="36" t="n">
        <x:f>E27*G27*60</x:f>
        <x:v>5760</x:v>
      </x:c>
      <x:c r="N27" s="36" t="n">
        <x:f>M27*I27*J27</x:f>
        <x:v>4451.3279999999995</x:v>
      </x:c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</x:row>
    <x:row r="28">
      <x:c r="A28" s="27" t="str">
        <x:v>L6</x:v>
      </x:c>
      <x:c r="B28" s="27" t="str">
        <x:v>LN-027</x:v>
      </x:c>
      <x:c r="C28" s="27" t="str">
        <x:v>finishing</x:v>
      </x:c>
      <x:c r="D28" s="27" t="str">
        <x:v>Top</x:v>
      </x:c>
      <x:c r="E28" s="27" t="n">
        <x:v>6</x:v>
      </x:c>
      <x:c r="F28" s="27" t="n">
        <x:v>4</x:v>
      </x:c>
      <x:c r="G28" s="27" t="n">
        <x:v>8</x:v>
      </x:c>
      <x:c r="H28" s="27" t="n">
        <x:v>5</x:v>
      </x:c>
      <x:c r="I28" s="32" t="n">
        <x:v>0.84</x:v>
      </x:c>
      <x:c r="J28" s="32" t="n">
        <x:v>0.92</x:v>
      </x:c>
      <x:c r="K28" s="27" t="str">
        <x:v>Yes</x:v>
      </x:c>
      <x:c r="L28" s="36" t="n">
        <x:f>G28*H28</x:f>
        <x:v>40</x:v>
      </x:c>
      <x:c r="M28" s="36" t="n">
        <x:f>E28*G28*60</x:f>
        <x:v>2880</x:v>
      </x:c>
      <x:c r="N28" s="36" t="n">
        <x:f>M28*I28*J28</x:f>
        <x:v>2225.6639999999998</x:v>
      </x:c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</x:row>
    <x:row r="29">
      <x:c r="A29" s="27" t="str">
        <x:v>L6</x:v>
      </x:c>
      <x:c r="B29" s="27" t="str">
        <x:v>LN-028</x:v>
      </x:c>
      <x:c r="C29" s="27" t="str">
        <x:v>quality_control</x:v>
      </x:c>
      <x:c r="D29" s="27" t="str">
        <x:v>Mixed apparel</x:v>
      </x:c>
      <x:c r="E29" s="27" t="n">
        <x:v>7</x:v>
      </x:c>
      <x:c r="F29" s="27" t="n">
        <x:v>0</x:v>
      </x:c>
      <x:c r="G29" s="27" t="n">
        <x:v>8</x:v>
      </x:c>
      <x:c r="H29" s="27" t="n">
        <x:v>5</x:v>
      </x:c>
      <x:c r="I29" s="32" t="n">
        <x:v>0.84</x:v>
      </x:c>
      <x:c r="J29" s="32" t="n">
        <x:v>0.92</x:v>
      </x:c>
      <x:c r="K29" s="27" t="str">
        <x:v>Yes</x:v>
      </x:c>
      <x:c r="L29" s="36" t="n">
        <x:f>G29*H29</x:f>
        <x:v>40</x:v>
      </x:c>
      <x:c r="M29" s="36" t="n">
        <x:f>E29*G29*60</x:f>
        <x:v>3360</x:v>
      </x:c>
      <x:c r="N29" s="36" t="n">
        <x:f>M29*I29*J29</x:f>
        <x:v>2596.608</x:v>
      </x:c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</x:row>
    <x:row r="30">
      <x:c r="A30" s="27" t="str">
        <x:v>L7</x:v>
      </x:c>
      <x:c r="B30" s="27" t="str">
        <x:v>LN-029</x:v>
      </x:c>
      <x:c r="C30" s="27" t="str">
        <x:v>cutting</x:v>
      </x:c>
      <x:c r="D30" s="27" t="str">
        <x:v>Blazer</x:v>
      </x:c>
      <x:c r="E30" s="27" t="n">
        <x:v>5</x:v>
      </x:c>
      <x:c r="F30" s="27" t="n">
        <x:v>2</x:v>
      </x:c>
      <x:c r="G30" s="27" t="n">
        <x:v>8</x:v>
      </x:c>
      <x:c r="H30" s="27" t="n">
        <x:v>5</x:v>
      </x:c>
      <x:c r="I30" s="32" t="n">
        <x:v>0.86</x:v>
      </x:c>
      <x:c r="J30" s="32" t="n">
        <x:v>0.94</x:v>
      </x:c>
      <x:c r="K30" s="27" t="str">
        <x:v>Yes</x:v>
      </x:c>
      <x:c r="L30" s="36" t="n">
        <x:f>G30*H30</x:f>
        <x:v>40</x:v>
      </x:c>
      <x:c r="M30" s="36" t="n">
        <x:f>E30*G30*60</x:f>
        <x:v>2400</x:v>
      </x:c>
      <x:c r="N30" s="36" t="n">
        <x:f>M30*I30*J30</x:f>
        <x:v>1940.1599999999999</x:v>
      </x:c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</x:row>
    <x:row r="31">
      <x:c r="A31" s="27" t="str">
        <x:v>L7</x:v>
      </x:c>
      <x:c r="B31" s="27" t="str">
        <x:v>LN-030</x:v>
      </x:c>
      <x:c r="C31" s="27" t="str">
        <x:v>sewing</x:v>
      </x:c>
      <x:c r="D31" s="27" t="str">
        <x:v>T-shirt</x:v>
      </x:c>
      <x:c r="E31" s="27" t="n">
        <x:v>18</x:v>
      </x:c>
      <x:c r="F31" s="27" t="n">
        <x:v>17</x:v>
      </x:c>
      <x:c r="G31" s="27" t="n">
        <x:v>8</x:v>
      </x:c>
      <x:c r="H31" s="27" t="n">
        <x:v>5</x:v>
      </x:c>
      <x:c r="I31" s="32" t="n">
        <x:v>0.86</x:v>
      </x:c>
      <x:c r="J31" s="32" t="n">
        <x:v>0.94</x:v>
      </x:c>
      <x:c r="K31" s="27" t="str">
        <x:v>Yes</x:v>
      </x:c>
      <x:c r="L31" s="36" t="n">
        <x:f>G31*H31</x:f>
        <x:v>40</x:v>
      </x:c>
      <x:c r="M31" s="36" t="n">
        <x:f>E31*G31*60</x:f>
        <x:v>8640</x:v>
      </x:c>
      <x:c r="N31" s="36" t="n">
        <x:f>M31*I31*J31</x:f>
        <x:v>6984.575999999999</x:v>
      </x:c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</x:row>
    <x:row r="32">
      <x:c r="A32" s="27" t="str">
        <x:v>L7</x:v>
      </x:c>
      <x:c r="B32" s="27" t="str">
        <x:v>LN-031</x:v>
      </x:c>
      <x:c r="C32" s="27" t="str">
        <x:v>finishing</x:v>
      </x:c>
      <x:c r="D32" s="27" t="str">
        <x:v>Cappotto</x:v>
      </x:c>
      <x:c r="E32" s="27" t="n">
        <x:v>5</x:v>
      </x:c>
      <x:c r="F32" s="27" t="n">
        <x:v>3</x:v>
      </x:c>
      <x:c r="G32" s="27" t="n">
        <x:v>8</x:v>
      </x:c>
      <x:c r="H32" s="27" t="n">
        <x:v>5</x:v>
      </x:c>
      <x:c r="I32" s="32" t="n">
        <x:v>0.86</x:v>
      </x:c>
      <x:c r="J32" s="32" t="n">
        <x:v>0.94</x:v>
      </x:c>
      <x:c r="K32" s="27" t="str">
        <x:v>Yes</x:v>
      </x:c>
      <x:c r="L32" s="36" t="n">
        <x:f>G32*H32</x:f>
        <x:v>40</x:v>
      </x:c>
      <x:c r="M32" s="36" t="n">
        <x:f>E32*G32*60</x:f>
        <x:v>2400</x:v>
      </x:c>
      <x:c r="N32" s="36" t="n">
        <x:f>M32*I32*J32</x:f>
        <x:v>1940.1599999999999</x:v>
      </x:c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</x:row>
    <x:row r="33">
      <x:c r="A33" s="27" t="str">
        <x:v>L7</x:v>
      </x:c>
      <x:c r="B33" s="27" t="str">
        <x:v>LN-032</x:v>
      </x:c>
      <x:c r="C33" s="27" t="str">
        <x:v>quality_control</x:v>
      </x:c>
      <x:c r="D33" s="27" t="str">
        <x:v>Mixed apparel</x:v>
      </x:c>
      <x:c r="E33" s="27" t="n">
        <x:v>7</x:v>
      </x:c>
      <x:c r="F33" s="27" t="n">
        <x:v>0</x:v>
      </x:c>
      <x:c r="G33" s="27" t="n">
        <x:v>8</x:v>
      </x:c>
      <x:c r="H33" s="27" t="n">
        <x:v>5</x:v>
      </x:c>
      <x:c r="I33" s="32" t="n">
        <x:v>0.86</x:v>
      </x:c>
      <x:c r="J33" s="32" t="n">
        <x:v>0.94</x:v>
      </x:c>
      <x:c r="K33" s="27" t="str">
        <x:v>Yes</x:v>
      </x:c>
      <x:c r="L33" s="36" t="n">
        <x:f>G33*H33</x:f>
        <x:v>40</x:v>
      </x:c>
      <x:c r="M33" s="36" t="n">
        <x:f>E33*G33*60</x:f>
        <x:v>3360</x:v>
      </x:c>
      <x:c r="N33" s="36" t="n">
        <x:f>M33*I33*J33</x:f>
        <x:v>2716.2239999999997</x:v>
      </x:c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</x:row>
    <x:row r="34">
      <x:c r="A34" s="27" t="str">
        <x:v>L7</x:v>
      </x:c>
      <x:c r="B34" s="27" t="str">
        <x:v>LN-033</x:v>
      </x:c>
      <x:c r="C34" s="27" t="str">
        <x:v>washing</x:v>
      </x:c>
      <x:c r="D34" s="27" t="str">
        <x:v>Denim / casualwear</x:v>
      </x:c>
      <x:c r="E34" s="27" t="n">
        <x:v>5</x:v>
      </x:c>
      <x:c r="F34" s="27" t="n">
        <x:v>2</x:v>
      </x:c>
      <x:c r="G34" s="27" t="n">
        <x:v>8</x:v>
      </x:c>
      <x:c r="H34" s="27" t="n">
        <x:v>5</x:v>
      </x:c>
      <x:c r="I34" s="32" t="n">
        <x:v>0.86</x:v>
      </x:c>
      <x:c r="J34" s="32" t="n">
        <x:v>0.94</x:v>
      </x:c>
      <x:c r="K34" s="27" t="str">
        <x:v>Yes</x:v>
      </x:c>
      <x:c r="L34" s="36" t="n">
        <x:f>G34*H34</x:f>
        <x:v>40</x:v>
      </x:c>
      <x:c r="M34" s="36" t="n">
        <x:f>E34*G34*60</x:f>
        <x:v>2400</x:v>
      </x:c>
      <x:c r="N34" s="36" t="n">
        <x:f>M34*I34*J34</x:f>
        <x:v>1940.1599999999999</x:v>
      </x:c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</x:row>
    <x:row r="35">
      <x:c r="A35" s="27" t="str">
        <x:v>L8</x:v>
      </x:c>
      <x:c r="B35" s="27" t="str">
        <x:v>LN-034</x:v>
      </x:c>
      <x:c r="C35" s="27" t="str">
        <x:v>cutting</x:v>
      </x:c>
      <x:c r="D35" s="27" t="str">
        <x:v>Pantalone</x:v>
      </x:c>
      <x:c r="E35" s="27" t="n">
        <x:v>6</x:v>
      </x:c>
      <x:c r="F35" s="27" t="n">
        <x:v>3</x:v>
      </x:c>
      <x:c r="G35" s="27" t="n">
        <x:v>8</x:v>
      </x:c>
      <x:c r="H35" s="27" t="n">
        <x:v>5</x:v>
      </x:c>
      <x:c r="I35" s="32" t="n">
        <x:v>0.85</x:v>
      </x:c>
      <x:c r="J35" s="32" t="n">
        <x:v>0.93</x:v>
      </x:c>
      <x:c r="K35" s="27" t="str">
        <x:v>Yes</x:v>
      </x:c>
      <x:c r="L35" s="36" t="n">
        <x:f>G35*H35</x:f>
        <x:v>40</x:v>
      </x:c>
      <x:c r="M35" s="36" t="n">
        <x:f>E35*G35*60</x:f>
        <x:v>2880</x:v>
      </x:c>
      <x:c r="N35" s="36" t="n">
        <x:f>M35*I35*J35</x:f>
        <x:v>2276.6400000000003</x:v>
      </x:c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</x:row>
    <x:row r="36">
      <x:c r="A36" s="27" t="str">
        <x:v>L8</x:v>
      </x:c>
      <x:c r="B36" s="27" t="str">
        <x:v>LN-035</x:v>
      </x:c>
      <x:c r="C36" s="27" t="str">
        <x:v>sewing</x:v>
      </x:c>
      <x:c r="D36" s="27" t="str">
        <x:v>Gonna</x:v>
      </x:c>
      <x:c r="E36" s="27" t="n">
        <x:v>14</x:v>
      </x:c>
      <x:c r="F36" s="27" t="n">
        <x:v>13</x:v>
      </x:c>
      <x:c r="G36" s="27" t="n">
        <x:v>8</x:v>
      </x:c>
      <x:c r="H36" s="27" t="n">
        <x:v>5</x:v>
      </x:c>
      <x:c r="I36" s="32" t="n">
        <x:v>0.85</x:v>
      </x:c>
      <x:c r="J36" s="32" t="n">
        <x:v>0.93</x:v>
      </x:c>
      <x:c r="K36" s="27" t="str">
        <x:v>Yes</x:v>
      </x:c>
      <x:c r="L36" s="36" t="n">
        <x:f>G36*H36</x:f>
        <x:v>40</x:v>
      </x:c>
      <x:c r="M36" s="36" t="n">
        <x:f>E36*G36*60</x:f>
        <x:v>6720</x:v>
      </x:c>
      <x:c r="N36" s="36" t="n">
        <x:f>M36*I36*J36</x:f>
        <x:v>5312.16</x:v>
      </x:c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</x:row>
    <x:row r="37">
      <x:c r="A37" s="27" t="str">
        <x:v>L8</x:v>
      </x:c>
      <x:c r="B37" s="27" t="str">
        <x:v>LN-036</x:v>
      </x:c>
      <x:c r="C37" s="27" t="str">
        <x:v>finishing</x:v>
      </x:c>
      <x:c r="D37" s="27" t="str">
        <x:v>T-shirt</x:v>
      </x:c>
      <x:c r="E37" s="27" t="n">
        <x:v>5</x:v>
      </x:c>
      <x:c r="F37" s="27" t="n">
        <x:v>3</x:v>
      </x:c>
      <x:c r="G37" s="27" t="n">
        <x:v>8</x:v>
      </x:c>
      <x:c r="H37" s="27" t="n">
        <x:v>5</x:v>
      </x:c>
      <x:c r="I37" s="32" t="n">
        <x:v>0.85</x:v>
      </x:c>
      <x:c r="J37" s="32" t="n">
        <x:v>0.93</x:v>
      </x:c>
      <x:c r="K37" s="27" t="str">
        <x:v>Yes</x:v>
      </x:c>
      <x:c r="L37" s="36" t="n">
        <x:f>G37*H37</x:f>
        <x:v>40</x:v>
      </x:c>
      <x:c r="M37" s="36" t="n">
        <x:f>E37*G37*60</x:f>
        <x:v>2400</x:v>
      </x:c>
      <x:c r="N37" s="36" t="n">
        <x:f>M37*I37*J37</x:f>
        <x:v>1897.2</x:v>
      </x:c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</x:row>
    <x:row r="38">
      <x:c r="A38" s="27" t="str">
        <x:v>L8</x:v>
      </x:c>
      <x:c r="B38" s="27" t="str">
        <x:v>LN-037</x:v>
      </x:c>
      <x:c r="C38" s="27" t="str">
        <x:v>quality_control</x:v>
      </x:c>
      <x:c r="D38" s="27" t="str">
        <x:v>Mixed apparel</x:v>
      </x:c>
      <x:c r="E38" s="27" t="n">
        <x:v>4</x:v>
      </x:c>
      <x:c r="F38" s="27" t="n">
        <x:v>0</x:v>
      </x:c>
      <x:c r="G38" s="27" t="n">
        <x:v>8</x:v>
      </x:c>
      <x:c r="H38" s="27" t="n">
        <x:v>5</x:v>
      </x:c>
      <x:c r="I38" s="32" t="n">
        <x:v>0.85</x:v>
      </x:c>
      <x:c r="J38" s="32" t="n">
        <x:v>0.93</x:v>
      </x:c>
      <x:c r="K38" s="27" t="str">
        <x:v>Yes</x:v>
      </x:c>
      <x:c r="L38" s="36" t="n">
        <x:f>G38*H38</x:f>
        <x:v>40</x:v>
      </x:c>
      <x:c r="M38" s="36" t="n">
        <x:f>E38*G38*60</x:f>
        <x:v>1920</x:v>
      </x:c>
      <x:c r="N38" s="36" t="n">
        <x:f>M38*I38*J38</x:f>
        <x:v>1517.76</x:v>
      </x:c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</x:row>
    <x:row r="39">
      <x:c r="A39" s="27" t="str">
        <x:v>L9</x:v>
      </x:c>
      <x:c r="B39" s="27" t="str">
        <x:v>LN-038</x:v>
      </x:c>
      <x:c r="C39" s="27" t="str">
        <x:v>cutting</x:v>
      </x:c>
      <x:c r="D39" s="27" t="str">
        <x:v>Kimono</x:v>
      </x:c>
      <x:c r="E39" s="27" t="n">
        <x:v>6</x:v>
      </x:c>
      <x:c r="F39" s="27" t="n">
        <x:v>3</x:v>
      </x:c>
      <x:c r="G39" s="27" t="n">
        <x:v>8</x:v>
      </x:c>
      <x:c r="H39" s="27" t="n">
        <x:v>6</x:v>
      </x:c>
      <x:c r="I39" s="32" t="n">
        <x:v>0.85</x:v>
      </x:c>
      <x:c r="J39" s="32" t="n">
        <x:v>0.93</x:v>
      </x:c>
      <x:c r="K39" s="27" t="str">
        <x:v>Yes</x:v>
      </x:c>
      <x:c r="L39" s="36" t="n">
        <x:f>G39*H39</x:f>
        <x:v>48</x:v>
      </x:c>
      <x:c r="M39" s="36" t="n">
        <x:f>E39*G39*60</x:f>
        <x:v>2880</x:v>
      </x:c>
      <x:c r="N39" s="36" t="n">
        <x:f>M39*I39*J39</x:f>
        <x:v>2276.6400000000003</x:v>
      </x:c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</x:row>
    <x:row r="40">
      <x:c r="A40" s="27" t="str">
        <x:v>L9</x:v>
      </x:c>
      <x:c r="B40" s="27" t="str">
        <x:v>LN-039</x:v>
      </x:c>
      <x:c r="C40" s="27" t="str">
        <x:v>sewing</x:v>
      </x:c>
      <x:c r="D40" s="27" t="str">
        <x:v>Jeans</x:v>
      </x:c>
      <x:c r="E40" s="27" t="n">
        <x:v>22</x:v>
      </x:c>
      <x:c r="F40" s="27" t="n">
        <x:v>21</x:v>
      </x:c>
      <x:c r="G40" s="27" t="n">
        <x:v>8</x:v>
      </x:c>
      <x:c r="H40" s="27" t="n">
        <x:v>6</x:v>
      </x:c>
      <x:c r="I40" s="32" t="n">
        <x:v>0.85</x:v>
      </x:c>
      <x:c r="J40" s="32" t="n">
        <x:v>0.93</x:v>
      </x:c>
      <x:c r="K40" s="27" t="str">
        <x:v>Yes</x:v>
      </x:c>
      <x:c r="L40" s="36" t="n">
        <x:f>G40*H40</x:f>
        <x:v>48</x:v>
      </x:c>
      <x:c r="M40" s="36" t="n">
        <x:f>E40*G40*60</x:f>
        <x:v>10560</x:v>
      </x:c>
      <x:c r="N40" s="36" t="n">
        <x:f>M40*I40*J40</x:f>
        <x:v>8347.68</x:v>
      </x:c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</x:row>
    <x:row r="41">
      <x:c r="A41" s="27" t="str">
        <x:v>L9</x:v>
      </x:c>
      <x:c r="B41" s="27" t="str">
        <x:v>LN-040</x:v>
      </x:c>
      <x:c r="C41" s="27" t="str">
        <x:v>finishing</x:v>
      </x:c>
      <x:c r="D41" s="27" t="str">
        <x:v>Body</x:v>
      </x:c>
      <x:c r="E41" s="27" t="n">
        <x:v>9</x:v>
      </x:c>
      <x:c r="F41" s="27" t="n">
        <x:v>7</x:v>
      </x:c>
      <x:c r="G41" s="27" t="n">
        <x:v>8</x:v>
      </x:c>
      <x:c r="H41" s="27" t="n">
        <x:v>6</x:v>
      </x:c>
      <x:c r="I41" s="32" t="n">
        <x:v>0.85</x:v>
      </x:c>
      <x:c r="J41" s="32" t="n">
        <x:v>0.93</x:v>
      </x:c>
      <x:c r="K41" s="27" t="str">
        <x:v>Yes</x:v>
      </x:c>
      <x:c r="L41" s="36" t="n">
        <x:f>G41*H41</x:f>
        <x:v>48</x:v>
      </x:c>
      <x:c r="M41" s="36" t="n">
        <x:f>E41*G41*60</x:f>
        <x:v>4320</x:v>
      </x:c>
      <x:c r="N41" s="36" t="n">
        <x:f>M41*I41*J41</x:f>
        <x:v>3414.96</x:v>
      </x:c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</x:row>
    <x:row r="42">
      <x:c r="A42" s="27" t="str">
        <x:v>L9</x:v>
      </x:c>
      <x:c r="B42" s="27" t="str">
        <x:v>LN-041</x:v>
      </x:c>
      <x:c r="C42" s="27" t="str">
        <x:v>quality_control</x:v>
      </x:c>
      <x:c r="D42" s="27" t="str">
        <x:v>Mixed apparel</x:v>
      </x:c>
      <x:c r="E42" s="27" t="n">
        <x:v>4</x:v>
      </x:c>
      <x:c r="F42" s="27" t="n">
        <x:v>0</x:v>
      </x:c>
      <x:c r="G42" s="27" t="n">
        <x:v>8</x:v>
      </x:c>
      <x:c r="H42" s="27" t="n">
        <x:v>6</x:v>
      </x:c>
      <x:c r="I42" s="32" t="n">
        <x:v>0.85</x:v>
      </x:c>
      <x:c r="J42" s="32" t="n">
        <x:v>0.93</x:v>
      </x:c>
      <x:c r="K42" s="27" t="str">
        <x:v>Yes</x:v>
      </x:c>
      <x:c r="L42" s="36" t="n">
        <x:f>G42*H42</x:f>
        <x:v>48</x:v>
      </x:c>
      <x:c r="M42" s="36" t="n">
        <x:f>E42*G42*60</x:f>
        <x:v>1920</x:v>
      </x:c>
      <x:c r="N42" s="36" t="n">
        <x:f>M42*I42*J42</x:f>
        <x:v>1517.76</x:v>
      </x:c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</x:row>
    <x:row r="43">
      <x:c r="A43" s="27" t="str">
        <x:v>L9</x:v>
      </x:c>
      <x:c r="B43" s="27" t="str">
        <x:v>LN-042</x:v>
      </x:c>
      <x:c r="C43" s="27" t="str">
        <x:v>washing</x:v>
      </x:c>
      <x:c r="D43" s="27" t="str">
        <x:v>Denim / casualwear</x:v>
      </x:c>
      <x:c r="E43" s="27" t="n">
        <x:v>6</x:v>
      </x:c>
      <x:c r="F43" s="27" t="n">
        <x:v>3</x:v>
      </x:c>
      <x:c r="G43" s="27" t="n">
        <x:v>8</x:v>
      </x:c>
      <x:c r="H43" s="27" t="n">
        <x:v>6</x:v>
      </x:c>
      <x:c r="I43" s="32" t="n">
        <x:v>0.85</x:v>
      </x:c>
      <x:c r="J43" s="32" t="n">
        <x:v>0.93</x:v>
      </x:c>
      <x:c r="K43" s="27" t="str">
        <x:v>Yes</x:v>
      </x:c>
      <x:c r="L43" s="36" t="n">
        <x:f>G43*H43</x:f>
        <x:v>48</x:v>
      </x:c>
      <x:c r="M43" s="36" t="n">
        <x:f>E43*G43*60</x:f>
        <x:v>2880</x:v>
      </x:c>
      <x:c r="N43" s="36" t="n">
        <x:f>M43*I43*J43</x:f>
        <x:v>2276.6400000000003</x:v>
      </x:c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</x:row>
    <x:row r="44">
      <x:c r="A44" s="27" t="str">
        <x:v>L10</x:v>
      </x:c>
      <x:c r="B44" s="27" t="str">
        <x:v>LN-043</x:v>
      </x:c>
      <x:c r="C44" s="27" t="str">
        <x:v>cutting</x:v>
      </x:c>
      <x:c r="D44" s="27" t="str">
        <x:v>Jeans</x:v>
      </x:c>
      <x:c r="E44" s="27" t="n">
        <x:v>7</x:v>
      </x:c>
      <x:c r="F44" s="27" t="n">
        <x:v>4</x:v>
      </x:c>
      <x:c r="G44" s="27" t="n">
        <x:v>8</x:v>
      </x:c>
      <x:c r="H44" s="27" t="n">
        <x:v>5</x:v>
      </x:c>
      <x:c r="I44" s="32" t="n">
        <x:v>0.84</x:v>
      </x:c>
      <x:c r="J44" s="32" t="n">
        <x:v>0.93</x:v>
      </x:c>
      <x:c r="K44" s="27" t="str">
        <x:v>Yes</x:v>
      </x:c>
      <x:c r="L44" s="36" t="n">
        <x:f>G44*H44</x:f>
        <x:v>40</x:v>
      </x:c>
      <x:c r="M44" s="36" t="n">
        <x:f>E44*G44*60</x:f>
        <x:v>3360</x:v>
      </x:c>
      <x:c r="N44" s="36" t="n">
        <x:f>M44*I44*J44</x:f>
        <x:v>2624.8320000000003</x:v>
      </x:c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</x:row>
    <x:row r="45">
      <x:c r="A45" s="27" t="str">
        <x:v>L10</x:v>
      </x:c>
      <x:c r="B45" s="27" t="str">
        <x:v>LN-044</x:v>
      </x:c>
      <x:c r="C45" s="27" t="str">
        <x:v>sewing</x:v>
      </x:c>
      <x:c r="D45" s="27" t="str">
        <x:v>Kimono</x:v>
      </x:c>
      <x:c r="E45" s="27" t="n">
        <x:v>18</x:v>
      </x:c>
      <x:c r="F45" s="27" t="n">
        <x:v>17</x:v>
      </x:c>
      <x:c r="G45" s="27" t="n">
        <x:v>8</x:v>
      </x:c>
      <x:c r="H45" s="27" t="n">
        <x:v>5</x:v>
      </x:c>
      <x:c r="I45" s="32" t="n">
        <x:v>0.84</x:v>
      </x:c>
      <x:c r="J45" s="32" t="n">
        <x:v>0.93</x:v>
      </x:c>
      <x:c r="K45" s="27" t="str">
        <x:v>Yes</x:v>
      </x:c>
      <x:c r="L45" s="36" t="n">
        <x:f>G45*H45</x:f>
        <x:v>40</x:v>
      </x:c>
      <x:c r="M45" s="36" t="n">
        <x:f>E45*G45*60</x:f>
        <x:v>8640</x:v>
      </x:c>
      <x:c r="N45" s="36" t="n">
        <x:f>M45*I45*J45</x:f>
        <x:v>6749.568</x:v>
      </x:c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</x:row>
    <x:row r="46">
      <x:c r="A46" s="27" t="str">
        <x:v>L10</x:v>
      </x:c>
      <x:c r="B46" s="27" t="str">
        <x:v>LN-045</x:v>
      </x:c>
      <x:c r="C46" s="27" t="str">
        <x:v>finishing</x:v>
      </x:c>
      <x:c r="D46" s="27" t="str">
        <x:v>Camicia</x:v>
      </x:c>
      <x:c r="E46" s="27" t="n">
        <x:v>9</x:v>
      </x:c>
      <x:c r="F46" s="27" t="n">
        <x:v>7</x:v>
      </x:c>
      <x:c r="G46" s="27" t="n">
        <x:v>8</x:v>
      </x:c>
      <x:c r="H46" s="27" t="n">
        <x:v>5</x:v>
      </x:c>
      <x:c r="I46" s="32" t="n">
        <x:v>0.84</x:v>
      </x:c>
      <x:c r="J46" s="32" t="n">
        <x:v>0.93</x:v>
      </x:c>
      <x:c r="K46" s="27" t="str">
        <x:v>Yes</x:v>
      </x:c>
      <x:c r="L46" s="36" t="n">
        <x:f>G46*H46</x:f>
        <x:v>40</x:v>
      </x:c>
      <x:c r="M46" s="36" t="n">
        <x:f>E46*G46*60</x:f>
        <x:v>4320</x:v>
      </x:c>
      <x:c r="N46" s="36" t="n">
        <x:f>M46*I46*J46</x:f>
        <x:v>3374.784</x:v>
      </x:c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</x:row>
    <x:row r="47">
      <x:c r="A47" s="27" t="str">
        <x:v>L10</x:v>
      </x:c>
      <x:c r="B47" s="27" t="str">
        <x:v>LN-046</x:v>
      </x:c>
      <x:c r="C47" s="27" t="str">
        <x:v>quality_control</x:v>
      </x:c>
      <x:c r="D47" s="27" t="str">
        <x:v>Mixed apparel</x:v>
      </x:c>
      <x:c r="E47" s="27" t="n">
        <x:v>5</x:v>
      </x:c>
      <x:c r="F47" s="27" t="n">
        <x:v>0</x:v>
      </x:c>
      <x:c r="G47" s="27" t="n">
        <x:v>8</x:v>
      </x:c>
      <x:c r="H47" s="27" t="n">
        <x:v>5</x:v>
      </x:c>
      <x:c r="I47" s="32" t="n">
        <x:v>0.84</x:v>
      </x:c>
      <x:c r="J47" s="32" t="n">
        <x:v>0.93</x:v>
      </x:c>
      <x:c r="K47" s="27" t="str">
        <x:v>Yes</x:v>
      </x:c>
      <x:c r="L47" s="36" t="n">
        <x:f>G47*H47</x:f>
        <x:v>40</x:v>
      </x:c>
      <x:c r="M47" s="36" t="n">
        <x:f>E47*G47*60</x:f>
        <x:v>2400</x:v>
      </x:c>
      <x:c r="N47" s="36" t="n">
        <x:f>M47*I47*J47</x:f>
        <x:v>1874.88</x:v>
      </x:c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</x:row>
  </x:sheetData>
  <x:pageMargins left="0.7" right="0.7" top="0.75" bottom="0.75" header="0.3" footer="0.3"/>
  <x:tableParts count="1">
    <x:tablePart xmlns:r="http://schemas.openxmlformats.org/officeDocument/2006/relationships" r:id="R2dd48a897349487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16.290000915527344" hidden="0" customWidth="1"/>
    <x:col min="3" max="3" width="12.109999656677246" hidden="0" customWidth="1"/>
    <x:col min="4" max="4" width="14" hidden="0" customWidth="1"/>
    <x:col min="5" max="5" width="17.229999542236328" hidden="0" customWidth="1"/>
    <x:col min="6" max="6" width="15.210000038146973" hidden="0" customWidth="1"/>
    <x:col min="7" max="7" width="25.170000076293945" hidden="0" customWidth="1"/>
    <x:col min="8" max="8" width="10.359999656677246" hidden="0" customWidth="1"/>
    <x:col min="9" max="9" width="8.479999542236328" hidden="0" customWidth="1"/>
    <x:col min="10" max="10" width="15.34000015258789" hidden="0" customWidth="1"/>
  </x:cols>
  <x:sheetData>
    <x:row r="1" ht="28" customHeight="1">
      <x:c r="A1" s="26" t="str">
        <x:v>lab_id</x:v>
      </x:c>
      <x:c r="B1" s="26" t="str">
        <x:v>phase_name</x:v>
      </x:c>
      <x:c r="C1" s="26" t="str">
        <x:v>line_type</x:v>
      </x:c>
      <x:c r="D1" s="26" t="str">
        <x:v>workers_total</x:v>
      </x:c>
      <x:c r="E1" s="26" t="str">
        <x:v>workers_assigned</x:v>
      </x:c>
      <x:c r="F1" s="26" t="str">
        <x:v>machines_total</x:v>
      </x:c>
      <x:c r="G1" s="26" t="str">
        <x:v>available_minutes_per_day</x:v>
      </x:c>
      <x:c r="H1" s="26" t="str">
        <x:v>efficiency</x:v>
      </x:c>
      <x:c r="I1" s="26" t="str">
        <x:v>uptime</x:v>
      </x:c>
      <x:c r="J1" s="26" t="str">
        <x:v>bottleneck_flag</x:v>
      </x:c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</x:row>
    <x:row r="2">
      <x:c r="A2" s="27" t="str">
        <x:v>L1</x:v>
      </x:c>
      <x:c r="B2" s="27" t="str">
        <x:v>adesivazione</x:v>
      </x:c>
      <x:c r="C2" s="27" t="str">
        <x:v>cutting</x:v>
      </x:c>
      <x:c r="D2" s="27" t="n">
        <x:v>5</x:v>
      </x:c>
      <x:c r="E2" s="27" t="n">
        <x:v>4</x:v>
      </x:c>
      <x:c r="F2" s="27" t="n">
        <x:v>2</x:v>
      </x:c>
      <x:c r="G2" s="36" t="n">
        <x:f>E2*8*60*H2*I2</x:f>
        <x:v>1552.128</x:v>
      </x:c>
      <x:c r="H2" s="32" t="n">
        <x:v>0.86</x:v>
      </x:c>
      <x:c r="I2" s="32" t="n">
        <x:v>0.94</x:v>
      </x:c>
      <x:c r="J2" s="27" t="str">
        <x:f>IF(G2&lt;650,"WATCH","OK")</x:f>
        <x:v>OK</x:v>
      </x:c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</x:row>
    <x:row r="3">
      <x:c r="A3" s="27" t="str">
        <x:v>L1</x:v>
      </x:c>
      <x:c r="B3" s="27" t="str">
        <x:v>applicazione elastici</x:v>
      </x:c>
      <x:c r="C3" s="27" t="str">
        <x:v>sewing</x:v>
      </x:c>
      <x:c r="D3" s="27" t="n">
        <x:v>8</x:v>
      </x:c>
      <x:c r="E3" s="27" t="n">
        <x:v>6</x:v>
      </x:c>
      <x:c r="F3" s="27" t="n">
        <x:v>5</x:v>
      </x:c>
      <x:c r="G3" s="36" t="n">
        <x:f>E3*8*60*H3*I3</x:f>
        <x:v>2328.192</x:v>
      </x:c>
      <x:c r="H3" s="32" t="n">
        <x:v>0.86</x:v>
      </x:c>
      <x:c r="I3" s="32" t="n">
        <x:v>0.94</x:v>
      </x:c>
      <x:c r="J3" s="27" t="str">
        <x:f>IF(G3&lt;650,"WATCH","OK")</x:f>
        <x:v>OK</x:v>
      </x:c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</x:row>
    <x:row r="4">
      <x:c r="A4" s="27" t="str">
        <x:v>L1</x:v>
      </x:c>
      <x:c r="B4" s="27" t="str">
        <x:v>applicazione fodera</x:v>
      </x:c>
      <x:c r="C4" s="27" t="str">
        <x:v>sewing</x:v>
      </x:c>
      <x:c r="D4" s="27" t="n">
        <x:v>9</x:v>
      </x:c>
      <x:c r="E4" s="27" t="n">
        <x:v>7</x:v>
      </x:c>
      <x:c r="F4" s="27" t="n">
        <x:v>6</x:v>
      </x:c>
      <x:c r="G4" s="36" t="n">
        <x:f>E4*8*60*H4*I4</x:f>
        <x:v>2716.2239999999997</x:v>
      </x:c>
      <x:c r="H4" s="32" t="n">
        <x:v>0.86</x:v>
      </x:c>
      <x:c r="I4" s="32" t="n">
        <x:v>0.94</x:v>
      </x:c>
      <x:c r="J4" s="27" t="str">
        <x:f>IF(G4&lt;650,"WATCH","OK")</x:f>
        <x:v>OK</x:v>
      </x:c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</x:row>
    <x:row r="5">
      <x:c r="A5" s="27" t="str">
        <x:v>L1</x:v>
      </x:c>
      <x:c r="B5" s="27" t="str">
        <x:v>applicazione zip</x:v>
      </x:c>
      <x:c r="C5" s="27" t="str">
        <x:v>sewing</x:v>
      </x:c>
      <x:c r="D5" s="27" t="n">
        <x:v>10</x:v>
      </x:c>
      <x:c r="E5" s="27" t="n">
        <x:v>8</x:v>
      </x:c>
      <x:c r="F5" s="27" t="n">
        <x:v>7</x:v>
      </x:c>
      <x:c r="G5" s="36" t="n">
        <x:f>E5*8*60*H5*I5</x:f>
        <x:v>3104.256</x:v>
      </x:c>
      <x:c r="H5" s="32" t="n">
        <x:v>0.86</x:v>
      </x:c>
      <x:c r="I5" s="32" t="n">
        <x:v>0.94</x:v>
      </x:c>
      <x:c r="J5" s="27" t="str">
        <x:f>IF(G5&lt;650,"WATCH","OK")</x:f>
        <x:v>OK</x:v>
      </x:c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</x:row>
    <x:row r="6">
      <x:c r="A6" s="27" t="str">
        <x:v>L1</x:v>
      </x:c>
      <x:c r="B6" s="27" t="str">
        <x:v>asolatura/bottoni</x:v>
      </x:c>
      <x:c r="C6" s="27" t="str">
        <x:v>sewing</x:v>
      </x:c>
      <x:c r="D6" s="27" t="n">
        <x:v>11</x:v>
      </x:c>
      <x:c r="E6" s="27" t="n">
        <x:v>9</x:v>
      </x:c>
      <x:c r="F6" s="27" t="n">
        <x:v>8</x:v>
      </x:c>
      <x:c r="G6" s="36" t="n">
        <x:f>E6*8*60*H6*I6</x:f>
        <x:v>3492.2879999999996</x:v>
      </x:c>
      <x:c r="H6" s="32" t="n">
        <x:v>0.86</x:v>
      </x:c>
      <x:c r="I6" s="32" t="n">
        <x:v>0.94</x:v>
      </x:c>
      <x:c r="J6" s="27" t="str">
        <x:f>IF(G6&lt;650,"WATCH","OK")</x:f>
        <x:v>OK</x:v>
      </x:c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</x:row>
    <x:row r="7">
      <x:c r="A7" s="27" t="str">
        <x:v>L1</x:v>
      </x:c>
      <x:c r="B7" s="27" t="str">
        <x:v>assemblaggio</x:v>
      </x:c>
      <x:c r="C7" s="27" t="str">
        <x:v>sewing</x:v>
      </x:c>
      <x:c r="D7" s="27" t="n">
        <x:v>12</x:v>
      </x:c>
      <x:c r="E7" s="27" t="n">
        <x:v>10</x:v>
      </x:c>
      <x:c r="F7" s="27" t="n">
        <x:v>9</x:v>
      </x:c>
      <x:c r="G7" s="36" t="n">
        <x:f>E7*8*60*H7*I7</x:f>
        <x:v>3880.3199999999997</x:v>
      </x:c>
      <x:c r="H7" s="32" t="n">
        <x:v>0.86</x:v>
      </x:c>
      <x:c r="I7" s="32" t="n">
        <x:v>0.94</x:v>
      </x:c>
      <x:c r="J7" s="27" t="str">
        <x:f>IF(G7&lt;650,"WATCH","OK")</x:f>
        <x:v>OK</x:v>
      </x:c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</x:row>
    <x:row r="8">
      <x:c r="A8" s="27" t="str">
        <x:v>L1</x:v>
      </x:c>
      <x:c r="B8" s="27" t="str">
        <x:v>assemblaggio busto</x:v>
      </x:c>
      <x:c r="C8" s="27" t="str">
        <x:v>sewing</x:v>
      </x:c>
      <x:c r="D8" s="27" t="n">
        <x:v>13</x:v>
      </x:c>
      <x:c r="E8" s="27" t="n">
        <x:v>5</x:v>
      </x:c>
      <x:c r="F8" s="27" t="n">
        <x:v>4</x:v>
      </x:c>
      <x:c r="G8" s="36" t="n">
        <x:f>E8*8*60*H8*I8</x:f>
        <x:v>1940.1599999999999</x:v>
      </x:c>
      <x:c r="H8" s="32" t="n">
        <x:v>0.86</x:v>
      </x:c>
      <x:c r="I8" s="32" t="n">
        <x:v>0.94</x:v>
      </x:c>
      <x:c r="J8" s="27" t="str">
        <x:f>IF(G8&lt;650,"WATCH","OK")</x:f>
        <x:v>OK</x:v>
      </x:c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</x:row>
    <x:row r="9">
      <x:c r="A9" s="27" t="str">
        <x:v>L1</x:v>
      </x:c>
      <x:c r="B9" s="27" t="str">
        <x:v>bottoni automatici</x:v>
      </x:c>
      <x:c r="C9" s="27" t="str">
        <x:v>sewing</x:v>
      </x:c>
      <x:c r="D9" s="27" t="n">
        <x:v>7</x:v>
      </x:c>
      <x:c r="E9" s="27" t="n">
        <x:v>6</x:v>
      </x:c>
      <x:c r="F9" s="27" t="n">
        <x:v>5</x:v>
      </x:c>
      <x:c r="G9" s="36" t="n">
        <x:f>E9*8*60*H9*I9</x:f>
        <x:v>2328.192</x:v>
      </x:c>
      <x:c r="H9" s="32" t="n">
        <x:v>0.86</x:v>
      </x:c>
      <x:c r="I9" s="32" t="n">
        <x:v>0.94</x:v>
      </x:c>
      <x:c r="J9" s="27" t="str">
        <x:f>IF(G9&lt;650,"WATCH","OK")</x:f>
        <x:v>OK</x:v>
      </x:c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</x:row>
    <x:row r="10">
      <x:c r="A10" s="27" t="str">
        <x:v>L1</x:v>
      </x:c>
      <x:c r="B10" s="27" t="str">
        <x:v>cappuccio/collo</x:v>
      </x:c>
      <x:c r="C10" s="27" t="str">
        <x:v>sewing</x:v>
      </x:c>
      <x:c r="D10" s="27" t="n">
        <x:v>8</x:v>
      </x:c>
      <x:c r="E10" s="27" t="n">
        <x:v>7</x:v>
      </x:c>
      <x:c r="F10" s="27" t="n">
        <x:v>6</x:v>
      </x:c>
      <x:c r="G10" s="36" t="n">
        <x:f>E10*8*60*H10*I10</x:f>
        <x:v>2716.2239999999997</x:v>
      </x:c>
      <x:c r="H10" s="32" t="n">
        <x:v>0.86</x:v>
      </x:c>
      <x:c r="I10" s="32" t="n">
        <x:v>0.94</x:v>
      </x:c>
      <x:c r="J10" s="27" t="str">
        <x:f>IF(G10&lt;650,"WATCH","OK")</x:f>
        <x:v>OK</x:v>
      </x:c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</x:row>
    <x:row r="11">
      <x:c r="A11" s="27" t="str">
        <x:v>L1</x:v>
      </x:c>
      <x:c r="B11" s="27" t="str">
        <x:v>cintura</x:v>
      </x:c>
      <x:c r="C11" s="27" t="str">
        <x:v>sewing</x:v>
      </x:c>
      <x:c r="D11" s="27" t="n">
        <x:v>9</x:v>
      </x:c>
      <x:c r="E11" s="27" t="n">
        <x:v>8</x:v>
      </x:c>
      <x:c r="F11" s="27" t="n">
        <x:v>7</x:v>
      </x:c>
      <x:c r="G11" s="36" t="n">
        <x:f>E11*8*60*H11*I11</x:f>
        <x:v>3104.256</x:v>
      </x:c>
      <x:c r="H11" s="32" t="n">
        <x:v>0.86</x:v>
      </x:c>
      <x:c r="I11" s="32" t="n">
        <x:v>0.94</x:v>
      </x:c>
      <x:c r="J11" s="27" t="str">
        <x:f>IF(G11&lt;650,"WATCH","OK")</x:f>
        <x:v>OK</x:v>
      </x:c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</x:row>
    <x:row r="12">
      <x:c r="A12" s="27" t="str">
        <x:v>L1</x:v>
      </x:c>
      <x:c r="B12" s="27" t="str">
        <x:v>collo</x:v>
      </x:c>
      <x:c r="C12" s="27" t="str">
        <x:v>sewing</x:v>
      </x:c>
      <x:c r="D12" s="27" t="n">
        <x:v>10</x:v>
      </x:c>
      <x:c r="E12" s="27" t="n">
        <x:v>9</x:v>
      </x:c>
      <x:c r="F12" s="27" t="n">
        <x:v>8</x:v>
      </x:c>
      <x:c r="G12" s="36" t="n">
        <x:f>E12*8*60*H12*I12</x:f>
        <x:v>3492.2879999999996</x:v>
      </x:c>
      <x:c r="H12" s="32" t="n">
        <x:v>0.86</x:v>
      </x:c>
      <x:c r="I12" s="32" t="n">
        <x:v>0.94</x:v>
      </x:c>
      <x:c r="J12" s="27" t="str">
        <x:f>IF(G12&lt;650,"WATCH","OK")</x:f>
        <x:v>OK</x:v>
      </x:c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</x:row>
    <x:row r="13">
      <x:c r="A13" s="27" t="str">
        <x:v>L1</x:v>
      </x:c>
      <x:c r="B13" s="27" t="str">
        <x:v>collo e polsi</x:v>
      </x:c>
      <x:c r="C13" s="27" t="str">
        <x:v>sewing</x:v>
      </x:c>
      <x:c r="D13" s="27" t="n">
        <x:v>11</x:v>
      </x:c>
      <x:c r="E13" s="27" t="n">
        <x:v>10</x:v>
      </x:c>
      <x:c r="F13" s="27" t="n">
        <x:v>9</x:v>
      </x:c>
      <x:c r="G13" s="36" t="n">
        <x:f>E13*8*60*H13*I13</x:f>
        <x:v>3880.3199999999997</x:v>
      </x:c>
      <x:c r="H13" s="32" t="n">
        <x:v>0.86</x:v>
      </x:c>
      <x:c r="I13" s="32" t="n">
        <x:v>0.94</x:v>
      </x:c>
      <x:c r="J13" s="27" t="str">
        <x:f>IF(G13&lt;650,"WATCH","OK")</x:f>
        <x:v>OK</x:v>
      </x:c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</x:row>
    <x:row r="14">
      <x:c r="A14" s="27" t="str">
        <x:v>L1</x:v>
      </x:c>
      <x:c r="B14" s="27" t="str">
        <x:v>confezione capo</x:v>
      </x:c>
      <x:c r="C14" s="27" t="str">
        <x:v>sewing</x:v>
      </x:c>
      <x:c r="D14" s="27" t="n">
        <x:v>12</x:v>
      </x:c>
      <x:c r="E14" s="27" t="n">
        <x:v>5</x:v>
      </x:c>
      <x:c r="F14" s="27" t="n">
        <x:v>4</x:v>
      </x:c>
      <x:c r="G14" s="36" t="n">
        <x:f>E14*8*60*H14*I14</x:f>
        <x:v>1940.1599999999999</x:v>
      </x:c>
      <x:c r="H14" s="32" t="n">
        <x:v>0.86</x:v>
      </x:c>
      <x:c r="I14" s="32" t="n">
        <x:v>0.94</x:v>
      </x:c>
      <x:c r="J14" s="27" t="str">
        <x:f>IF(G14&lt;650,"WATCH","OK")</x:f>
        <x:v>OK</x:v>
      </x:c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</x:row>
    <x:row r="15">
      <x:c r="A15" s="27" t="str">
        <x:v>L1</x:v>
      </x:c>
      <x:c r="B15" s="27" t="str">
        <x:v>confezione corpino</x:v>
      </x:c>
      <x:c r="C15" s="27" t="str">
        <x:v>sewing</x:v>
      </x:c>
      <x:c r="D15" s="27" t="n">
        <x:v>13</x:v>
      </x:c>
      <x:c r="E15" s="27" t="n">
        <x:v>6</x:v>
      </x:c>
      <x:c r="F15" s="27" t="n">
        <x:v>5</x:v>
      </x:c>
      <x:c r="G15" s="36" t="n">
        <x:f>E15*8*60*H15*I15</x:f>
        <x:v>2328.192</x:v>
      </x:c>
      <x:c r="H15" s="32" t="n">
        <x:v>0.86</x:v>
      </x:c>
      <x:c r="I15" s="32" t="n">
        <x:v>0.94</x:v>
      </x:c>
      <x:c r="J15" s="27" t="str">
        <x:f>IF(G15&lt;650,"WATCH","OK")</x:f>
        <x:v>OK</x:v>
      </x:c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</x:row>
    <x:row r="16">
      <x:c r="A16" s="27" t="str">
        <x:v>L1</x:v>
      </x:c>
      <x:c r="B16" s="27" t="str">
        <x:v>confezione gonna</x:v>
      </x:c>
      <x:c r="C16" s="27" t="str">
        <x:v>sewing</x:v>
      </x:c>
      <x:c r="D16" s="27" t="n">
        <x:v>7</x:v>
      </x:c>
      <x:c r="E16" s="27" t="n">
        <x:v>7</x:v>
      </x:c>
      <x:c r="F16" s="27" t="n">
        <x:v>6</x:v>
      </x:c>
      <x:c r="G16" s="36" t="n">
        <x:f>E16*8*60*H16*I16</x:f>
        <x:v>2716.2239999999997</x:v>
      </x:c>
      <x:c r="H16" s="32" t="n">
        <x:v>0.86</x:v>
      </x:c>
      <x:c r="I16" s="32" t="n">
        <x:v>0.94</x:v>
      </x:c>
      <x:c r="J16" s="27" t="str">
        <x:f>IF(G16&lt;650,"WATCH","OK")</x:f>
        <x:v>OK</x:v>
      </x:c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</x:row>
    <x:row r="17">
      <x:c r="A17" s="27" t="str">
        <x:v>L1</x:v>
      </x:c>
      <x:c r="B17" s="27" t="str">
        <x:v>controllo qualità</x:v>
      </x:c>
      <x:c r="C17" s="27" t="str">
        <x:v>quality_control</x:v>
      </x:c>
      <x:c r="D17" s="27" t="n">
        <x:v>7</x:v>
      </x:c>
      <x:c r="E17" s="27" t="n">
        <x:v>3</x:v>
      </x:c>
      <x:c r="F17" s="27" t="n">
        <x:v>0</x:v>
      </x:c>
      <x:c r="G17" s="36" t="n">
        <x:f>E17*8*60*H17*I17</x:f>
        <x:v>1164.096</x:v>
      </x:c>
      <x:c r="H17" s="32" t="n">
        <x:v>0.86</x:v>
      </x:c>
      <x:c r="I17" s="32" t="n">
        <x:v>0.94</x:v>
      </x:c>
      <x:c r="J17" s="27" t="str">
        <x:f>IF(G17&lt;650,"WATCH","OK")</x:f>
        <x:v>OK</x:v>
      </x:c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</x:row>
    <x:row r="18">
      <x:c r="A18" s="27" t="str">
        <x:v>L1</x:v>
      </x:c>
      <x:c r="B18" s="27" t="str">
        <x:v>coppe</x:v>
      </x:c>
      <x:c r="C18" s="27" t="str">
        <x:v>sewing</x:v>
      </x:c>
      <x:c r="D18" s="27" t="n">
        <x:v>9</x:v>
      </x:c>
      <x:c r="E18" s="27" t="n">
        <x:v>9</x:v>
      </x:c>
      <x:c r="F18" s="27" t="n">
        <x:v>8</x:v>
      </x:c>
      <x:c r="G18" s="36" t="n">
        <x:f>E18*8*60*H18*I18</x:f>
        <x:v>3492.2879999999996</x:v>
      </x:c>
      <x:c r="H18" s="32" t="n">
        <x:v>0.86</x:v>
      </x:c>
      <x:c r="I18" s="32" t="n">
        <x:v>0.94</x:v>
      </x:c>
      <x:c r="J18" s="27" t="str">
        <x:f>IF(G18&lt;650,"WATCH","OK")</x:f>
        <x:v>OK</x:v>
      </x:c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</x:row>
    <x:row r="19">
      <x:c r="A19" s="27" t="str">
        <x:v>L1</x:v>
      </x:c>
      <x:c r="B19" s="27" t="str">
        <x:v>costruzione davanti</x:v>
      </x:c>
      <x:c r="C19" s="27" t="str">
        <x:v>sewing</x:v>
      </x:c>
      <x:c r="D19" s="27" t="n">
        <x:v>10</x:v>
      </x:c>
      <x:c r="E19" s="27" t="n">
        <x:v>10</x:v>
      </x:c>
      <x:c r="F19" s="27" t="n">
        <x:v>9</x:v>
      </x:c>
      <x:c r="G19" s="36" t="n">
        <x:f>E19*8*60*H19*I19</x:f>
        <x:v>3880.3199999999997</x:v>
      </x:c>
      <x:c r="H19" s="32" t="n">
        <x:v>0.86</x:v>
      </x:c>
      <x:c r="I19" s="32" t="n">
        <x:v>0.94</x:v>
      </x:c>
      <x:c r="J19" s="27" t="str">
        <x:f>IF(G19&lt;650,"WATCH","OK")</x:f>
        <x:v>OK</x:v>
      </x:c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</x:row>
    <x:row r="20">
      <x:c r="A20" s="27" t="str">
        <x:v>L1</x:v>
      </x:c>
      <x:c r="B20" s="27" t="str">
        <x:v>cuciture spalle</x:v>
      </x:c>
      <x:c r="C20" s="27" t="str">
        <x:v>sewing</x:v>
      </x:c>
      <x:c r="D20" s="27" t="n">
        <x:v>11</x:v>
      </x:c>
      <x:c r="E20" s="27" t="n">
        <x:v>5</x:v>
      </x:c>
      <x:c r="F20" s="27" t="n">
        <x:v>4</x:v>
      </x:c>
      <x:c r="G20" s="36" t="n">
        <x:f>E20*8*60*H20*I20</x:f>
        <x:v>1940.1599999999999</x:v>
      </x:c>
      <x:c r="H20" s="32" t="n">
        <x:v>0.86</x:v>
      </x:c>
      <x:c r="I20" s="32" t="n">
        <x:v>0.94</x:v>
      </x:c>
      <x:c r="J20" s="27" t="str">
        <x:f>IF(G20&lt;650,"WATCH","OK")</x:f>
        <x:v>OK</x:v>
      </x:c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</x:row>
    <x:row r="21">
      <x:c r="A21" s="27" t="str">
        <x:v>L1</x:v>
      </x:c>
      <x:c r="B21" s="27" t="str">
        <x:v>cuciture tasche</x:v>
      </x:c>
      <x:c r="C21" s="27" t="str">
        <x:v>sewing</x:v>
      </x:c>
      <x:c r="D21" s="27" t="n">
        <x:v>12</x:v>
      </x:c>
      <x:c r="E21" s="27" t="n">
        <x:v>6</x:v>
      </x:c>
      <x:c r="F21" s="27" t="n">
        <x:v>5</x:v>
      </x:c>
      <x:c r="G21" s="36" t="n">
        <x:f>E21*8*60*H21*I21</x:f>
        <x:v>2328.192</x:v>
      </x:c>
      <x:c r="H21" s="32" t="n">
        <x:v>0.86</x:v>
      </x:c>
      <x:c r="I21" s="32" t="n">
        <x:v>0.94</x:v>
      </x:c>
      <x:c r="J21" s="27" t="str">
        <x:f>IF(G21&lt;650,"WATCH","OK")</x:f>
        <x:v>OK</x:v>
      </x:c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</x:row>
    <x:row r="22">
      <x:c r="A22" s="27" t="str">
        <x:v>L1</x:v>
      </x:c>
      <x:c r="B22" s="27" t="str">
        <x:v>elastici</x:v>
      </x:c>
      <x:c r="C22" s="27" t="str">
        <x:v>sewing</x:v>
      </x:c>
      <x:c r="D22" s="27" t="n">
        <x:v>13</x:v>
      </x:c>
      <x:c r="E22" s="27" t="n">
        <x:v>7</x:v>
      </x:c>
      <x:c r="F22" s="27" t="n">
        <x:v>6</x:v>
      </x:c>
      <x:c r="G22" s="36" t="n">
        <x:f>E22*8*60*H22*I22</x:f>
        <x:v>2716.2239999999997</x:v>
      </x:c>
      <x:c r="H22" s="32" t="n">
        <x:v>0.86</x:v>
      </x:c>
      <x:c r="I22" s="32" t="n">
        <x:v>0.94</x:v>
      </x:c>
      <x:c r="J22" s="27" t="str">
        <x:f>IF(G22&lt;650,"WATCH","OK")</x:f>
        <x:v>OK</x:v>
      </x:c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</x:row>
    <x:row r="23">
      <x:c r="A23" s="27" t="str">
        <x:v>L1</x:v>
      </x:c>
      <x:c r="B23" s="27" t="str">
        <x:v>elastici e spalline</x:v>
      </x:c>
      <x:c r="C23" s="27" t="str">
        <x:v>sewing</x:v>
      </x:c>
      <x:c r="D23" s="27" t="n">
        <x:v>7</x:v>
      </x:c>
      <x:c r="E23" s="27" t="n">
        <x:v>7</x:v>
      </x:c>
      <x:c r="F23" s="27" t="n">
        <x:v>6</x:v>
      </x:c>
      <x:c r="G23" s="36" t="n">
        <x:f>E23*8*60*H23*I23</x:f>
        <x:v>2716.2239999999997</x:v>
      </x:c>
      <x:c r="H23" s="32" t="n">
        <x:v>0.86</x:v>
      </x:c>
      <x:c r="I23" s="32" t="n">
        <x:v>0.94</x:v>
      </x:c>
      <x:c r="J23" s="27" t="str">
        <x:f>IF(G23&lt;650,"WATCH","OK")</x:f>
        <x:v>OK</x:v>
      </x:c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</x:row>
    <x:row r="24">
      <x:c r="A24" s="27" t="str">
        <x:v>L1</x:v>
      </x:c>
      <x:c r="B24" s="27" t="str">
        <x:v>elastici/finizioni</x:v>
      </x:c>
      <x:c r="C24" s="27" t="str">
        <x:v>sewing</x:v>
      </x:c>
      <x:c r="D24" s="27" t="n">
        <x:v>8</x:v>
      </x:c>
      <x:c r="E24" s="27" t="n">
        <x:v>8</x:v>
      </x:c>
      <x:c r="F24" s="27" t="n">
        <x:v>7</x:v>
      </x:c>
      <x:c r="G24" s="36" t="n">
        <x:f>E24*8*60*H24*I24</x:f>
        <x:v>3104.256</x:v>
      </x:c>
      <x:c r="H24" s="32" t="n">
        <x:v>0.86</x:v>
      </x:c>
      <x:c r="I24" s="32" t="n">
        <x:v>0.94</x:v>
      </x:c>
      <x:c r="J24" s="27" t="str">
        <x:f>IF(G24&lt;650,"WATCH","OK")</x:f>
        <x:v>OK</x:v>
      </x:c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</x:row>
    <x:row r="25">
      <x:c r="A25" s="27" t="str">
        <x:v>L1</x:v>
      </x:c>
      <x:c r="B25" s="27" t="str">
        <x:v>elastico vita</x:v>
      </x:c>
      <x:c r="C25" s="27" t="str">
        <x:v>sewing</x:v>
      </x:c>
      <x:c r="D25" s="27" t="n">
        <x:v>9</x:v>
      </x:c>
      <x:c r="E25" s="27" t="n">
        <x:v>9</x:v>
      </x:c>
      <x:c r="F25" s="27" t="n">
        <x:v>8</x:v>
      </x:c>
      <x:c r="G25" s="36" t="n">
        <x:f>E25*8*60*H25*I25</x:f>
        <x:v>3492.2879999999996</x:v>
      </x:c>
      <x:c r="H25" s="32" t="n">
        <x:v>0.86</x:v>
      </x:c>
      <x:c r="I25" s="32" t="n">
        <x:v>0.94</x:v>
      </x:c>
      <x:c r="J25" s="27" t="str">
        <x:f>IF(G25&lt;650,"WATCH","OK")</x:f>
        <x:v>OK</x:v>
      </x:c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</x:row>
    <x:row r="26">
      <x:c r="A26" s="27" t="str">
        <x:v>L1</x:v>
      </x:c>
      <x:c r="B26" s="27" t="str">
        <x:v>ganci e rifiniture</x:v>
      </x:c>
      <x:c r="C26" s="27" t="str">
        <x:v>sewing</x:v>
      </x:c>
      <x:c r="D26" s="27" t="n">
        <x:v>10</x:v>
      </x:c>
      <x:c r="E26" s="27" t="n">
        <x:v>5</x:v>
      </x:c>
      <x:c r="F26" s="27" t="n">
        <x:v>4</x:v>
      </x:c>
      <x:c r="G26" s="36" t="n">
        <x:f>E26*8*60*H26*I26</x:f>
        <x:v>1940.1599999999999</x:v>
      </x:c>
      <x:c r="H26" s="32" t="n">
        <x:v>0.86</x:v>
      </x:c>
      <x:c r="I26" s="32" t="n">
        <x:v>0.94</x:v>
      </x:c>
      <x:c r="J26" s="27" t="str">
        <x:f>IF(G26&lt;650,"WATCH","OK")</x:f>
        <x:v>OK</x:v>
      </x:c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</x:row>
    <x:row r="27">
      <x:c r="A27" s="27" t="str">
        <x:v>L1</x:v>
      </x:c>
      <x:c r="B27" s="27" t="str">
        <x:v>imbastitura</x:v>
      </x:c>
      <x:c r="C27" s="27" t="str">
        <x:v>sewing</x:v>
      </x:c>
      <x:c r="D27" s="27" t="n">
        <x:v>11</x:v>
      </x:c>
      <x:c r="E27" s="27" t="n">
        <x:v>6</x:v>
      </x:c>
      <x:c r="F27" s="27" t="n">
        <x:v>5</x:v>
      </x:c>
      <x:c r="G27" s="36" t="n">
        <x:f>E27*8*60*H27*I27</x:f>
        <x:v>2328.192</x:v>
      </x:c>
      <x:c r="H27" s="32" t="n">
        <x:v>0.86</x:v>
      </x:c>
      <x:c r="I27" s="32" t="n">
        <x:v>0.94</x:v>
      </x:c>
      <x:c r="J27" s="27" t="str">
        <x:f>IF(G27&lt;650,"WATCH","OK")</x:f>
        <x:v>OK</x:v>
      </x:c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</x:row>
    <x:row r="28">
      <x:c r="A28" s="27" t="str">
        <x:v>L1</x:v>
      </x:c>
      <x:c r="B28" s="27" t="str">
        <x:v>maniche</x:v>
      </x:c>
      <x:c r="C28" s="27" t="str">
        <x:v>sewing</x:v>
      </x:c>
      <x:c r="D28" s="27" t="n">
        <x:v>12</x:v>
      </x:c>
      <x:c r="E28" s="27" t="n">
        <x:v>7</x:v>
      </x:c>
      <x:c r="F28" s="27" t="n">
        <x:v>6</x:v>
      </x:c>
      <x:c r="G28" s="36" t="n">
        <x:f>E28*8*60*H28*I28</x:f>
        <x:v>2716.2239999999997</x:v>
      </x:c>
      <x:c r="H28" s="32" t="n">
        <x:v>0.86</x:v>
      </x:c>
      <x:c r="I28" s="32" t="n">
        <x:v>0.94</x:v>
      </x:c>
      <x:c r="J28" s="27" t="str">
        <x:f>IF(G28&lt;650,"WATCH","OK")</x:f>
        <x:v>OK</x:v>
      </x:c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</x:row>
    <x:row r="29">
      <x:c r="A29" s="27" t="str">
        <x:v>L1</x:v>
      </x:c>
      <x:c r="B29" s="27" t="str">
        <x:v>orlo</x:v>
      </x:c>
      <x:c r="C29" s="27" t="str">
        <x:v>sewing</x:v>
      </x:c>
      <x:c r="D29" s="27" t="n">
        <x:v>13</x:v>
      </x:c>
      <x:c r="E29" s="27" t="n">
        <x:v>8</x:v>
      </x:c>
      <x:c r="F29" s="27" t="n">
        <x:v>7</x:v>
      </x:c>
      <x:c r="G29" s="36" t="n">
        <x:f>E29*8*60*H29*I29</x:f>
        <x:v>3104.256</x:v>
      </x:c>
      <x:c r="H29" s="32" t="n">
        <x:v>0.86</x:v>
      </x:c>
      <x:c r="I29" s="32" t="n">
        <x:v>0.94</x:v>
      </x:c>
      <x:c r="J29" s="27" t="str">
        <x:f>IF(G29&lt;650,"WATCH","OK")</x:f>
        <x:v>OK</x:v>
      </x:c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</x:row>
    <x:row r="30">
      <x:c r="A30" s="27" t="str">
        <x:v>L1</x:v>
      </x:c>
      <x:c r="B30" s="27" t="str">
        <x:v>orlo e rifiniture</x:v>
      </x:c>
      <x:c r="C30" s="27" t="str">
        <x:v>sewing</x:v>
      </x:c>
      <x:c r="D30" s="27" t="n">
        <x:v>7</x:v>
      </x:c>
      <x:c r="E30" s="27" t="n">
        <x:v>7</x:v>
      </x:c>
      <x:c r="F30" s="27" t="n">
        <x:v>6</x:v>
      </x:c>
      <x:c r="G30" s="36" t="n">
        <x:f>E30*8*60*H30*I30</x:f>
        <x:v>2716.2239999999997</x:v>
      </x:c>
      <x:c r="H30" s="32" t="n">
        <x:v>0.86</x:v>
      </x:c>
      <x:c r="I30" s="32" t="n">
        <x:v>0.94</x:v>
      </x:c>
      <x:c r="J30" s="27" t="str">
        <x:f>IF(G30&lt;650,"WATCH","OK")</x:f>
        <x:v>OK</x:v>
      </x:c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</x:row>
    <x:row r="31">
      <x:c r="A31" s="27" t="str">
        <x:v>L1</x:v>
      </x:c>
      <x:c r="B31" s="27" t="str">
        <x:v>packing</x:v>
      </x:c>
      <x:c r="C31" s="27" t="str">
        <x:v>finishing</x:v>
      </x:c>
      <x:c r="D31" s="27" t="n">
        <x:v>10</x:v>
      </x:c>
      <x:c r="E31" s="27" t="n">
        <x:v>5</x:v>
      </x:c>
      <x:c r="F31" s="27" t="n">
        <x:v>3</x:v>
      </x:c>
      <x:c r="G31" s="36" t="n">
        <x:f>E31*8*60*H31*I31</x:f>
        <x:v>1940.1599999999999</x:v>
      </x:c>
      <x:c r="H31" s="32" t="n">
        <x:v>0.86</x:v>
      </x:c>
      <x:c r="I31" s="32" t="n">
        <x:v>0.94</x:v>
      </x:c>
      <x:c r="J31" s="27" t="str">
        <x:f>IF(G31&lt;650,"WATCH","OK")</x:f>
        <x:v>OK</x:v>
      </x:c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</x:row>
    <x:row r="32">
      <x:c r="A32" s="27" t="str">
        <x:v>L1</x:v>
      </x:c>
      <x:c r="B32" s="27" t="str">
        <x:v>polsi e fondo</x:v>
      </x:c>
      <x:c r="C32" s="27" t="str">
        <x:v>sewing</x:v>
      </x:c>
      <x:c r="D32" s="27" t="n">
        <x:v>9</x:v>
      </x:c>
      <x:c r="E32" s="27" t="n">
        <x:v>5</x:v>
      </x:c>
      <x:c r="F32" s="27" t="n">
        <x:v>4</x:v>
      </x:c>
      <x:c r="G32" s="36" t="n">
        <x:f>E32*8*60*H32*I32</x:f>
        <x:v>1940.1599999999999</x:v>
      </x:c>
      <x:c r="H32" s="32" t="n">
        <x:v>0.86</x:v>
      </x:c>
      <x:c r="I32" s="32" t="n">
        <x:v>0.94</x:v>
      </x:c>
      <x:c r="J32" s="27" t="str">
        <x:f>IF(G32&lt;650,"WATCH","OK")</x:f>
        <x:v>OK</x:v>
      </x:c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</x:row>
    <x:row r="33">
      <x:c r="A33" s="27" t="str">
        <x:v>L1</x:v>
      </x:c>
      <x:c r="B33" s="27" t="str">
        <x:v>spalle e fianchi</x:v>
      </x:c>
      <x:c r="C33" s="27" t="str">
        <x:v>sewing</x:v>
      </x:c>
      <x:c r="D33" s="27" t="n">
        <x:v>10</x:v>
      </x:c>
      <x:c r="E33" s="27" t="n">
        <x:v>6</x:v>
      </x:c>
      <x:c r="F33" s="27" t="n">
        <x:v>5</x:v>
      </x:c>
      <x:c r="G33" s="36" t="n">
        <x:f>E33*8*60*H33*I33</x:f>
        <x:v>2328.192</x:v>
      </x:c>
      <x:c r="H33" s="32" t="n">
        <x:v>0.86</x:v>
      </x:c>
      <x:c r="I33" s="32" t="n">
        <x:v>0.94</x:v>
      </x:c>
      <x:c r="J33" s="27" t="str">
        <x:f>IF(G33&lt;650,"WATCH","OK")</x:f>
        <x:v>OK</x:v>
      </x:c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</x:row>
    <x:row r="34">
      <x:c r="A34" s="27" t="str">
        <x:v>L1</x:v>
      </x:c>
      <x:c r="B34" s="27" t="str">
        <x:v>stiro finale</x:v>
      </x:c>
      <x:c r="C34" s="27" t="str">
        <x:v>finishing</x:v>
      </x:c>
      <x:c r="D34" s="27" t="n">
        <x:v>8</x:v>
      </x:c>
      <x:c r="E34" s="27" t="n">
        <x:v>4</x:v>
      </x:c>
      <x:c r="F34" s="27" t="n">
        <x:v>2</x:v>
      </x:c>
      <x:c r="G34" s="36" t="n">
        <x:f>E34*8*60*H34*I34</x:f>
        <x:v>1552.128</x:v>
      </x:c>
      <x:c r="H34" s="32" t="n">
        <x:v>0.86</x:v>
      </x:c>
      <x:c r="I34" s="32" t="n">
        <x:v>0.94</x:v>
      </x:c>
      <x:c r="J34" s="27" t="str">
        <x:f>IF(G34&lt;650,"WATCH","OK")</x:f>
        <x:v>OK</x:v>
      </x:c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</x:row>
    <x:row r="35">
      <x:c r="A35" s="27" t="str">
        <x:v>L1</x:v>
      </x:c>
      <x:c r="B35" s="27" t="str">
        <x:v>stiro intermedio</x:v>
      </x:c>
      <x:c r="C35" s="27" t="str">
        <x:v>finishing</x:v>
      </x:c>
      <x:c r="D35" s="27" t="n">
        <x:v>9</x:v>
      </x:c>
      <x:c r="E35" s="27" t="n">
        <x:v>5</x:v>
      </x:c>
      <x:c r="F35" s="27" t="n">
        <x:v>3</x:v>
      </x:c>
      <x:c r="G35" s="36" t="n">
        <x:f>E35*8*60*H35*I35</x:f>
        <x:v>1940.1599999999999</x:v>
      </x:c>
      <x:c r="H35" s="32" t="n">
        <x:v>0.86</x:v>
      </x:c>
      <x:c r="I35" s="32" t="n">
        <x:v>0.94</x:v>
      </x:c>
      <x:c r="J35" s="27" t="str">
        <x:f>IF(G35&lt;650,"WATCH","OK")</x:f>
        <x:v>OK</x:v>
      </x:c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</x:row>
    <x:row r="36">
      <x:c r="A36" s="27" t="str">
        <x:v>L1</x:v>
      </x:c>
      <x:c r="B36" s="27" t="str">
        <x:v>stiro/packing</x:v>
      </x:c>
      <x:c r="C36" s="27" t="str">
        <x:v>finishing</x:v>
      </x:c>
      <x:c r="D36" s="27" t="n">
        <x:v>10</x:v>
      </x:c>
      <x:c r="E36" s="27" t="n">
        <x:v>6</x:v>
      </x:c>
      <x:c r="F36" s="27" t="n">
        <x:v>4</x:v>
      </x:c>
      <x:c r="G36" s="36" t="n">
        <x:f>E36*8*60*H36*I36</x:f>
        <x:v>2328.192</x:v>
      </x:c>
      <x:c r="H36" s="32" t="n">
        <x:v>0.86</x:v>
      </x:c>
      <x:c r="I36" s="32" t="n">
        <x:v>0.94</x:v>
      </x:c>
      <x:c r="J36" s="27" t="str">
        <x:f>IF(G36&lt;650,"WATCH","OK")</x:f>
        <x:v>OK</x:v>
      </x:c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</x:row>
    <x:row r="37">
      <x:c r="A37" s="27" t="str">
        <x:v>L1</x:v>
      </x:c>
      <x:c r="B37" s="27" t="str">
        <x:v>taglio tessuto</x:v>
      </x:c>
      <x:c r="C37" s="27" t="str">
        <x:v>cutting</x:v>
      </x:c>
      <x:c r="D37" s="27" t="n">
        <x:v>8</x:v>
      </x:c>
      <x:c r="E37" s="27" t="n">
        <x:v>6</x:v>
      </x:c>
      <x:c r="F37" s="27" t="n">
        <x:v>4</x:v>
      </x:c>
      <x:c r="G37" s="36" t="n">
        <x:f>E37*8*60*H37*I37</x:f>
        <x:v>2328.192</x:v>
      </x:c>
      <x:c r="H37" s="32" t="n">
        <x:v>0.86</x:v>
      </x:c>
      <x:c r="I37" s="32" t="n">
        <x:v>0.94</x:v>
      </x:c>
      <x:c r="J37" s="27" t="str">
        <x:f>IF(G37&lt;650,"WATCH","OK")</x:f>
        <x:v>OK</x:v>
      </x:c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</x:row>
    <x:row r="38">
      <x:c r="A38" s="27" t="str">
        <x:v>L1</x:v>
      </x:c>
      <x:c r="B38" s="27" t="str">
        <x:v>tasche</x:v>
      </x:c>
      <x:c r="C38" s="27" t="str">
        <x:v>sewing</x:v>
      </x:c>
      <x:c r="D38" s="27" t="n">
        <x:v>8</x:v>
      </x:c>
      <x:c r="E38" s="27" t="n">
        <x:v>5</x:v>
      </x:c>
      <x:c r="F38" s="27" t="n">
        <x:v>4</x:v>
      </x:c>
      <x:c r="G38" s="36" t="n">
        <x:f>E38*8*60*H38*I38</x:f>
        <x:v>1940.1599999999999</x:v>
      </x:c>
      <x:c r="H38" s="32" t="n">
        <x:v>0.86</x:v>
      </x:c>
      <x:c r="I38" s="32" t="n">
        <x:v>0.94</x:v>
      </x:c>
      <x:c r="J38" s="27" t="str">
        <x:f>IF(G38&lt;650,"WATCH","OK")</x:f>
        <x:v>OK</x:v>
      </x:c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</x:row>
    <x:row r="39">
      <x:c r="A39" s="27" t="str">
        <x:v>L2</x:v>
      </x:c>
      <x:c r="B39" s="27" t="str">
        <x:v>adesivazione</x:v>
      </x:c>
      <x:c r="C39" s="27" t="str">
        <x:v>cutting</x:v>
      </x:c>
      <x:c r="D39" s="27" t="n">
        <x:v>6</x:v>
      </x:c>
      <x:c r="E39" s="27" t="n">
        <x:v>5</x:v>
      </x:c>
      <x:c r="F39" s="27" t="n">
        <x:v>3</x:v>
      </x:c>
      <x:c r="G39" s="36" t="n">
        <x:f>E39*8*60*H39*I39</x:f>
        <x:v>1897.2</x:v>
      </x:c>
      <x:c r="H39" s="32" t="n">
        <x:v>0.85</x:v>
      </x:c>
      <x:c r="I39" s="32" t="n">
        <x:v>0.93</x:v>
      </x:c>
      <x:c r="J39" s="27" t="str">
        <x:f>IF(G39&lt;650,"WATCH","OK")</x:f>
        <x:v>OK</x:v>
      </x:c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</x:row>
    <x:row r="40">
      <x:c r="A40" s="27" t="str">
        <x:v>L2</x:v>
      </x:c>
      <x:c r="B40" s="27" t="str">
        <x:v>applicazione elastici</x:v>
      </x:c>
      <x:c r="C40" s="27" t="str">
        <x:v>sewing</x:v>
      </x:c>
      <x:c r="D40" s="27" t="n">
        <x:v>10</x:v>
      </x:c>
      <x:c r="E40" s="27" t="n">
        <x:v>7</x:v>
      </x:c>
      <x:c r="F40" s="27" t="n">
        <x:v>6</x:v>
      </x:c>
      <x:c r="G40" s="36" t="n">
        <x:f>E40*8*60*H40*I40</x:f>
        <x:v>2656.08</x:v>
      </x:c>
      <x:c r="H40" s="32" t="n">
        <x:v>0.85</x:v>
      </x:c>
      <x:c r="I40" s="32" t="n">
        <x:v>0.93</x:v>
      </x:c>
      <x:c r="J40" s="27" t="str">
        <x:f>IF(G40&lt;650,"WATCH","OK")</x:f>
        <x:v>OK</x:v>
      </x:c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</x:row>
    <x:row r="41">
      <x:c r="A41" s="27" t="str">
        <x:v>L2</x:v>
      </x:c>
      <x:c r="B41" s="27" t="str">
        <x:v>applicazione fodera</x:v>
      </x:c>
      <x:c r="C41" s="27" t="str">
        <x:v>sewing</x:v>
      </x:c>
      <x:c r="D41" s="27" t="n">
        <x:v>11</x:v>
      </x:c>
      <x:c r="E41" s="27" t="n">
        <x:v>8</x:v>
      </x:c>
      <x:c r="F41" s="27" t="n">
        <x:v>7</x:v>
      </x:c>
      <x:c r="G41" s="36" t="n">
        <x:f>E41*8*60*H41*I41</x:f>
        <x:v>3035.52</x:v>
      </x:c>
      <x:c r="H41" s="32" t="n">
        <x:v>0.85</x:v>
      </x:c>
      <x:c r="I41" s="32" t="n">
        <x:v>0.93</x:v>
      </x:c>
      <x:c r="J41" s="27" t="str">
        <x:f>IF(G41&lt;650,"WATCH","OK")</x:f>
        <x:v>OK</x:v>
      </x:c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</x:row>
    <x:row r="42">
      <x:c r="A42" s="27" t="str">
        <x:v>L2</x:v>
      </x:c>
      <x:c r="B42" s="27" t="str">
        <x:v>applicazione zip</x:v>
      </x:c>
      <x:c r="C42" s="27" t="str">
        <x:v>sewing</x:v>
      </x:c>
      <x:c r="D42" s="27" t="n">
        <x:v>12</x:v>
      </x:c>
      <x:c r="E42" s="27" t="n">
        <x:v>9</x:v>
      </x:c>
      <x:c r="F42" s="27" t="n">
        <x:v>8</x:v>
      </x:c>
      <x:c r="G42" s="36" t="n">
        <x:f>E42*8*60*H42*I42</x:f>
        <x:v>3414.96</x:v>
      </x:c>
      <x:c r="H42" s="32" t="n">
        <x:v>0.85</x:v>
      </x:c>
      <x:c r="I42" s="32" t="n">
        <x:v>0.93</x:v>
      </x:c>
      <x:c r="J42" s="27" t="str">
        <x:f>IF(G42&lt;650,"WATCH","OK")</x:f>
        <x:v>OK</x:v>
      </x:c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</x:row>
    <x:row r="43">
      <x:c r="A43" s="27" t="str">
        <x:v>L2</x:v>
      </x:c>
      <x:c r="B43" s="27" t="str">
        <x:v>asolatura/bottoni</x:v>
      </x:c>
      <x:c r="C43" s="27" t="str">
        <x:v>sewing</x:v>
      </x:c>
      <x:c r="D43" s="27" t="n">
        <x:v>13</x:v>
      </x:c>
      <x:c r="E43" s="27" t="n">
        <x:v>10</x:v>
      </x:c>
      <x:c r="F43" s="27" t="n">
        <x:v>9</x:v>
      </x:c>
      <x:c r="G43" s="36" t="n">
        <x:f>E43*8*60*H43*I43</x:f>
        <x:v>3794.4</x:v>
      </x:c>
      <x:c r="H43" s="32" t="n">
        <x:v>0.85</x:v>
      </x:c>
      <x:c r="I43" s="32" t="n">
        <x:v>0.93</x:v>
      </x:c>
      <x:c r="J43" s="27" t="str">
        <x:f>IF(G43&lt;650,"WATCH","OK")</x:f>
        <x:v>OK</x:v>
      </x:c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</x:row>
    <x:row r="44">
      <x:c r="A44" s="27" t="str">
        <x:v>L2</x:v>
      </x:c>
      <x:c r="B44" s="27" t="str">
        <x:v>assemblaggio</x:v>
      </x:c>
      <x:c r="C44" s="27" t="str">
        <x:v>sewing</x:v>
      </x:c>
      <x:c r="D44" s="27" t="n">
        <x:v>7</x:v>
      </x:c>
      <x:c r="E44" s="27" t="n">
        <x:v>5</x:v>
      </x:c>
      <x:c r="F44" s="27" t="n">
        <x:v>4</x:v>
      </x:c>
      <x:c r="G44" s="36" t="n">
        <x:f>E44*8*60*H44*I44</x:f>
        <x:v>1897.2</x:v>
      </x:c>
      <x:c r="H44" s="32" t="n">
        <x:v>0.85</x:v>
      </x:c>
      <x:c r="I44" s="32" t="n">
        <x:v>0.93</x:v>
      </x:c>
      <x:c r="J44" s="27" t="str">
        <x:f>IF(G44&lt;650,"WATCH","OK")</x:f>
        <x:v>OK</x:v>
      </x:c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</x:row>
    <x:row r="45">
      <x:c r="A45" s="27" t="str">
        <x:v>L2</x:v>
      </x:c>
      <x:c r="B45" s="27" t="str">
        <x:v>assemblaggio busto</x:v>
      </x:c>
      <x:c r="C45" s="27" t="str">
        <x:v>sewing</x:v>
      </x:c>
      <x:c r="D45" s="27" t="n">
        <x:v>8</x:v>
      </x:c>
      <x:c r="E45" s="27" t="n">
        <x:v>6</x:v>
      </x:c>
      <x:c r="F45" s="27" t="n">
        <x:v>5</x:v>
      </x:c>
      <x:c r="G45" s="36" t="n">
        <x:f>E45*8*60*H45*I45</x:f>
        <x:v>2276.6400000000003</x:v>
      </x:c>
      <x:c r="H45" s="32" t="n">
        <x:v>0.85</x:v>
      </x:c>
      <x:c r="I45" s="32" t="n">
        <x:v>0.93</x:v>
      </x:c>
      <x:c r="J45" s="27" t="str">
        <x:f>IF(G45&lt;650,"WATCH","OK")</x:f>
        <x:v>OK</x:v>
      </x:c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</x:row>
    <x:row r="46">
      <x:c r="A46" s="27" t="str">
        <x:v>L2</x:v>
      </x:c>
      <x:c r="B46" s="27" t="str">
        <x:v>bottoni automatici</x:v>
      </x:c>
      <x:c r="C46" s="27" t="str">
        <x:v>sewing</x:v>
      </x:c>
      <x:c r="D46" s="27" t="n">
        <x:v>9</x:v>
      </x:c>
      <x:c r="E46" s="27" t="n">
        <x:v>7</x:v>
      </x:c>
      <x:c r="F46" s="27" t="n">
        <x:v>6</x:v>
      </x:c>
      <x:c r="G46" s="36" t="n">
        <x:f>E46*8*60*H46*I46</x:f>
        <x:v>2656.08</x:v>
      </x:c>
      <x:c r="H46" s="32" t="n">
        <x:v>0.85</x:v>
      </x:c>
      <x:c r="I46" s="32" t="n">
        <x:v>0.93</x:v>
      </x:c>
      <x:c r="J46" s="27" t="str">
        <x:f>IF(G46&lt;650,"WATCH","OK")</x:f>
        <x:v>OK</x:v>
      </x:c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</x:row>
    <x:row r="47">
      <x:c r="A47" s="27" t="str">
        <x:v>L2</x:v>
      </x:c>
      <x:c r="B47" s="27" t="str">
        <x:v>cappuccio/collo</x:v>
      </x:c>
      <x:c r="C47" s="27" t="str">
        <x:v>sewing</x:v>
      </x:c>
      <x:c r="D47" s="27" t="n">
        <x:v>10</x:v>
      </x:c>
      <x:c r="E47" s="27" t="n">
        <x:v>8</x:v>
      </x:c>
      <x:c r="F47" s="27" t="n">
        <x:v>7</x:v>
      </x:c>
      <x:c r="G47" s="36" t="n">
        <x:f>E47*8*60*H47*I47</x:f>
        <x:v>3035.52</x:v>
      </x:c>
      <x:c r="H47" s="32" t="n">
        <x:v>0.85</x:v>
      </x:c>
      <x:c r="I47" s="32" t="n">
        <x:v>0.93</x:v>
      </x:c>
      <x:c r="J47" s="27" t="str">
        <x:f>IF(G47&lt;650,"WATCH","OK")</x:f>
        <x:v>OK</x:v>
      </x:c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</x:row>
    <x:row r="48">
      <x:c r="A48" s="27" t="str">
        <x:v>L2</x:v>
      </x:c>
      <x:c r="B48" s="27" t="str">
        <x:v>cintura</x:v>
      </x:c>
      <x:c r="C48" s="27" t="str">
        <x:v>sewing</x:v>
      </x:c>
      <x:c r="D48" s="27" t="n">
        <x:v>11</x:v>
      </x:c>
      <x:c r="E48" s="27" t="n">
        <x:v>9</x:v>
      </x:c>
      <x:c r="F48" s="27" t="n">
        <x:v>8</x:v>
      </x:c>
      <x:c r="G48" s="36" t="n">
        <x:f>E48*8*60*H48*I48</x:f>
        <x:v>3414.96</x:v>
      </x:c>
      <x:c r="H48" s="32" t="n">
        <x:v>0.85</x:v>
      </x:c>
      <x:c r="I48" s="32" t="n">
        <x:v>0.93</x:v>
      </x:c>
      <x:c r="J48" s="27" t="str">
        <x:f>IF(G48&lt;650,"WATCH","OK")</x:f>
        <x:v>OK</x:v>
      </x:c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</x:row>
    <x:row r="49">
      <x:c r="A49" s="27" t="str">
        <x:v>L2</x:v>
      </x:c>
      <x:c r="B49" s="27" t="str">
        <x:v>collo</x:v>
      </x:c>
      <x:c r="C49" s="27" t="str">
        <x:v>sewing</x:v>
      </x:c>
      <x:c r="D49" s="27" t="n">
        <x:v>12</x:v>
      </x:c>
      <x:c r="E49" s="27" t="n">
        <x:v>10</x:v>
      </x:c>
      <x:c r="F49" s="27" t="n">
        <x:v>9</x:v>
      </x:c>
      <x:c r="G49" s="36" t="n">
        <x:f>E49*8*60*H49*I49</x:f>
        <x:v>3794.4</x:v>
      </x:c>
      <x:c r="H49" s="32" t="n">
        <x:v>0.85</x:v>
      </x:c>
      <x:c r="I49" s="32" t="n">
        <x:v>0.93</x:v>
      </x:c>
      <x:c r="J49" s="27" t="str">
        <x:f>IF(G49&lt;650,"WATCH","OK")</x:f>
        <x:v>OK</x:v>
      </x:c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</x:row>
    <x:row r="50">
      <x:c r="A50" s="27" t="str">
        <x:v>L2</x:v>
      </x:c>
      <x:c r="B50" s="27" t="str">
        <x:v>collo e polsi</x:v>
      </x:c>
      <x:c r="C50" s="27" t="str">
        <x:v>sewing</x:v>
      </x:c>
      <x:c r="D50" s="27" t="n">
        <x:v>13</x:v>
      </x:c>
      <x:c r="E50" s="27" t="n">
        <x:v>5</x:v>
      </x:c>
      <x:c r="F50" s="27" t="n">
        <x:v>4</x:v>
      </x:c>
      <x:c r="G50" s="36" t="n">
        <x:f>E50*8*60*H50*I50</x:f>
        <x:v>1897.2</x:v>
      </x:c>
      <x:c r="H50" s="32" t="n">
        <x:v>0.85</x:v>
      </x:c>
      <x:c r="I50" s="32" t="n">
        <x:v>0.93</x:v>
      </x:c>
      <x:c r="J50" s="27" t="str">
        <x:f>IF(G50&lt;650,"WATCH","OK")</x:f>
        <x:v>OK</x:v>
      </x:c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</x:row>
    <x:row r="51">
      <x:c r="A51" s="27" t="str">
        <x:v>L2</x:v>
      </x:c>
      <x:c r="B51" s="27" t="str">
        <x:v>confezione capo</x:v>
      </x:c>
      <x:c r="C51" s="27" t="str">
        <x:v>sewing</x:v>
      </x:c>
      <x:c r="D51" s="27" t="n">
        <x:v>7</x:v>
      </x:c>
      <x:c r="E51" s="27" t="n">
        <x:v>6</x:v>
      </x:c>
      <x:c r="F51" s="27" t="n">
        <x:v>5</x:v>
      </x:c>
      <x:c r="G51" s="36" t="n">
        <x:f>E51*8*60*H51*I51</x:f>
        <x:v>2276.6400000000003</x:v>
      </x:c>
      <x:c r="H51" s="32" t="n">
        <x:v>0.85</x:v>
      </x:c>
      <x:c r="I51" s="32" t="n">
        <x:v>0.93</x:v>
      </x:c>
      <x:c r="J51" s="27" t="str">
        <x:f>IF(G51&lt;650,"WATCH","OK")</x:f>
        <x:v>OK</x:v>
      </x:c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</x:row>
    <x:row r="52">
      <x:c r="A52" s="27" t="str">
        <x:v>L2</x:v>
      </x:c>
      <x:c r="B52" s="27" t="str">
        <x:v>confezione corpino</x:v>
      </x:c>
      <x:c r="C52" s="27" t="str">
        <x:v>sewing</x:v>
      </x:c>
      <x:c r="D52" s="27" t="n">
        <x:v>8</x:v>
      </x:c>
      <x:c r="E52" s="27" t="n">
        <x:v>7</x:v>
      </x:c>
      <x:c r="F52" s="27" t="n">
        <x:v>6</x:v>
      </x:c>
      <x:c r="G52" s="36" t="n">
        <x:f>E52*8*60*H52*I52</x:f>
        <x:v>2656.08</x:v>
      </x:c>
      <x:c r="H52" s="32" t="n">
        <x:v>0.85</x:v>
      </x:c>
      <x:c r="I52" s="32" t="n">
        <x:v>0.93</x:v>
      </x:c>
      <x:c r="J52" s="27" t="str">
        <x:f>IF(G52&lt;650,"WATCH","OK")</x:f>
        <x:v>OK</x:v>
      </x:c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</x:row>
    <x:row r="53">
      <x:c r="A53" s="27" t="str">
        <x:v>L2</x:v>
      </x:c>
      <x:c r="B53" s="27" t="str">
        <x:v>confezione gonna</x:v>
      </x:c>
      <x:c r="C53" s="27" t="str">
        <x:v>sewing</x:v>
      </x:c>
      <x:c r="D53" s="27" t="n">
        <x:v>9</x:v>
      </x:c>
      <x:c r="E53" s="27" t="n">
        <x:v>8</x:v>
      </x:c>
      <x:c r="F53" s="27" t="n">
        <x:v>7</x:v>
      </x:c>
      <x:c r="G53" s="36" t="n">
        <x:f>E53*8*60*H53*I53</x:f>
        <x:v>3035.52</x:v>
      </x:c>
      <x:c r="H53" s="32" t="n">
        <x:v>0.85</x:v>
      </x:c>
      <x:c r="I53" s="32" t="n">
        <x:v>0.93</x:v>
      </x:c>
      <x:c r="J53" s="27" t="str">
        <x:f>IF(G53&lt;650,"WATCH","OK")</x:f>
        <x:v>OK</x:v>
      </x:c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</x:row>
    <x:row r="54">
      <x:c r="A54" s="27" t="str">
        <x:v>L2</x:v>
      </x:c>
      <x:c r="B54" s="27" t="str">
        <x:v>controllo qualità</x:v>
      </x:c>
      <x:c r="C54" s="27" t="str">
        <x:v>quality_control</x:v>
      </x:c>
      <x:c r="D54" s="27" t="n">
        <x:v>4</x:v>
      </x:c>
      <x:c r="E54" s="27" t="n">
        <x:v>4</x:v>
      </x:c>
      <x:c r="F54" s="27" t="n">
        <x:v>0</x:v>
      </x:c>
      <x:c r="G54" s="36" t="n">
        <x:f>E54*8*60*H54*I54</x:f>
        <x:v>1517.76</x:v>
      </x:c>
      <x:c r="H54" s="32" t="n">
        <x:v>0.85</x:v>
      </x:c>
      <x:c r="I54" s="32" t="n">
        <x:v>0.93</x:v>
      </x:c>
      <x:c r="J54" s="27" t="str">
        <x:f>IF(G54&lt;650,"WATCH","OK")</x:f>
        <x:v>OK</x:v>
      </x:c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</x:row>
    <x:row r="55">
      <x:c r="A55" s="27" t="str">
        <x:v>L2</x:v>
      </x:c>
      <x:c r="B55" s="27" t="str">
        <x:v>coppe</x:v>
      </x:c>
      <x:c r="C55" s="27" t="str">
        <x:v>sewing</x:v>
      </x:c>
      <x:c r="D55" s="27" t="n">
        <x:v>11</x:v>
      </x:c>
      <x:c r="E55" s="27" t="n">
        <x:v>10</x:v>
      </x:c>
      <x:c r="F55" s="27" t="n">
        <x:v>9</x:v>
      </x:c>
      <x:c r="G55" s="36" t="n">
        <x:f>E55*8*60*H55*I55</x:f>
        <x:v>3794.4</x:v>
      </x:c>
      <x:c r="H55" s="32" t="n">
        <x:v>0.85</x:v>
      </x:c>
      <x:c r="I55" s="32" t="n">
        <x:v>0.93</x:v>
      </x:c>
      <x:c r="J55" s="27" t="str">
        <x:f>IF(G55&lt;650,"WATCH","OK")</x:f>
        <x:v>OK</x:v>
      </x:c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</x:row>
    <x:row r="56">
      <x:c r="A56" s="27" t="str">
        <x:v>L2</x:v>
      </x:c>
      <x:c r="B56" s="27" t="str">
        <x:v>costruzione davanti</x:v>
      </x:c>
      <x:c r="C56" s="27" t="str">
        <x:v>sewing</x:v>
      </x:c>
      <x:c r="D56" s="27" t="n">
        <x:v>12</x:v>
      </x:c>
      <x:c r="E56" s="27" t="n">
        <x:v>5</x:v>
      </x:c>
      <x:c r="F56" s="27" t="n">
        <x:v>4</x:v>
      </x:c>
      <x:c r="G56" s="36" t="n">
        <x:f>E56*8*60*H56*I56</x:f>
        <x:v>1897.2</x:v>
      </x:c>
      <x:c r="H56" s="32" t="n">
        <x:v>0.85</x:v>
      </x:c>
      <x:c r="I56" s="32" t="n">
        <x:v>0.93</x:v>
      </x:c>
      <x:c r="J56" s="27" t="str">
        <x:f>IF(G56&lt;650,"WATCH","OK")</x:f>
        <x:v>OK</x:v>
      </x:c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</x:row>
    <x:row r="57">
      <x:c r="A57" s="27" t="str">
        <x:v>L2</x:v>
      </x:c>
      <x:c r="B57" s="27" t="str">
        <x:v>cuciture spalle</x:v>
      </x:c>
      <x:c r="C57" s="27" t="str">
        <x:v>sewing</x:v>
      </x:c>
      <x:c r="D57" s="27" t="n">
        <x:v>13</x:v>
      </x:c>
      <x:c r="E57" s="27" t="n">
        <x:v>6</x:v>
      </x:c>
      <x:c r="F57" s="27" t="n">
        <x:v>5</x:v>
      </x:c>
      <x:c r="G57" s="36" t="n">
        <x:f>E57*8*60*H57*I57</x:f>
        <x:v>2276.6400000000003</x:v>
      </x:c>
      <x:c r="H57" s="32" t="n">
        <x:v>0.85</x:v>
      </x:c>
      <x:c r="I57" s="32" t="n">
        <x:v>0.93</x:v>
      </x:c>
      <x:c r="J57" s="27" t="str">
        <x:f>IF(G57&lt;650,"WATCH","OK")</x:f>
        <x:v>OK</x:v>
      </x:c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</x:row>
    <x:row r="58">
      <x:c r="A58" s="27" t="str">
        <x:v>L2</x:v>
      </x:c>
      <x:c r="B58" s="27" t="str">
        <x:v>cuciture tasche</x:v>
      </x:c>
      <x:c r="C58" s="27" t="str">
        <x:v>sewing</x:v>
      </x:c>
      <x:c r="D58" s="27" t="n">
        <x:v>7</x:v>
      </x:c>
      <x:c r="E58" s="27" t="n">
        <x:v>7</x:v>
      </x:c>
      <x:c r="F58" s="27" t="n">
        <x:v>6</x:v>
      </x:c>
      <x:c r="G58" s="36" t="n">
        <x:f>E58*8*60*H58*I58</x:f>
        <x:v>2656.08</x:v>
      </x:c>
      <x:c r="H58" s="32" t="n">
        <x:v>0.85</x:v>
      </x:c>
      <x:c r="I58" s="32" t="n">
        <x:v>0.93</x:v>
      </x:c>
      <x:c r="J58" s="27" t="str">
        <x:f>IF(G58&lt;650,"WATCH","OK")</x:f>
        <x:v>OK</x:v>
      </x:c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</x:row>
    <x:row r="59">
      <x:c r="A59" s="27" t="str">
        <x:v>L2</x:v>
      </x:c>
      <x:c r="B59" s="27" t="str">
        <x:v>elastici</x:v>
      </x:c>
      <x:c r="C59" s="27" t="str">
        <x:v>sewing</x:v>
      </x:c>
      <x:c r="D59" s="27" t="n">
        <x:v>8</x:v>
      </x:c>
      <x:c r="E59" s="27" t="n">
        <x:v>8</x:v>
      </x:c>
      <x:c r="F59" s="27" t="n">
        <x:v>7</x:v>
      </x:c>
      <x:c r="G59" s="36" t="n">
        <x:f>E59*8*60*H59*I59</x:f>
        <x:v>3035.52</x:v>
      </x:c>
      <x:c r="H59" s="32" t="n">
        <x:v>0.85</x:v>
      </x:c>
      <x:c r="I59" s="32" t="n">
        <x:v>0.93</x:v>
      </x:c>
      <x:c r="J59" s="27" t="str">
        <x:f>IF(G59&lt;650,"WATCH","OK")</x:f>
        <x:v>OK</x:v>
      </x:c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</x:row>
    <x:row r="60">
      <x:c r="A60" s="27" t="str">
        <x:v>L2</x:v>
      </x:c>
      <x:c r="B60" s="27" t="str">
        <x:v>elastici e spalline</x:v>
      </x:c>
      <x:c r="C60" s="27" t="str">
        <x:v>sewing</x:v>
      </x:c>
      <x:c r="D60" s="27" t="n">
        <x:v>9</x:v>
      </x:c>
      <x:c r="E60" s="27" t="n">
        <x:v>9</x:v>
      </x:c>
      <x:c r="F60" s="27" t="n">
        <x:v>8</x:v>
      </x:c>
      <x:c r="G60" s="36" t="n">
        <x:f>E60*8*60*H60*I60</x:f>
        <x:v>3414.96</x:v>
      </x:c>
      <x:c r="H60" s="32" t="n">
        <x:v>0.85</x:v>
      </x:c>
      <x:c r="I60" s="32" t="n">
        <x:v>0.93</x:v>
      </x:c>
      <x:c r="J60" s="27" t="str">
        <x:f>IF(G60&lt;650,"WATCH","OK")</x:f>
        <x:v>OK</x:v>
      </x:c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</x:row>
    <x:row r="61">
      <x:c r="A61" s="27" t="str">
        <x:v>L2</x:v>
      </x:c>
      <x:c r="B61" s="27" t="str">
        <x:v>elastici/finizioni</x:v>
      </x:c>
      <x:c r="C61" s="27" t="str">
        <x:v>sewing</x:v>
      </x:c>
      <x:c r="D61" s="27" t="n">
        <x:v>10</x:v>
      </x:c>
      <x:c r="E61" s="27" t="n">
        <x:v>10</x:v>
      </x:c>
      <x:c r="F61" s="27" t="n">
        <x:v>9</x:v>
      </x:c>
      <x:c r="G61" s="36" t="n">
        <x:f>E61*8*60*H61*I61</x:f>
        <x:v>3794.4</x:v>
      </x:c>
      <x:c r="H61" s="32" t="n">
        <x:v>0.85</x:v>
      </x:c>
      <x:c r="I61" s="32" t="n">
        <x:v>0.93</x:v>
      </x:c>
      <x:c r="J61" s="27" t="str">
        <x:f>IF(G61&lt;650,"WATCH","OK")</x:f>
        <x:v>OK</x:v>
      </x:c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</x:row>
    <x:row r="62">
      <x:c r="A62" s="27" t="str">
        <x:v>L2</x:v>
      </x:c>
      <x:c r="B62" s="27" t="str">
        <x:v>elastico vita</x:v>
      </x:c>
      <x:c r="C62" s="27" t="str">
        <x:v>sewing</x:v>
      </x:c>
      <x:c r="D62" s="27" t="n">
        <x:v>11</x:v>
      </x:c>
      <x:c r="E62" s="27" t="n">
        <x:v>5</x:v>
      </x:c>
      <x:c r="F62" s="27" t="n">
        <x:v>4</x:v>
      </x:c>
      <x:c r="G62" s="36" t="n">
        <x:f>E62*8*60*H62*I62</x:f>
        <x:v>1897.2</x:v>
      </x:c>
      <x:c r="H62" s="32" t="n">
        <x:v>0.85</x:v>
      </x:c>
      <x:c r="I62" s="32" t="n">
        <x:v>0.93</x:v>
      </x:c>
      <x:c r="J62" s="27" t="str">
        <x:f>IF(G62&lt;650,"WATCH","OK")</x:f>
        <x:v>OK</x:v>
      </x:c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</x:row>
    <x:row r="63">
      <x:c r="A63" s="27" t="str">
        <x:v>L2</x:v>
      </x:c>
      <x:c r="B63" s="27" t="str">
        <x:v>ganci e rifiniture</x:v>
      </x:c>
      <x:c r="C63" s="27" t="str">
        <x:v>sewing</x:v>
      </x:c>
      <x:c r="D63" s="27" t="n">
        <x:v>12</x:v>
      </x:c>
      <x:c r="E63" s="27" t="n">
        <x:v>6</x:v>
      </x:c>
      <x:c r="F63" s="27" t="n">
        <x:v>5</x:v>
      </x:c>
      <x:c r="G63" s="36" t="n">
        <x:f>E63*8*60*H63*I63</x:f>
        <x:v>2276.6400000000003</x:v>
      </x:c>
      <x:c r="H63" s="32" t="n">
        <x:v>0.85</x:v>
      </x:c>
      <x:c r="I63" s="32" t="n">
        <x:v>0.93</x:v>
      </x:c>
      <x:c r="J63" s="27" t="str">
        <x:f>IF(G63&lt;650,"WATCH","OK")</x:f>
        <x:v>OK</x:v>
      </x:c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</x:row>
    <x:row r="64">
      <x:c r="A64" s="27" t="str">
        <x:v>L2</x:v>
      </x:c>
      <x:c r="B64" s="27" t="str">
        <x:v>imbastitura</x:v>
      </x:c>
      <x:c r="C64" s="27" t="str">
        <x:v>sewing</x:v>
      </x:c>
      <x:c r="D64" s="27" t="n">
        <x:v>13</x:v>
      </x:c>
      <x:c r="E64" s="27" t="n">
        <x:v>7</x:v>
      </x:c>
      <x:c r="F64" s="27" t="n">
        <x:v>6</x:v>
      </x:c>
      <x:c r="G64" s="36" t="n">
        <x:f>E64*8*60*H64*I64</x:f>
        <x:v>2656.08</x:v>
      </x:c>
      <x:c r="H64" s="32" t="n">
        <x:v>0.85</x:v>
      </x:c>
      <x:c r="I64" s="32" t="n">
        <x:v>0.93</x:v>
      </x:c>
      <x:c r="J64" s="27" t="str">
        <x:f>IF(G64&lt;650,"WATCH","OK")</x:f>
        <x:v>OK</x:v>
      </x:c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</x:row>
    <x:row r="65">
      <x:c r="A65" s="27" t="str">
        <x:v>L2</x:v>
      </x:c>
      <x:c r="B65" s="27" t="str">
        <x:v>maniche</x:v>
      </x:c>
      <x:c r="C65" s="27" t="str">
        <x:v>sewing</x:v>
      </x:c>
      <x:c r="D65" s="27" t="n">
        <x:v>7</x:v>
      </x:c>
      <x:c r="E65" s="27" t="n">
        <x:v>7</x:v>
      </x:c>
      <x:c r="F65" s="27" t="n">
        <x:v>6</x:v>
      </x:c>
      <x:c r="G65" s="36" t="n">
        <x:f>E65*8*60*H65*I65</x:f>
        <x:v>2656.08</x:v>
      </x:c>
      <x:c r="H65" s="32" t="n">
        <x:v>0.85</x:v>
      </x:c>
      <x:c r="I65" s="32" t="n">
        <x:v>0.93</x:v>
      </x:c>
      <x:c r="J65" s="27" t="str">
        <x:f>IF(G65&lt;650,"WATCH","OK")</x:f>
        <x:v>OK</x:v>
      </x:c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</x:row>
    <x:row r="66">
      <x:c r="A66" s="27" t="str">
        <x:v>L2</x:v>
      </x:c>
      <x:c r="B66" s="27" t="str">
        <x:v>orlo</x:v>
      </x:c>
      <x:c r="C66" s="27" t="str">
        <x:v>sewing</x:v>
      </x:c>
      <x:c r="D66" s="27" t="n">
        <x:v>8</x:v>
      </x:c>
      <x:c r="E66" s="27" t="n">
        <x:v>8</x:v>
      </x:c>
      <x:c r="F66" s="27" t="n">
        <x:v>7</x:v>
      </x:c>
      <x:c r="G66" s="36" t="n">
        <x:f>E66*8*60*H66*I66</x:f>
        <x:v>3035.52</x:v>
      </x:c>
      <x:c r="H66" s="32" t="n">
        <x:v>0.85</x:v>
      </x:c>
      <x:c r="I66" s="32" t="n">
        <x:v>0.93</x:v>
      </x:c>
      <x:c r="J66" s="27" t="str">
        <x:f>IF(G66&lt;650,"WATCH","OK")</x:f>
        <x:v>OK</x:v>
      </x:c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</x:row>
    <x:row r="67">
      <x:c r="A67" s="27" t="str">
        <x:v>L2</x:v>
      </x:c>
      <x:c r="B67" s="27" t="str">
        <x:v>orlo e rifiniture</x:v>
      </x:c>
      <x:c r="C67" s="27" t="str">
        <x:v>sewing</x:v>
      </x:c>
      <x:c r="D67" s="27" t="n">
        <x:v>9</x:v>
      </x:c>
      <x:c r="E67" s="27" t="n">
        <x:v>9</x:v>
      </x:c>
      <x:c r="F67" s="27" t="n">
        <x:v>8</x:v>
      </x:c>
      <x:c r="G67" s="36" t="n">
        <x:f>E67*8*60*H67*I67</x:f>
        <x:v>3414.96</x:v>
      </x:c>
      <x:c r="H67" s="32" t="n">
        <x:v>0.85</x:v>
      </x:c>
      <x:c r="I67" s="32" t="n">
        <x:v>0.93</x:v>
      </x:c>
      <x:c r="J67" s="27" t="str">
        <x:f>IF(G67&lt;650,"WATCH","OK")</x:f>
        <x:v>OK</x:v>
      </x:c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</x:row>
    <x:row r="68">
      <x:c r="A68" s="27" t="str">
        <x:v>L2</x:v>
      </x:c>
      <x:c r="B68" s="27" t="str">
        <x:v>packing</x:v>
      </x:c>
      <x:c r="C68" s="27" t="str">
        <x:v>finishing</x:v>
      </x:c>
      <x:c r="D68" s="27" t="n">
        <x:v>7</x:v>
      </x:c>
      <x:c r="E68" s="27" t="n">
        <x:v>6</x:v>
      </x:c>
      <x:c r="F68" s="27" t="n">
        <x:v>4</x:v>
      </x:c>
      <x:c r="G68" s="36" t="n">
        <x:f>E68*8*60*H68*I68</x:f>
        <x:v>2276.6400000000003</x:v>
      </x:c>
      <x:c r="H68" s="32" t="n">
        <x:v>0.85</x:v>
      </x:c>
      <x:c r="I68" s="32" t="n">
        <x:v>0.93</x:v>
      </x:c>
      <x:c r="J68" s="27" t="str">
        <x:f>IF(G68&lt;650,"WATCH","OK")</x:f>
        <x:v>OK</x:v>
      </x:c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</x:row>
    <x:row r="69">
      <x:c r="A69" s="27" t="str">
        <x:v>L2</x:v>
      </x:c>
      <x:c r="B69" s="27" t="str">
        <x:v>polsi e fondo</x:v>
      </x:c>
      <x:c r="C69" s="27" t="str">
        <x:v>sewing</x:v>
      </x:c>
      <x:c r="D69" s="27" t="n">
        <x:v>11</x:v>
      </x:c>
      <x:c r="E69" s="27" t="n">
        <x:v>6</x:v>
      </x:c>
      <x:c r="F69" s="27" t="n">
        <x:v>5</x:v>
      </x:c>
      <x:c r="G69" s="36" t="n">
        <x:f>E69*8*60*H69*I69</x:f>
        <x:v>2276.6400000000003</x:v>
      </x:c>
      <x:c r="H69" s="32" t="n">
        <x:v>0.85</x:v>
      </x:c>
      <x:c r="I69" s="32" t="n">
        <x:v>0.93</x:v>
      </x:c>
      <x:c r="J69" s="27" t="str">
        <x:f>IF(G69&lt;650,"WATCH","OK")</x:f>
        <x:v>OK</x:v>
      </x:c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</x:row>
    <x:row r="70">
      <x:c r="A70" s="27" t="str">
        <x:v>L2</x:v>
      </x:c>
      <x:c r="B70" s="27" t="str">
        <x:v>spalle e fianchi</x:v>
      </x:c>
      <x:c r="C70" s="27" t="str">
        <x:v>sewing</x:v>
      </x:c>
      <x:c r="D70" s="27" t="n">
        <x:v>12</x:v>
      </x:c>
      <x:c r="E70" s="27" t="n">
        <x:v>7</x:v>
      </x:c>
      <x:c r="F70" s="27" t="n">
        <x:v>6</x:v>
      </x:c>
      <x:c r="G70" s="36" t="n">
        <x:f>E70*8*60*H70*I70</x:f>
        <x:v>2656.08</x:v>
      </x:c>
      <x:c r="H70" s="32" t="n">
        <x:v>0.85</x:v>
      </x:c>
      <x:c r="I70" s="32" t="n">
        <x:v>0.93</x:v>
      </x:c>
      <x:c r="J70" s="27" t="str">
        <x:f>IF(G70&lt;650,"WATCH","OK")</x:f>
        <x:v>OK</x:v>
      </x:c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</x:row>
    <x:row r="71">
      <x:c r="A71" s="27" t="str">
        <x:v>L2</x:v>
      </x:c>
      <x:c r="B71" s="27" t="str">
        <x:v>stiro finale</x:v>
      </x:c>
      <x:c r="C71" s="27" t="str">
        <x:v>finishing</x:v>
      </x:c>
      <x:c r="D71" s="27" t="n">
        <x:v>10</x:v>
      </x:c>
      <x:c r="E71" s="27" t="n">
        <x:v>5</x:v>
      </x:c>
      <x:c r="F71" s="27" t="n">
        <x:v>3</x:v>
      </x:c>
      <x:c r="G71" s="36" t="n">
        <x:f>E71*8*60*H71*I71</x:f>
        <x:v>1897.2</x:v>
      </x:c>
      <x:c r="H71" s="32" t="n">
        <x:v>0.85</x:v>
      </x:c>
      <x:c r="I71" s="32" t="n">
        <x:v>0.93</x:v>
      </x:c>
      <x:c r="J71" s="27" t="str">
        <x:f>IF(G71&lt;650,"WATCH","OK")</x:f>
        <x:v>OK</x:v>
      </x:c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</x:row>
    <x:row r="72">
      <x:c r="A72" s="27" t="str">
        <x:v>L2</x:v>
      </x:c>
      <x:c r="B72" s="27" t="str">
        <x:v>stiro intermedio</x:v>
      </x:c>
      <x:c r="C72" s="27" t="str">
        <x:v>finishing</x:v>
      </x:c>
      <x:c r="D72" s="27" t="n">
        <x:v>6</x:v>
      </x:c>
      <x:c r="E72" s="27" t="n">
        <x:v>6</x:v>
      </x:c>
      <x:c r="F72" s="27" t="n">
        <x:v>4</x:v>
      </x:c>
      <x:c r="G72" s="36" t="n">
        <x:f>E72*8*60*H72*I72</x:f>
        <x:v>2276.6400000000003</x:v>
      </x:c>
      <x:c r="H72" s="32" t="n">
        <x:v>0.85</x:v>
      </x:c>
      <x:c r="I72" s="32" t="n">
        <x:v>0.93</x:v>
      </x:c>
      <x:c r="J72" s="27" t="str">
        <x:f>IF(G72&lt;650,"WATCH","OK")</x:f>
        <x:v>OK</x:v>
      </x:c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</x:row>
    <x:row r="73">
      <x:c r="A73" s="27" t="str">
        <x:v>L2</x:v>
      </x:c>
      <x:c r="B73" s="27" t="str">
        <x:v>stiro/packing</x:v>
      </x:c>
      <x:c r="C73" s="27" t="str">
        <x:v>finishing</x:v>
      </x:c>
      <x:c r="D73" s="27" t="n">
        <x:v>7</x:v>
      </x:c>
      <x:c r="E73" s="27" t="n">
        <x:v>7</x:v>
      </x:c>
      <x:c r="F73" s="27" t="n">
        <x:v>5</x:v>
      </x:c>
      <x:c r="G73" s="36" t="n">
        <x:f>E73*8*60*H73*I73</x:f>
        <x:v>2656.08</x:v>
      </x:c>
      <x:c r="H73" s="32" t="n">
        <x:v>0.85</x:v>
      </x:c>
      <x:c r="I73" s="32" t="n">
        <x:v>0.93</x:v>
      </x:c>
      <x:c r="J73" s="27" t="str">
        <x:f>IF(G73&lt;650,"WATCH","OK")</x:f>
        <x:v>OK</x:v>
      </x:c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</x:row>
    <x:row r="74">
      <x:c r="A74" s="27" t="str">
        <x:v>L2</x:v>
      </x:c>
      <x:c r="B74" s="27" t="str">
        <x:v>taglio tessuto</x:v>
      </x:c>
      <x:c r="C74" s="27" t="str">
        <x:v>cutting</x:v>
      </x:c>
      <x:c r="D74" s="27" t="n">
        <x:v>5</x:v>
      </x:c>
      <x:c r="E74" s="27" t="n">
        <x:v>4</x:v>
      </x:c>
      <x:c r="F74" s="27" t="n">
        <x:v>2</x:v>
      </x:c>
      <x:c r="G74" s="36" t="n">
        <x:f>E74*8*60*H74*I74</x:f>
        <x:v>1517.76</x:v>
      </x:c>
      <x:c r="H74" s="32" t="n">
        <x:v>0.85</x:v>
      </x:c>
      <x:c r="I74" s="32" t="n">
        <x:v>0.93</x:v>
      </x:c>
      <x:c r="J74" s="27" t="str">
        <x:f>IF(G74&lt;650,"WATCH","OK")</x:f>
        <x:v>OK</x:v>
      </x:c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</x:row>
    <x:row r="75">
      <x:c r="A75" s="27" t="str">
        <x:v>L2</x:v>
      </x:c>
      <x:c r="B75" s="27" t="str">
        <x:v>tasche</x:v>
      </x:c>
      <x:c r="C75" s="27" t="str">
        <x:v>sewing</x:v>
      </x:c>
      <x:c r="D75" s="27" t="n">
        <x:v>10</x:v>
      </x:c>
      <x:c r="E75" s="27" t="n">
        <x:v>6</x:v>
      </x:c>
      <x:c r="F75" s="27" t="n">
        <x:v>5</x:v>
      </x:c>
      <x:c r="G75" s="36" t="n">
        <x:f>E75*8*60*H75*I75</x:f>
        <x:v>2276.6400000000003</x:v>
      </x:c>
      <x:c r="H75" s="32" t="n">
        <x:v>0.85</x:v>
      </x:c>
      <x:c r="I75" s="32" t="n">
        <x:v>0.93</x:v>
      </x:c>
      <x:c r="J75" s="27" t="str">
        <x:f>IF(G75&lt;650,"WATCH","OK")</x:f>
        <x:v>OK</x:v>
      </x:c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</x:row>
    <x:row r="76">
      <x:c r="A76" s="27" t="str">
        <x:v>L3</x:v>
      </x:c>
      <x:c r="B76" s="27" t="str">
        <x:v>adesivazione</x:v>
      </x:c>
      <x:c r="C76" s="27" t="str">
        <x:v>cutting</x:v>
      </x:c>
      <x:c r="D76" s="27" t="n">
        <x:v>7</x:v>
      </x:c>
      <x:c r="E76" s="27" t="n">
        <x:v>6</x:v>
      </x:c>
      <x:c r="F76" s="27" t="n">
        <x:v>4</x:v>
      </x:c>
      <x:c r="G76" s="36" t="n">
        <x:f>E76*8*60*H76*I76</x:f>
        <x:v>2328.192</x:v>
      </x:c>
      <x:c r="H76" s="32" t="n">
        <x:v>0.86</x:v>
      </x:c>
      <x:c r="I76" s="32" t="n">
        <x:v>0.94</x:v>
      </x:c>
      <x:c r="J76" s="27" t="str">
        <x:f>IF(G76&lt;650,"WATCH","OK")</x:f>
        <x:v>OK</x:v>
      </x:c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</x:row>
    <x:row r="77">
      <x:c r="A77" s="27" t="str">
        <x:v>L3</x:v>
      </x:c>
      <x:c r="B77" s="27" t="str">
        <x:v>applicazione elastici</x:v>
      </x:c>
      <x:c r="C77" s="27" t="str">
        <x:v>sewing</x:v>
      </x:c>
      <x:c r="D77" s="27" t="n">
        <x:v>12</x:v>
      </x:c>
      <x:c r="E77" s="27" t="n">
        <x:v>8</x:v>
      </x:c>
      <x:c r="F77" s="27" t="n">
        <x:v>7</x:v>
      </x:c>
      <x:c r="G77" s="36" t="n">
        <x:f>E77*8*60*H77*I77</x:f>
        <x:v>3104.256</x:v>
      </x:c>
      <x:c r="H77" s="32" t="n">
        <x:v>0.86</x:v>
      </x:c>
      <x:c r="I77" s="32" t="n">
        <x:v>0.94</x:v>
      </x:c>
      <x:c r="J77" s="27" t="str">
        <x:f>IF(G77&lt;650,"WATCH","OK")</x:f>
        <x:v>OK</x:v>
      </x:c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</x:row>
    <x:row r="78">
      <x:c r="A78" s="27" t="str">
        <x:v>L3</x:v>
      </x:c>
      <x:c r="B78" s="27" t="str">
        <x:v>applicazione fodera</x:v>
      </x:c>
      <x:c r="C78" s="27" t="str">
        <x:v>sewing</x:v>
      </x:c>
      <x:c r="D78" s="27" t="n">
        <x:v>13</x:v>
      </x:c>
      <x:c r="E78" s="27" t="n">
        <x:v>9</x:v>
      </x:c>
      <x:c r="F78" s="27" t="n">
        <x:v>8</x:v>
      </x:c>
      <x:c r="G78" s="36" t="n">
        <x:f>E78*8*60*H78*I78</x:f>
        <x:v>3492.2879999999996</x:v>
      </x:c>
      <x:c r="H78" s="32" t="n">
        <x:v>0.86</x:v>
      </x:c>
      <x:c r="I78" s="32" t="n">
        <x:v>0.94</x:v>
      </x:c>
      <x:c r="J78" s="27" t="str">
        <x:f>IF(G78&lt;650,"WATCH","OK")</x:f>
        <x:v>OK</x:v>
      </x:c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</x:row>
    <x:row r="79">
      <x:c r="A79" s="27" t="str">
        <x:v>L3</x:v>
      </x:c>
      <x:c r="B79" s="27" t="str">
        <x:v>applicazione zip</x:v>
      </x:c>
      <x:c r="C79" s="27" t="str">
        <x:v>sewing</x:v>
      </x:c>
      <x:c r="D79" s="27" t="n">
        <x:v>7</x:v>
      </x:c>
      <x:c r="E79" s="27" t="n">
        <x:v>7</x:v>
      </x:c>
      <x:c r="F79" s="27" t="n">
        <x:v>6</x:v>
      </x:c>
      <x:c r="G79" s="36" t="n">
        <x:f>E79*8*60*H79*I79</x:f>
        <x:v>2716.2239999999997</x:v>
      </x:c>
      <x:c r="H79" s="32" t="n">
        <x:v>0.86</x:v>
      </x:c>
      <x:c r="I79" s="32" t="n">
        <x:v>0.94</x:v>
      </x:c>
      <x:c r="J79" s="27" t="str">
        <x:f>IF(G79&lt;650,"WATCH","OK")</x:f>
        <x:v>OK</x:v>
      </x:c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</x:row>
    <x:row r="80">
      <x:c r="A80" s="27" t="str">
        <x:v>L3</x:v>
      </x:c>
      <x:c r="B80" s="27" t="str">
        <x:v>asolatura/bottoni</x:v>
      </x:c>
      <x:c r="C80" s="27" t="str">
        <x:v>sewing</x:v>
      </x:c>
      <x:c r="D80" s="27" t="n">
        <x:v>8</x:v>
      </x:c>
      <x:c r="E80" s="27" t="n">
        <x:v>5</x:v>
      </x:c>
      <x:c r="F80" s="27" t="n">
        <x:v>4</x:v>
      </x:c>
      <x:c r="G80" s="36" t="n">
        <x:f>E80*8*60*H80*I80</x:f>
        <x:v>1940.1599999999999</x:v>
      </x:c>
      <x:c r="H80" s="32" t="n">
        <x:v>0.86</x:v>
      </x:c>
      <x:c r="I80" s="32" t="n">
        <x:v>0.94</x:v>
      </x:c>
      <x:c r="J80" s="27" t="str">
        <x:f>IF(G80&lt;650,"WATCH","OK")</x:f>
        <x:v>OK</x:v>
      </x:c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</x:row>
    <x:row r="81">
      <x:c r="A81" s="27" t="str">
        <x:v>L3</x:v>
      </x:c>
      <x:c r="B81" s="27" t="str">
        <x:v>assemblaggio</x:v>
      </x:c>
      <x:c r="C81" s="27" t="str">
        <x:v>sewing</x:v>
      </x:c>
      <x:c r="D81" s="27" t="n">
        <x:v>9</x:v>
      </x:c>
      <x:c r="E81" s="27" t="n">
        <x:v>6</x:v>
      </x:c>
      <x:c r="F81" s="27" t="n">
        <x:v>5</x:v>
      </x:c>
      <x:c r="G81" s="36" t="n">
        <x:f>E81*8*60*H81*I81</x:f>
        <x:v>2328.192</x:v>
      </x:c>
      <x:c r="H81" s="32" t="n">
        <x:v>0.86</x:v>
      </x:c>
      <x:c r="I81" s="32" t="n">
        <x:v>0.94</x:v>
      </x:c>
      <x:c r="J81" s="27" t="str">
        <x:f>IF(G81&lt;650,"WATCH","OK")</x:f>
        <x:v>OK</x:v>
      </x:c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</x:row>
    <x:row r="82">
      <x:c r="A82" s="27" t="str">
        <x:v>L3</x:v>
      </x:c>
      <x:c r="B82" s="27" t="str">
        <x:v>assemblaggio busto</x:v>
      </x:c>
      <x:c r="C82" s="27" t="str">
        <x:v>sewing</x:v>
      </x:c>
      <x:c r="D82" s="27" t="n">
        <x:v>10</x:v>
      </x:c>
      <x:c r="E82" s="27" t="n">
        <x:v>7</x:v>
      </x:c>
      <x:c r="F82" s="27" t="n">
        <x:v>6</x:v>
      </x:c>
      <x:c r="G82" s="36" t="n">
        <x:f>E82*8*60*H82*I82</x:f>
        <x:v>2716.2239999999997</x:v>
      </x:c>
      <x:c r="H82" s="32" t="n">
        <x:v>0.86</x:v>
      </x:c>
      <x:c r="I82" s="32" t="n">
        <x:v>0.94</x:v>
      </x:c>
      <x:c r="J82" s="27" t="str">
        <x:f>IF(G82&lt;650,"WATCH","OK")</x:f>
        <x:v>OK</x:v>
      </x:c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</x:row>
    <x:row r="83">
      <x:c r="A83" s="27" t="str">
        <x:v>L3</x:v>
      </x:c>
      <x:c r="B83" s="27" t="str">
        <x:v>bottoni automatici</x:v>
      </x:c>
      <x:c r="C83" s="27" t="str">
        <x:v>sewing</x:v>
      </x:c>
      <x:c r="D83" s="27" t="n">
        <x:v>11</x:v>
      </x:c>
      <x:c r="E83" s="27" t="n">
        <x:v>8</x:v>
      </x:c>
      <x:c r="F83" s="27" t="n">
        <x:v>7</x:v>
      </x:c>
      <x:c r="G83" s="36" t="n">
        <x:f>E83*8*60*H83*I83</x:f>
        <x:v>3104.256</x:v>
      </x:c>
      <x:c r="H83" s="32" t="n">
        <x:v>0.86</x:v>
      </x:c>
      <x:c r="I83" s="32" t="n">
        <x:v>0.94</x:v>
      </x:c>
      <x:c r="J83" s="27" t="str">
        <x:f>IF(G83&lt;650,"WATCH","OK")</x:f>
        <x:v>OK</x:v>
      </x:c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</x:row>
    <x:row r="84">
      <x:c r="A84" s="27" t="str">
        <x:v>L3</x:v>
      </x:c>
      <x:c r="B84" s="27" t="str">
        <x:v>cappuccio/collo</x:v>
      </x:c>
      <x:c r="C84" s="27" t="str">
        <x:v>sewing</x:v>
      </x:c>
      <x:c r="D84" s="27" t="n">
        <x:v>12</x:v>
      </x:c>
      <x:c r="E84" s="27" t="n">
        <x:v>9</x:v>
      </x:c>
      <x:c r="F84" s="27" t="n">
        <x:v>8</x:v>
      </x:c>
      <x:c r="G84" s="36" t="n">
        <x:f>E84*8*60*H84*I84</x:f>
        <x:v>3492.2879999999996</x:v>
      </x:c>
      <x:c r="H84" s="32" t="n">
        <x:v>0.86</x:v>
      </x:c>
      <x:c r="I84" s="32" t="n">
        <x:v>0.94</x:v>
      </x:c>
      <x:c r="J84" s="27" t="str">
        <x:f>IF(G84&lt;650,"WATCH","OK")</x:f>
        <x:v>OK</x:v>
      </x:c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</x:row>
    <x:row r="85">
      <x:c r="A85" s="27" t="str">
        <x:v>L3</x:v>
      </x:c>
      <x:c r="B85" s="27" t="str">
        <x:v>cintura</x:v>
      </x:c>
      <x:c r="C85" s="27" t="str">
        <x:v>sewing</x:v>
      </x:c>
      <x:c r="D85" s="27" t="n">
        <x:v>13</x:v>
      </x:c>
      <x:c r="E85" s="27" t="n">
        <x:v>10</x:v>
      </x:c>
      <x:c r="F85" s="27" t="n">
        <x:v>9</x:v>
      </x:c>
      <x:c r="G85" s="36" t="n">
        <x:f>E85*8*60*H85*I85</x:f>
        <x:v>3880.3199999999997</x:v>
      </x:c>
      <x:c r="H85" s="32" t="n">
        <x:v>0.86</x:v>
      </x:c>
      <x:c r="I85" s="32" t="n">
        <x:v>0.94</x:v>
      </x:c>
      <x:c r="J85" s="27" t="str">
        <x:f>IF(G85&lt;650,"WATCH","OK")</x:f>
        <x:v>OK</x:v>
      </x:c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</x:row>
    <x:row r="86">
      <x:c r="A86" s="27" t="str">
        <x:v>L3</x:v>
      </x:c>
      <x:c r="B86" s="27" t="str">
        <x:v>collo</x:v>
      </x:c>
      <x:c r="C86" s="27" t="str">
        <x:v>sewing</x:v>
      </x:c>
      <x:c r="D86" s="27" t="n">
        <x:v>7</x:v>
      </x:c>
      <x:c r="E86" s="27" t="n">
        <x:v>5</x:v>
      </x:c>
      <x:c r="F86" s="27" t="n">
        <x:v>4</x:v>
      </x:c>
      <x:c r="G86" s="36" t="n">
        <x:f>E86*8*60*H86*I86</x:f>
        <x:v>1940.1599999999999</x:v>
      </x:c>
      <x:c r="H86" s="32" t="n">
        <x:v>0.86</x:v>
      </x:c>
      <x:c r="I86" s="32" t="n">
        <x:v>0.94</x:v>
      </x:c>
      <x:c r="J86" s="27" t="str">
        <x:f>IF(G86&lt;650,"WATCH","OK")</x:f>
        <x:v>OK</x:v>
      </x:c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</x:row>
    <x:row r="87">
      <x:c r="A87" s="27" t="str">
        <x:v>L3</x:v>
      </x:c>
      <x:c r="B87" s="27" t="str">
        <x:v>collo e polsi</x:v>
      </x:c>
      <x:c r="C87" s="27" t="str">
        <x:v>sewing</x:v>
      </x:c>
      <x:c r="D87" s="27" t="n">
        <x:v>8</x:v>
      </x:c>
      <x:c r="E87" s="27" t="n">
        <x:v>6</x:v>
      </x:c>
      <x:c r="F87" s="27" t="n">
        <x:v>5</x:v>
      </x:c>
      <x:c r="G87" s="36" t="n">
        <x:f>E87*8*60*H87*I87</x:f>
        <x:v>2328.192</x:v>
      </x:c>
      <x:c r="H87" s="32" t="n">
        <x:v>0.86</x:v>
      </x:c>
      <x:c r="I87" s="32" t="n">
        <x:v>0.94</x:v>
      </x:c>
      <x:c r="J87" s="27" t="str">
        <x:f>IF(G87&lt;650,"WATCH","OK")</x:f>
        <x:v>OK</x:v>
      </x:c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</x:row>
    <x:row r="88">
      <x:c r="A88" s="27" t="str">
        <x:v>L3</x:v>
      </x:c>
      <x:c r="B88" s="27" t="str">
        <x:v>confezione capo</x:v>
      </x:c>
      <x:c r="C88" s="27" t="str">
        <x:v>sewing</x:v>
      </x:c>
      <x:c r="D88" s="27" t="n">
        <x:v>9</x:v>
      </x:c>
      <x:c r="E88" s="27" t="n">
        <x:v>7</x:v>
      </x:c>
      <x:c r="F88" s="27" t="n">
        <x:v>6</x:v>
      </x:c>
      <x:c r="G88" s="36" t="n">
        <x:f>E88*8*60*H88*I88</x:f>
        <x:v>2716.2239999999997</x:v>
      </x:c>
      <x:c r="H88" s="32" t="n">
        <x:v>0.86</x:v>
      </x:c>
      <x:c r="I88" s="32" t="n">
        <x:v>0.94</x:v>
      </x:c>
      <x:c r="J88" s="27" t="str">
        <x:f>IF(G88&lt;650,"WATCH","OK")</x:f>
        <x:v>OK</x:v>
      </x:c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</x:row>
    <x:row r="89">
      <x:c r="A89" s="27" t="str">
        <x:v>L3</x:v>
      </x:c>
      <x:c r="B89" s="27" t="str">
        <x:v>confezione corpino</x:v>
      </x:c>
      <x:c r="C89" s="27" t="str">
        <x:v>sewing</x:v>
      </x:c>
      <x:c r="D89" s="27" t="n">
        <x:v>10</x:v>
      </x:c>
      <x:c r="E89" s="27" t="n">
        <x:v>8</x:v>
      </x:c>
      <x:c r="F89" s="27" t="n">
        <x:v>7</x:v>
      </x:c>
      <x:c r="G89" s="36" t="n">
        <x:f>E89*8*60*H89*I89</x:f>
        <x:v>3104.256</x:v>
      </x:c>
      <x:c r="H89" s="32" t="n">
        <x:v>0.86</x:v>
      </x:c>
      <x:c r="I89" s="32" t="n">
        <x:v>0.94</x:v>
      </x:c>
      <x:c r="J89" s="27" t="str">
        <x:f>IF(G89&lt;650,"WATCH","OK")</x:f>
        <x:v>OK</x:v>
      </x:c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</x:row>
    <x:row r="90">
      <x:c r="A90" s="27" t="str">
        <x:v>L3</x:v>
      </x:c>
      <x:c r="B90" s="27" t="str">
        <x:v>confezione gonna</x:v>
      </x:c>
      <x:c r="C90" s="27" t="str">
        <x:v>sewing</x:v>
      </x:c>
      <x:c r="D90" s="27" t="n">
        <x:v>11</x:v>
      </x:c>
      <x:c r="E90" s="27" t="n">
        <x:v>9</x:v>
      </x:c>
      <x:c r="F90" s="27" t="n">
        <x:v>8</x:v>
      </x:c>
      <x:c r="G90" s="36" t="n">
        <x:f>E90*8*60*H90*I90</x:f>
        <x:v>3492.2879999999996</x:v>
      </x:c>
      <x:c r="H90" s="32" t="n">
        <x:v>0.86</x:v>
      </x:c>
      <x:c r="I90" s="32" t="n">
        <x:v>0.94</x:v>
      </x:c>
      <x:c r="J90" s="27" t="str">
        <x:f>IF(G90&lt;650,"WATCH","OK")</x:f>
        <x:v>OK</x:v>
      </x:c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</x:row>
    <x:row r="91">
      <x:c r="A91" s="27" t="str">
        <x:v>L3</x:v>
      </x:c>
      <x:c r="B91" s="27" t="str">
        <x:v>controllo qualità</x:v>
      </x:c>
      <x:c r="C91" s="27" t="str">
        <x:v>quality_control</x:v>
      </x:c>
      <x:c r="D91" s="27" t="n">
        <x:v>5</x:v>
      </x:c>
      <x:c r="E91" s="27" t="n">
        <x:v>5</x:v>
      </x:c>
      <x:c r="F91" s="27" t="n">
        <x:v>0</x:v>
      </x:c>
      <x:c r="G91" s="36" t="n">
        <x:f>E91*8*60*H91*I91</x:f>
        <x:v>1940.1599999999999</x:v>
      </x:c>
      <x:c r="H91" s="32" t="n">
        <x:v>0.86</x:v>
      </x:c>
      <x:c r="I91" s="32" t="n">
        <x:v>0.94</x:v>
      </x:c>
      <x:c r="J91" s="27" t="str">
        <x:f>IF(G91&lt;650,"WATCH","OK")</x:f>
        <x:v>OK</x:v>
      </x:c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</x:row>
    <x:row r="92">
      <x:c r="A92" s="27" t="str">
        <x:v>L3</x:v>
      </x:c>
      <x:c r="B92" s="27" t="str">
        <x:v>coppe</x:v>
      </x:c>
      <x:c r="C92" s="27" t="str">
        <x:v>sewing</x:v>
      </x:c>
      <x:c r="D92" s="27" t="n">
        <x:v>13</x:v>
      </x:c>
      <x:c r="E92" s="27" t="n">
        <x:v>5</x:v>
      </x:c>
      <x:c r="F92" s="27" t="n">
        <x:v>4</x:v>
      </x:c>
      <x:c r="G92" s="36" t="n">
        <x:f>E92*8*60*H92*I92</x:f>
        <x:v>1940.1599999999999</x:v>
      </x:c>
      <x:c r="H92" s="32" t="n">
        <x:v>0.86</x:v>
      </x:c>
      <x:c r="I92" s="32" t="n">
        <x:v>0.94</x:v>
      </x:c>
      <x:c r="J92" s="27" t="str">
        <x:f>IF(G92&lt;650,"WATCH","OK")</x:f>
        <x:v>OK</x:v>
      </x:c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</x:row>
    <x:row r="93">
      <x:c r="A93" s="27" t="str">
        <x:v>L3</x:v>
      </x:c>
      <x:c r="B93" s="27" t="str">
        <x:v>costruzione davanti</x:v>
      </x:c>
      <x:c r="C93" s="27" t="str">
        <x:v>sewing</x:v>
      </x:c>
      <x:c r="D93" s="27" t="n">
        <x:v>7</x:v>
      </x:c>
      <x:c r="E93" s="27" t="n">
        <x:v>6</x:v>
      </x:c>
      <x:c r="F93" s="27" t="n">
        <x:v>5</x:v>
      </x:c>
      <x:c r="G93" s="36" t="n">
        <x:f>E93*8*60*H93*I93</x:f>
        <x:v>2328.192</x:v>
      </x:c>
      <x:c r="H93" s="32" t="n">
        <x:v>0.86</x:v>
      </x:c>
      <x:c r="I93" s="32" t="n">
        <x:v>0.94</x:v>
      </x:c>
      <x:c r="J93" s="27" t="str">
        <x:f>IF(G93&lt;650,"WATCH","OK")</x:f>
        <x:v>OK</x:v>
      </x:c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</x:row>
    <x:row r="94">
      <x:c r="A94" s="27" t="str">
        <x:v>L3</x:v>
      </x:c>
      <x:c r="B94" s="27" t="str">
        <x:v>cuciture spalle</x:v>
      </x:c>
      <x:c r="C94" s="27" t="str">
        <x:v>sewing</x:v>
      </x:c>
      <x:c r="D94" s="27" t="n">
        <x:v>8</x:v>
      </x:c>
      <x:c r="E94" s="27" t="n">
        <x:v>7</x:v>
      </x:c>
      <x:c r="F94" s="27" t="n">
        <x:v>6</x:v>
      </x:c>
      <x:c r="G94" s="36" t="n">
        <x:f>E94*8*60*H94*I94</x:f>
        <x:v>2716.2239999999997</x:v>
      </x:c>
      <x:c r="H94" s="32" t="n">
        <x:v>0.86</x:v>
      </x:c>
      <x:c r="I94" s="32" t="n">
        <x:v>0.94</x:v>
      </x:c>
      <x:c r="J94" s="27" t="str">
        <x:f>IF(G94&lt;650,"WATCH","OK")</x:f>
        <x:v>OK</x:v>
      </x:c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</x:row>
    <x:row r="95">
      <x:c r="A95" s="27" t="str">
        <x:v>L3</x:v>
      </x:c>
      <x:c r="B95" s="27" t="str">
        <x:v>cuciture tasche</x:v>
      </x:c>
      <x:c r="C95" s="27" t="str">
        <x:v>sewing</x:v>
      </x:c>
      <x:c r="D95" s="27" t="n">
        <x:v>9</x:v>
      </x:c>
      <x:c r="E95" s="27" t="n">
        <x:v>8</x:v>
      </x:c>
      <x:c r="F95" s="27" t="n">
        <x:v>7</x:v>
      </x:c>
      <x:c r="G95" s="36" t="n">
        <x:f>E95*8*60*H95*I95</x:f>
        <x:v>3104.256</x:v>
      </x:c>
      <x:c r="H95" s="32" t="n">
        <x:v>0.86</x:v>
      </x:c>
      <x:c r="I95" s="32" t="n">
        <x:v>0.94</x:v>
      </x:c>
      <x:c r="J95" s="27" t="str">
        <x:f>IF(G95&lt;650,"WATCH","OK")</x:f>
        <x:v>OK</x:v>
      </x:c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</x:row>
    <x:row r="96">
      <x:c r="A96" s="27" t="str">
        <x:v>L3</x:v>
      </x:c>
      <x:c r="B96" s="27" t="str">
        <x:v>elastici</x:v>
      </x:c>
      <x:c r="C96" s="27" t="str">
        <x:v>sewing</x:v>
      </x:c>
      <x:c r="D96" s="27" t="n">
        <x:v>10</x:v>
      </x:c>
      <x:c r="E96" s="27" t="n">
        <x:v>9</x:v>
      </x:c>
      <x:c r="F96" s="27" t="n">
        <x:v>8</x:v>
      </x:c>
      <x:c r="G96" s="36" t="n">
        <x:f>E96*8*60*H96*I96</x:f>
        <x:v>3492.2879999999996</x:v>
      </x:c>
      <x:c r="H96" s="32" t="n">
        <x:v>0.86</x:v>
      </x:c>
      <x:c r="I96" s="32" t="n">
        <x:v>0.94</x:v>
      </x:c>
      <x:c r="J96" s="27" t="str">
        <x:f>IF(G96&lt;650,"WATCH","OK")</x:f>
        <x:v>OK</x:v>
      </x:c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</x:row>
    <x:row r="97">
      <x:c r="A97" s="27" t="str">
        <x:v>L3</x:v>
      </x:c>
      <x:c r="B97" s="27" t="str">
        <x:v>elastici e spalline</x:v>
      </x:c>
      <x:c r="C97" s="27" t="str">
        <x:v>sewing</x:v>
      </x:c>
      <x:c r="D97" s="27" t="n">
        <x:v>11</x:v>
      </x:c>
      <x:c r="E97" s="27" t="n">
        <x:v>10</x:v>
      </x:c>
      <x:c r="F97" s="27" t="n">
        <x:v>9</x:v>
      </x:c>
      <x:c r="G97" s="36" t="n">
        <x:f>E97*8*60*H97*I97</x:f>
        <x:v>3880.3199999999997</x:v>
      </x:c>
      <x:c r="H97" s="32" t="n">
        <x:v>0.86</x:v>
      </x:c>
      <x:c r="I97" s="32" t="n">
        <x:v>0.94</x:v>
      </x:c>
      <x:c r="J97" s="27" t="str">
        <x:f>IF(G97&lt;650,"WATCH","OK")</x:f>
        <x:v>OK</x:v>
      </x:c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</x:row>
    <x:row r="98">
      <x:c r="A98" s="27" t="str">
        <x:v>L3</x:v>
      </x:c>
      <x:c r="B98" s="27" t="str">
        <x:v>elastici/finizioni</x:v>
      </x:c>
      <x:c r="C98" s="27" t="str">
        <x:v>sewing</x:v>
      </x:c>
      <x:c r="D98" s="27" t="n">
        <x:v>12</x:v>
      </x:c>
      <x:c r="E98" s="27" t="n">
        <x:v>5</x:v>
      </x:c>
      <x:c r="F98" s="27" t="n">
        <x:v>4</x:v>
      </x:c>
      <x:c r="G98" s="36" t="n">
        <x:f>E98*8*60*H98*I98</x:f>
        <x:v>1940.1599999999999</x:v>
      </x:c>
      <x:c r="H98" s="32" t="n">
        <x:v>0.86</x:v>
      </x:c>
      <x:c r="I98" s="32" t="n">
        <x:v>0.94</x:v>
      </x:c>
      <x:c r="J98" s="27" t="str">
        <x:f>IF(G98&lt;650,"WATCH","OK")</x:f>
        <x:v>OK</x:v>
      </x:c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</x:row>
    <x:row r="99">
      <x:c r="A99" s="27" t="str">
        <x:v>L3</x:v>
      </x:c>
      <x:c r="B99" s="27" t="str">
        <x:v>elastico vita</x:v>
      </x:c>
      <x:c r="C99" s="27" t="str">
        <x:v>sewing</x:v>
      </x:c>
      <x:c r="D99" s="27" t="n">
        <x:v>13</x:v>
      </x:c>
      <x:c r="E99" s="27" t="n">
        <x:v>6</x:v>
      </x:c>
      <x:c r="F99" s="27" t="n">
        <x:v>5</x:v>
      </x:c>
      <x:c r="G99" s="36" t="n">
        <x:f>E99*8*60*H99*I99</x:f>
        <x:v>2328.192</x:v>
      </x:c>
      <x:c r="H99" s="32" t="n">
        <x:v>0.86</x:v>
      </x:c>
      <x:c r="I99" s="32" t="n">
        <x:v>0.94</x:v>
      </x:c>
      <x:c r="J99" s="27" t="str">
        <x:f>IF(G99&lt;650,"WATCH","OK")</x:f>
        <x:v>OK</x:v>
      </x:c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</x:row>
    <x:row r="100">
      <x:c r="A100" s="27" t="str">
        <x:v>L3</x:v>
      </x:c>
      <x:c r="B100" s="27" t="str">
        <x:v>ganci e rifiniture</x:v>
      </x:c>
      <x:c r="C100" s="27" t="str">
        <x:v>sewing</x:v>
      </x:c>
      <x:c r="D100" s="27" t="n">
        <x:v>7</x:v>
      </x:c>
      <x:c r="E100" s="27" t="n">
        <x:v>7</x:v>
      </x:c>
      <x:c r="F100" s="27" t="n">
        <x:v>6</x:v>
      </x:c>
      <x:c r="G100" s="36" t="n">
        <x:f>E100*8*60*H100*I100</x:f>
        <x:v>2716.2239999999997</x:v>
      </x:c>
      <x:c r="H100" s="32" t="n">
        <x:v>0.86</x:v>
      </x:c>
      <x:c r="I100" s="32" t="n">
        <x:v>0.94</x:v>
      </x:c>
      <x:c r="J100" s="27" t="str">
        <x:f>IF(G100&lt;650,"WATCH","OK")</x:f>
        <x:v>OK</x:v>
      </x:c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</x:row>
    <x:row r="101">
      <x:c r="A101" s="27" t="str">
        <x:v>L3</x:v>
      </x:c>
      <x:c r="B101" s="27" t="str">
        <x:v>imbastitura</x:v>
      </x:c>
      <x:c r="C101" s="27" t="str">
        <x:v>sewing</x:v>
      </x:c>
      <x:c r="D101" s="27" t="n">
        <x:v>8</x:v>
      </x:c>
      <x:c r="E101" s="27" t="n">
        <x:v>8</x:v>
      </x:c>
      <x:c r="F101" s="27" t="n">
        <x:v>7</x:v>
      </x:c>
      <x:c r="G101" s="36" t="n">
        <x:f>E101*8*60*H101*I101</x:f>
        <x:v>3104.256</x:v>
      </x:c>
      <x:c r="H101" s="32" t="n">
        <x:v>0.86</x:v>
      </x:c>
      <x:c r="I101" s="32" t="n">
        <x:v>0.94</x:v>
      </x:c>
      <x:c r="J101" s="27" t="str">
        <x:f>IF(G101&lt;650,"WATCH","OK")</x:f>
        <x:v>OK</x:v>
      </x:c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</x:row>
    <x:row r="102">
      <x:c r="A102" s="27" t="str">
        <x:v>L3</x:v>
      </x:c>
      <x:c r="B102" s="27" t="str">
        <x:v>maniche</x:v>
      </x:c>
      <x:c r="C102" s="27" t="str">
        <x:v>sewing</x:v>
      </x:c>
      <x:c r="D102" s="27" t="n">
        <x:v>9</x:v>
      </x:c>
      <x:c r="E102" s="27" t="n">
        <x:v>9</x:v>
      </x:c>
      <x:c r="F102" s="27" t="n">
        <x:v>8</x:v>
      </x:c>
      <x:c r="G102" s="36" t="n">
        <x:f>E102*8*60*H102*I102</x:f>
        <x:v>3492.2879999999996</x:v>
      </x:c>
      <x:c r="H102" s="32" t="n">
        <x:v>0.86</x:v>
      </x:c>
      <x:c r="I102" s="32" t="n">
        <x:v>0.94</x:v>
      </x:c>
      <x:c r="J102" s="27" t="str">
        <x:f>IF(G102&lt;650,"WATCH","OK")</x:f>
        <x:v>OK</x:v>
      </x:c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</x:row>
    <x:row r="103">
      <x:c r="A103" s="27" t="str">
        <x:v>L3</x:v>
      </x:c>
      <x:c r="B103" s="27" t="str">
        <x:v>orlo</x:v>
      </x:c>
      <x:c r="C103" s="27" t="str">
        <x:v>sewing</x:v>
      </x:c>
      <x:c r="D103" s="27" t="n">
        <x:v>10</x:v>
      </x:c>
      <x:c r="E103" s="27" t="n">
        <x:v>10</x:v>
      </x:c>
      <x:c r="F103" s="27" t="n">
        <x:v>9</x:v>
      </x:c>
      <x:c r="G103" s="36" t="n">
        <x:f>E103*8*60*H103*I103</x:f>
        <x:v>3880.3199999999997</x:v>
      </x:c>
      <x:c r="H103" s="32" t="n">
        <x:v>0.86</x:v>
      </x:c>
      <x:c r="I103" s="32" t="n">
        <x:v>0.94</x:v>
      </x:c>
      <x:c r="J103" s="27" t="str">
        <x:f>IF(G103&lt;650,"WATCH","OK")</x:f>
        <x:v>OK</x:v>
      </x:c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</x:row>
    <x:row r="104">
      <x:c r="A104" s="27" t="str">
        <x:v>L3</x:v>
      </x:c>
      <x:c r="B104" s="27" t="str">
        <x:v>orlo e rifiniture</x:v>
      </x:c>
      <x:c r="C104" s="27" t="str">
        <x:v>sewing</x:v>
      </x:c>
      <x:c r="D104" s="27" t="n">
        <x:v>11</x:v>
      </x:c>
      <x:c r="E104" s="27" t="n">
        <x:v>5</x:v>
      </x:c>
      <x:c r="F104" s="27" t="n">
        <x:v>4</x:v>
      </x:c>
      <x:c r="G104" s="36" t="n">
        <x:f>E104*8*60*H104*I104</x:f>
        <x:v>1940.1599999999999</x:v>
      </x:c>
      <x:c r="H104" s="32" t="n">
        <x:v>0.86</x:v>
      </x:c>
      <x:c r="I104" s="32" t="n">
        <x:v>0.94</x:v>
      </x:c>
      <x:c r="J104" s="27" t="str">
        <x:f>IF(G104&lt;650,"WATCH","OK")</x:f>
        <x:v>OK</x:v>
      </x:c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</x:row>
    <x:row r="105">
      <x:c r="A105" s="27" t="str">
        <x:v>L3</x:v>
      </x:c>
      <x:c r="B105" s="27" t="str">
        <x:v>packing</x:v>
      </x:c>
      <x:c r="C105" s="27" t="str">
        <x:v>finishing</x:v>
      </x:c>
      <x:c r="D105" s="27" t="n">
        <x:v>9</x:v>
      </x:c>
      <x:c r="E105" s="27" t="n">
        <x:v>7</x:v>
      </x:c>
      <x:c r="F105" s="27" t="n">
        <x:v>5</x:v>
      </x:c>
      <x:c r="G105" s="36" t="n">
        <x:f>E105*8*60*H105*I105</x:f>
        <x:v>2716.2239999999997</x:v>
      </x:c>
      <x:c r="H105" s="32" t="n">
        <x:v>0.86</x:v>
      </x:c>
      <x:c r="I105" s="32" t="n">
        <x:v>0.94</x:v>
      </x:c>
      <x:c r="J105" s="27" t="str">
        <x:f>IF(G105&lt;650,"WATCH","OK")</x:f>
        <x:v>OK</x:v>
      </x:c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</x:row>
    <x:row r="106">
      <x:c r="A106" s="27" t="str">
        <x:v>L3</x:v>
      </x:c>
      <x:c r="B106" s="27" t="str">
        <x:v>polsi e fondo</x:v>
      </x:c>
      <x:c r="C106" s="27" t="str">
        <x:v>sewing</x:v>
      </x:c>
      <x:c r="D106" s="27" t="n">
        <x:v>13</x:v>
      </x:c>
      <x:c r="E106" s="27" t="n">
        <x:v>7</x:v>
      </x:c>
      <x:c r="F106" s="27" t="n">
        <x:v>6</x:v>
      </x:c>
      <x:c r="G106" s="36" t="n">
        <x:f>E106*8*60*H106*I106</x:f>
        <x:v>2716.2239999999997</x:v>
      </x:c>
      <x:c r="H106" s="32" t="n">
        <x:v>0.86</x:v>
      </x:c>
      <x:c r="I106" s="32" t="n">
        <x:v>0.94</x:v>
      </x:c>
      <x:c r="J106" s="27" t="str">
        <x:f>IF(G106&lt;650,"WATCH","OK")</x:f>
        <x:v>OK</x:v>
      </x:c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</x:row>
    <x:row r="107">
      <x:c r="A107" s="27" t="str">
        <x:v>L3</x:v>
      </x:c>
      <x:c r="B107" s="27" t="str">
        <x:v>spalle e fianchi</x:v>
      </x:c>
      <x:c r="C107" s="27" t="str">
        <x:v>sewing</x:v>
      </x:c>
      <x:c r="D107" s="27" t="n">
        <x:v>7</x:v>
      </x:c>
      <x:c r="E107" s="27" t="n">
        <x:v>7</x:v>
      </x:c>
      <x:c r="F107" s="27" t="n">
        <x:v>6</x:v>
      </x:c>
      <x:c r="G107" s="36" t="n">
        <x:f>E107*8*60*H107*I107</x:f>
        <x:v>2716.2239999999997</x:v>
      </x:c>
      <x:c r="H107" s="32" t="n">
        <x:v>0.86</x:v>
      </x:c>
      <x:c r="I107" s="32" t="n">
        <x:v>0.94</x:v>
      </x:c>
      <x:c r="J107" s="27" t="str">
        <x:f>IF(G107&lt;650,"WATCH","OK")</x:f>
        <x:v>OK</x:v>
      </x:c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</x:row>
    <x:row r="108">
      <x:c r="A108" s="27" t="str">
        <x:v>L3</x:v>
      </x:c>
      <x:c r="B108" s="27" t="str">
        <x:v>stiro finale</x:v>
      </x:c>
      <x:c r="C108" s="27" t="str">
        <x:v>finishing</x:v>
      </x:c>
      <x:c r="D108" s="27" t="n">
        <x:v>7</x:v>
      </x:c>
      <x:c r="E108" s="27" t="n">
        <x:v>6</x:v>
      </x:c>
      <x:c r="F108" s="27" t="n">
        <x:v>4</x:v>
      </x:c>
      <x:c r="G108" s="36" t="n">
        <x:f>E108*8*60*H108*I108</x:f>
        <x:v>2328.192</x:v>
      </x:c>
      <x:c r="H108" s="32" t="n">
        <x:v>0.86</x:v>
      </x:c>
      <x:c r="I108" s="32" t="n">
        <x:v>0.94</x:v>
      </x:c>
      <x:c r="J108" s="27" t="str">
        <x:f>IF(G108&lt;650,"WATCH","OK")</x:f>
        <x:v>OK</x:v>
      </x:c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</x:row>
    <x:row r="109">
      <x:c r="A109" s="27" t="str">
        <x:v>L3</x:v>
      </x:c>
      <x:c r="B109" s="27" t="str">
        <x:v>stiro intermedio</x:v>
      </x:c>
      <x:c r="C109" s="27" t="str">
        <x:v>finishing</x:v>
      </x:c>
      <x:c r="D109" s="27" t="n">
        <x:v>8</x:v>
      </x:c>
      <x:c r="E109" s="27" t="n">
        <x:v>7</x:v>
      </x:c>
      <x:c r="F109" s="27" t="n">
        <x:v>5</x:v>
      </x:c>
      <x:c r="G109" s="36" t="n">
        <x:f>E109*8*60*H109*I109</x:f>
        <x:v>2716.2239999999997</x:v>
      </x:c>
      <x:c r="H109" s="32" t="n">
        <x:v>0.86</x:v>
      </x:c>
      <x:c r="I109" s="32" t="n">
        <x:v>0.94</x:v>
      </x:c>
      <x:c r="J109" s="27" t="str">
        <x:f>IF(G109&lt;650,"WATCH","OK")</x:f>
        <x:v>OK</x:v>
      </x:c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</x:row>
    <x:row r="110">
      <x:c r="A110" s="27" t="str">
        <x:v>L3</x:v>
      </x:c>
      <x:c r="B110" s="27" t="str">
        <x:v>stiro/packing</x:v>
      </x:c>
      <x:c r="C110" s="27" t="str">
        <x:v>finishing</x:v>
      </x:c>
      <x:c r="D110" s="27" t="n">
        <x:v>9</x:v>
      </x:c>
      <x:c r="E110" s="27" t="n">
        <x:v>4</x:v>
      </x:c>
      <x:c r="F110" s="27" t="n">
        <x:v>2</x:v>
      </x:c>
      <x:c r="G110" s="36" t="n">
        <x:f>E110*8*60*H110*I110</x:f>
        <x:v>1552.128</x:v>
      </x:c>
      <x:c r="H110" s="32" t="n">
        <x:v>0.86</x:v>
      </x:c>
      <x:c r="I110" s="32" t="n">
        <x:v>0.94</x:v>
      </x:c>
      <x:c r="J110" s="27" t="str">
        <x:f>IF(G110&lt;650,"WATCH","OK")</x:f>
        <x:v>OK</x:v>
      </x:c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</x:row>
    <x:row r="111">
      <x:c r="A111" s="27" t="str">
        <x:v>L3</x:v>
      </x:c>
      <x:c r="B111" s="27" t="str">
        <x:v>taglio tessuto</x:v>
      </x:c>
      <x:c r="C111" s="27" t="str">
        <x:v>cutting</x:v>
      </x:c>
      <x:c r="D111" s="27" t="n">
        <x:v>6</x:v>
      </x:c>
      <x:c r="E111" s="27" t="n">
        <x:v>5</x:v>
      </x:c>
      <x:c r="F111" s="27" t="n">
        <x:v>3</x:v>
      </x:c>
      <x:c r="G111" s="36" t="n">
        <x:f>E111*8*60*H111*I111</x:f>
        <x:v>1940.1599999999999</x:v>
      </x:c>
      <x:c r="H111" s="32" t="n">
        <x:v>0.86</x:v>
      </x:c>
      <x:c r="I111" s="32" t="n">
        <x:v>0.94</x:v>
      </x:c>
      <x:c r="J111" s="27" t="str">
        <x:f>IF(G111&lt;650,"WATCH","OK")</x:f>
        <x:v>OK</x:v>
      </x:c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</x:row>
    <x:row r="112">
      <x:c r="A112" s="27" t="str">
        <x:v>L3</x:v>
      </x:c>
      <x:c r="B112" s="27" t="str">
        <x:v>tasche</x:v>
      </x:c>
      <x:c r="C112" s="27" t="str">
        <x:v>sewing</x:v>
      </x:c>
      <x:c r="D112" s="27" t="n">
        <x:v>12</x:v>
      </x:c>
      <x:c r="E112" s="27" t="n">
        <x:v>7</x:v>
      </x:c>
      <x:c r="F112" s="27" t="n">
        <x:v>6</x:v>
      </x:c>
      <x:c r="G112" s="36" t="n">
        <x:f>E112*8*60*H112*I112</x:f>
        <x:v>2716.2239999999997</x:v>
      </x:c>
      <x:c r="H112" s="32" t="n">
        <x:v>0.86</x:v>
      </x:c>
      <x:c r="I112" s="32" t="n">
        <x:v>0.94</x:v>
      </x:c>
      <x:c r="J112" s="27" t="str">
        <x:f>IF(G112&lt;650,"WATCH","OK")</x:f>
        <x:v>OK</x:v>
      </x:c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</x:row>
    <x:row r="113">
      <x:c r="A113" s="27" t="str">
        <x:v>L4</x:v>
      </x:c>
      <x:c r="B113" s="27" t="str">
        <x:v>adesivazione</x:v>
      </x:c>
      <x:c r="C113" s="27" t="str">
        <x:v>cutting</x:v>
      </x:c>
      <x:c r="D113" s="27" t="n">
        <x:v>8</x:v>
      </x:c>
      <x:c r="E113" s="27" t="n">
        <x:v>4</x:v>
      </x:c>
      <x:c r="F113" s="27" t="n">
        <x:v>2</x:v>
      </x:c>
      <x:c r="G113" s="36" t="n">
        <x:f>E113*8*60*H113*I113</x:f>
        <x:v>1483.776</x:v>
      </x:c>
      <x:c r="H113" s="32" t="n">
        <x:v>0.84</x:v>
      </x:c>
      <x:c r="I113" s="32" t="n">
        <x:v>0.92</x:v>
      </x:c>
      <x:c r="J113" s="27" t="str">
        <x:f>IF(G113&lt;650,"WATCH","OK")</x:f>
        <x:v>OK</x:v>
      </x:c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</x:row>
    <x:row r="114">
      <x:c r="A114" s="27" t="str">
        <x:v>L4</x:v>
      </x:c>
      <x:c r="B114" s="27" t="str">
        <x:v>applicazione elastici</x:v>
      </x:c>
      <x:c r="C114" s="27" t="str">
        <x:v>sewing</x:v>
      </x:c>
      <x:c r="D114" s="27" t="n">
        <x:v>7</x:v>
      </x:c>
      <x:c r="E114" s="27" t="n">
        <x:v>7</x:v>
      </x:c>
      <x:c r="F114" s="27" t="n">
        <x:v>6</x:v>
      </x:c>
      <x:c r="G114" s="36" t="n">
        <x:f>E114*8*60*H114*I114</x:f>
        <x:v>2596.608</x:v>
      </x:c>
      <x:c r="H114" s="32" t="n">
        <x:v>0.84</x:v>
      </x:c>
      <x:c r="I114" s="32" t="n">
        <x:v>0.92</x:v>
      </x:c>
      <x:c r="J114" s="27" t="str">
        <x:f>IF(G114&lt;650,"WATCH","OK")</x:f>
        <x:v>OK</x:v>
      </x:c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</x:row>
    <x:row r="115">
      <x:c r="A115" s="27" t="str">
        <x:v>L4</x:v>
      </x:c>
      <x:c r="B115" s="27" t="str">
        <x:v>applicazione fodera</x:v>
      </x:c>
      <x:c r="C115" s="27" t="str">
        <x:v>sewing</x:v>
      </x:c>
      <x:c r="D115" s="27" t="n">
        <x:v>8</x:v>
      </x:c>
      <x:c r="E115" s="27" t="n">
        <x:v>8</x:v>
      </x:c>
      <x:c r="F115" s="27" t="n">
        <x:v>7</x:v>
      </x:c>
      <x:c r="G115" s="36" t="n">
        <x:f>E115*8*60*H115*I115</x:f>
        <x:v>2967.552</x:v>
      </x:c>
      <x:c r="H115" s="32" t="n">
        <x:v>0.84</x:v>
      </x:c>
      <x:c r="I115" s="32" t="n">
        <x:v>0.92</x:v>
      </x:c>
      <x:c r="J115" s="27" t="str">
        <x:f>IF(G115&lt;650,"WATCH","OK")</x:f>
        <x:v>OK</x:v>
      </x:c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</x:row>
    <x:row r="116">
      <x:c r="A116" s="27" t="str">
        <x:v>L4</x:v>
      </x:c>
      <x:c r="B116" s="27" t="str">
        <x:v>applicazione zip</x:v>
      </x:c>
      <x:c r="C116" s="27" t="str">
        <x:v>sewing</x:v>
      </x:c>
      <x:c r="D116" s="27" t="n">
        <x:v>9</x:v>
      </x:c>
      <x:c r="E116" s="27" t="n">
        <x:v>5</x:v>
      </x:c>
      <x:c r="F116" s="27" t="n">
        <x:v>4</x:v>
      </x:c>
      <x:c r="G116" s="36" t="n">
        <x:f>E116*8*60*H116*I116</x:f>
        <x:v>1854.72</x:v>
      </x:c>
      <x:c r="H116" s="32" t="n">
        <x:v>0.84</x:v>
      </x:c>
      <x:c r="I116" s="32" t="n">
        <x:v>0.92</x:v>
      </x:c>
      <x:c r="J116" s="27" t="str">
        <x:f>IF(G116&lt;650,"WATCH","OK")</x:f>
        <x:v>OK</x:v>
      </x:c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</x:row>
    <x:row r="117">
      <x:c r="A117" s="27" t="str">
        <x:v>L4</x:v>
      </x:c>
      <x:c r="B117" s="27" t="str">
        <x:v>asolatura/bottoni</x:v>
      </x:c>
      <x:c r="C117" s="27" t="str">
        <x:v>sewing</x:v>
      </x:c>
      <x:c r="D117" s="27" t="n">
        <x:v>10</x:v>
      </x:c>
      <x:c r="E117" s="27" t="n">
        <x:v>6</x:v>
      </x:c>
      <x:c r="F117" s="27" t="n">
        <x:v>5</x:v>
      </x:c>
      <x:c r="G117" s="36" t="n">
        <x:f>E117*8*60*H117*I117</x:f>
        <x:v>2225.6639999999998</x:v>
      </x:c>
      <x:c r="H117" s="32" t="n">
        <x:v>0.84</x:v>
      </x:c>
      <x:c r="I117" s="32" t="n">
        <x:v>0.92</x:v>
      </x:c>
      <x:c r="J117" s="27" t="str">
        <x:f>IF(G117&lt;650,"WATCH","OK")</x:f>
        <x:v>OK</x:v>
      </x:c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</x:row>
    <x:row r="118">
      <x:c r="A118" s="27" t="str">
        <x:v>L4</x:v>
      </x:c>
      <x:c r="B118" s="27" t="str">
        <x:v>assemblaggio</x:v>
      </x:c>
      <x:c r="C118" s="27" t="str">
        <x:v>sewing</x:v>
      </x:c>
      <x:c r="D118" s="27" t="n">
        <x:v>11</x:v>
      </x:c>
      <x:c r="E118" s="27" t="n">
        <x:v>7</x:v>
      </x:c>
      <x:c r="F118" s="27" t="n">
        <x:v>6</x:v>
      </x:c>
      <x:c r="G118" s="36" t="n">
        <x:f>E118*8*60*H118*I118</x:f>
        <x:v>2596.608</x:v>
      </x:c>
      <x:c r="H118" s="32" t="n">
        <x:v>0.84</x:v>
      </x:c>
      <x:c r="I118" s="32" t="n">
        <x:v>0.92</x:v>
      </x:c>
      <x:c r="J118" s="27" t="str">
        <x:f>IF(G118&lt;650,"WATCH","OK")</x:f>
        <x:v>OK</x:v>
      </x:c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</x:row>
    <x:row r="119">
      <x:c r="A119" s="27" t="str">
        <x:v>L4</x:v>
      </x:c>
      <x:c r="B119" s="27" t="str">
        <x:v>assemblaggio busto</x:v>
      </x:c>
      <x:c r="C119" s="27" t="str">
        <x:v>sewing</x:v>
      </x:c>
      <x:c r="D119" s="27" t="n">
        <x:v>12</x:v>
      </x:c>
      <x:c r="E119" s="27" t="n">
        <x:v>8</x:v>
      </x:c>
      <x:c r="F119" s="27" t="n">
        <x:v>7</x:v>
      </x:c>
      <x:c r="G119" s="36" t="n">
        <x:f>E119*8*60*H119*I119</x:f>
        <x:v>2967.552</x:v>
      </x:c>
      <x:c r="H119" s="32" t="n">
        <x:v>0.84</x:v>
      </x:c>
      <x:c r="I119" s="32" t="n">
        <x:v>0.92</x:v>
      </x:c>
      <x:c r="J119" s="27" t="str">
        <x:f>IF(G119&lt;650,"WATCH","OK")</x:f>
        <x:v>OK</x:v>
      </x:c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</x:row>
    <x:row r="120">
      <x:c r="A120" s="27" t="str">
        <x:v>L4</x:v>
      </x:c>
      <x:c r="B120" s="27" t="str">
        <x:v>bottoni automatici</x:v>
      </x:c>
      <x:c r="C120" s="27" t="str">
        <x:v>sewing</x:v>
      </x:c>
      <x:c r="D120" s="27" t="n">
        <x:v>13</x:v>
      </x:c>
      <x:c r="E120" s="27" t="n">
        <x:v>9</x:v>
      </x:c>
      <x:c r="F120" s="27" t="n">
        <x:v>8</x:v>
      </x:c>
      <x:c r="G120" s="36" t="n">
        <x:f>E120*8*60*H120*I120</x:f>
        <x:v>3338.496</x:v>
      </x:c>
      <x:c r="H120" s="32" t="n">
        <x:v>0.84</x:v>
      </x:c>
      <x:c r="I120" s="32" t="n">
        <x:v>0.92</x:v>
      </x:c>
      <x:c r="J120" s="27" t="str">
        <x:f>IF(G120&lt;650,"WATCH","OK")</x:f>
        <x:v>OK</x:v>
      </x:c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</x:row>
    <x:row r="121">
      <x:c r="A121" s="27" t="str">
        <x:v>L4</x:v>
      </x:c>
      <x:c r="B121" s="27" t="str">
        <x:v>cappuccio/collo</x:v>
      </x:c>
      <x:c r="C121" s="27" t="str">
        <x:v>sewing</x:v>
      </x:c>
      <x:c r="D121" s="27" t="n">
        <x:v>7</x:v>
      </x:c>
      <x:c r="E121" s="27" t="n">
        <x:v>7</x:v>
      </x:c>
      <x:c r="F121" s="27" t="n">
        <x:v>6</x:v>
      </x:c>
      <x:c r="G121" s="36" t="n">
        <x:f>E121*8*60*H121*I121</x:f>
        <x:v>2596.608</x:v>
      </x:c>
      <x:c r="H121" s="32" t="n">
        <x:v>0.84</x:v>
      </x:c>
      <x:c r="I121" s="32" t="n">
        <x:v>0.92</x:v>
      </x:c>
      <x:c r="J121" s="27" t="str">
        <x:f>IF(G121&lt;650,"WATCH","OK")</x:f>
        <x:v>OK</x:v>
      </x:c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</x:row>
    <x:row r="122">
      <x:c r="A122" s="27" t="str">
        <x:v>L4</x:v>
      </x:c>
      <x:c r="B122" s="27" t="str">
        <x:v>cintura</x:v>
      </x:c>
      <x:c r="C122" s="27" t="str">
        <x:v>sewing</x:v>
      </x:c>
      <x:c r="D122" s="27" t="n">
        <x:v>8</x:v>
      </x:c>
      <x:c r="E122" s="27" t="n">
        <x:v>5</x:v>
      </x:c>
      <x:c r="F122" s="27" t="n">
        <x:v>4</x:v>
      </x:c>
      <x:c r="G122" s="36" t="n">
        <x:f>E122*8*60*H122*I122</x:f>
        <x:v>1854.72</x:v>
      </x:c>
      <x:c r="H122" s="32" t="n">
        <x:v>0.84</x:v>
      </x:c>
      <x:c r="I122" s="32" t="n">
        <x:v>0.92</x:v>
      </x:c>
      <x:c r="J122" s="27" t="str">
        <x:f>IF(G122&lt;650,"WATCH","OK")</x:f>
        <x:v>OK</x:v>
      </x:c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</x:row>
    <x:row r="123">
      <x:c r="A123" s="27" t="str">
        <x:v>L4</x:v>
      </x:c>
      <x:c r="B123" s="27" t="str">
        <x:v>collo</x:v>
      </x:c>
      <x:c r="C123" s="27" t="str">
        <x:v>sewing</x:v>
      </x:c>
      <x:c r="D123" s="27" t="n">
        <x:v>9</x:v>
      </x:c>
      <x:c r="E123" s="27" t="n">
        <x:v>6</x:v>
      </x:c>
      <x:c r="F123" s="27" t="n">
        <x:v>5</x:v>
      </x:c>
      <x:c r="G123" s="36" t="n">
        <x:f>E123*8*60*H123*I123</x:f>
        <x:v>2225.6639999999998</x:v>
      </x:c>
      <x:c r="H123" s="32" t="n">
        <x:v>0.84</x:v>
      </x:c>
      <x:c r="I123" s="32" t="n">
        <x:v>0.92</x:v>
      </x:c>
      <x:c r="J123" s="27" t="str">
        <x:f>IF(G123&lt;650,"WATCH","OK")</x:f>
        <x:v>OK</x:v>
      </x:c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</x:row>
    <x:row r="124">
      <x:c r="A124" s="27" t="str">
        <x:v>L4</x:v>
      </x:c>
      <x:c r="B124" s="27" t="str">
        <x:v>collo e polsi</x:v>
      </x:c>
      <x:c r="C124" s="27" t="str">
        <x:v>sewing</x:v>
      </x:c>
      <x:c r="D124" s="27" t="n">
        <x:v>10</x:v>
      </x:c>
      <x:c r="E124" s="27" t="n">
        <x:v>7</x:v>
      </x:c>
      <x:c r="F124" s="27" t="n">
        <x:v>6</x:v>
      </x:c>
      <x:c r="G124" s="36" t="n">
        <x:f>E124*8*60*H124*I124</x:f>
        <x:v>2596.608</x:v>
      </x:c>
      <x:c r="H124" s="32" t="n">
        <x:v>0.84</x:v>
      </x:c>
      <x:c r="I124" s="32" t="n">
        <x:v>0.92</x:v>
      </x:c>
      <x:c r="J124" s="27" t="str">
        <x:f>IF(G124&lt;650,"WATCH","OK")</x:f>
        <x:v>OK</x:v>
      </x:c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</x:row>
    <x:row r="125">
      <x:c r="A125" s="27" t="str">
        <x:v>L4</x:v>
      </x:c>
      <x:c r="B125" s="27" t="str">
        <x:v>confezione capo</x:v>
      </x:c>
      <x:c r="C125" s="27" t="str">
        <x:v>sewing</x:v>
      </x:c>
      <x:c r="D125" s="27" t="n">
        <x:v>11</x:v>
      </x:c>
      <x:c r="E125" s="27" t="n">
        <x:v>8</x:v>
      </x:c>
      <x:c r="F125" s="27" t="n">
        <x:v>7</x:v>
      </x:c>
      <x:c r="G125" s="36" t="n">
        <x:f>E125*8*60*H125*I125</x:f>
        <x:v>2967.552</x:v>
      </x:c>
      <x:c r="H125" s="32" t="n">
        <x:v>0.84</x:v>
      </x:c>
      <x:c r="I125" s="32" t="n">
        <x:v>0.92</x:v>
      </x:c>
      <x:c r="J125" s="27" t="str">
        <x:f>IF(G125&lt;650,"WATCH","OK")</x:f>
        <x:v>OK</x:v>
      </x:c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</x:row>
    <x:row r="126">
      <x:c r="A126" s="27" t="str">
        <x:v>L4</x:v>
      </x:c>
      <x:c r="B126" s="27" t="str">
        <x:v>confezione corpino</x:v>
      </x:c>
      <x:c r="C126" s="27" t="str">
        <x:v>sewing</x:v>
      </x:c>
      <x:c r="D126" s="27" t="n">
        <x:v>12</x:v>
      </x:c>
      <x:c r="E126" s="27" t="n">
        <x:v>9</x:v>
      </x:c>
      <x:c r="F126" s="27" t="n">
        <x:v>8</x:v>
      </x:c>
      <x:c r="G126" s="36" t="n">
        <x:f>E126*8*60*H126*I126</x:f>
        <x:v>3338.496</x:v>
      </x:c>
      <x:c r="H126" s="32" t="n">
        <x:v>0.84</x:v>
      </x:c>
      <x:c r="I126" s="32" t="n">
        <x:v>0.92</x:v>
      </x:c>
      <x:c r="J126" s="27" t="str">
        <x:f>IF(G126&lt;650,"WATCH","OK")</x:f>
        <x:v>OK</x:v>
      </x:c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</x:row>
    <x:row r="127">
      <x:c r="A127" s="27" t="str">
        <x:v>L4</x:v>
      </x:c>
      <x:c r="B127" s="27" t="str">
        <x:v>confezione gonna</x:v>
      </x:c>
      <x:c r="C127" s="27" t="str">
        <x:v>sewing</x:v>
      </x:c>
      <x:c r="D127" s="27" t="n">
        <x:v>13</x:v>
      </x:c>
      <x:c r="E127" s="27" t="n">
        <x:v>10</x:v>
      </x:c>
      <x:c r="F127" s="27" t="n">
        <x:v>9</x:v>
      </x:c>
      <x:c r="G127" s="36" t="n">
        <x:f>E127*8*60*H127*I127</x:f>
        <x:v>3709.44</x:v>
      </x:c>
      <x:c r="H127" s="32" t="n">
        <x:v>0.84</x:v>
      </x:c>
      <x:c r="I127" s="32" t="n">
        <x:v>0.92</x:v>
      </x:c>
      <x:c r="J127" s="27" t="str">
        <x:f>IF(G127&lt;650,"WATCH","OK")</x:f>
        <x:v>OK</x:v>
      </x:c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</x:row>
    <x:row r="128">
      <x:c r="A128" s="27" t="str">
        <x:v>L4</x:v>
      </x:c>
      <x:c r="B128" s="27" t="str">
        <x:v>controllo qualità</x:v>
      </x:c>
      <x:c r="C128" s="27" t="str">
        <x:v>quality_control</x:v>
      </x:c>
      <x:c r="D128" s="27" t="n">
        <x:v>6</x:v>
      </x:c>
      <x:c r="E128" s="27" t="n">
        <x:v>3</x:v>
      </x:c>
      <x:c r="F128" s="27" t="n">
        <x:v>0</x:v>
      </x:c>
      <x:c r="G128" s="36" t="n">
        <x:f>E128*8*60*H128*I128</x:f>
        <x:v>1112.8319999999999</x:v>
      </x:c>
      <x:c r="H128" s="32" t="n">
        <x:v>0.84</x:v>
      </x:c>
      <x:c r="I128" s="32" t="n">
        <x:v>0.92</x:v>
      </x:c>
      <x:c r="J128" s="27" t="str">
        <x:f>IF(G128&lt;650,"WATCH","OK")</x:f>
        <x:v>OK</x:v>
      </x:c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</x:row>
    <x:row r="129">
      <x:c r="A129" s="27" t="str">
        <x:v>L4</x:v>
      </x:c>
      <x:c r="B129" s="27" t="str">
        <x:v>coppe</x:v>
      </x:c>
      <x:c r="C129" s="27" t="str">
        <x:v>sewing</x:v>
      </x:c>
      <x:c r="D129" s="27" t="n">
        <x:v>8</x:v>
      </x:c>
      <x:c r="E129" s="27" t="n">
        <x:v>6</x:v>
      </x:c>
      <x:c r="F129" s="27" t="n">
        <x:v>5</x:v>
      </x:c>
      <x:c r="G129" s="36" t="n">
        <x:f>E129*8*60*H129*I129</x:f>
        <x:v>2225.6639999999998</x:v>
      </x:c>
      <x:c r="H129" s="32" t="n">
        <x:v>0.84</x:v>
      </x:c>
      <x:c r="I129" s="32" t="n">
        <x:v>0.92</x:v>
      </x:c>
      <x:c r="J129" s="27" t="str">
        <x:f>IF(G129&lt;650,"WATCH","OK")</x:f>
        <x:v>OK</x:v>
      </x:c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</x:row>
    <x:row r="130">
      <x:c r="A130" s="27" t="str">
        <x:v>L4</x:v>
      </x:c>
      <x:c r="B130" s="27" t="str">
        <x:v>costruzione davanti</x:v>
      </x:c>
      <x:c r="C130" s="27" t="str">
        <x:v>sewing</x:v>
      </x:c>
      <x:c r="D130" s="27" t="n">
        <x:v>9</x:v>
      </x:c>
      <x:c r="E130" s="27" t="n">
        <x:v>7</x:v>
      </x:c>
      <x:c r="F130" s="27" t="n">
        <x:v>6</x:v>
      </x:c>
      <x:c r="G130" s="36" t="n">
        <x:f>E130*8*60*H130*I130</x:f>
        <x:v>2596.608</x:v>
      </x:c>
      <x:c r="H130" s="32" t="n">
        <x:v>0.84</x:v>
      </x:c>
      <x:c r="I130" s="32" t="n">
        <x:v>0.92</x:v>
      </x:c>
      <x:c r="J130" s="27" t="str">
        <x:f>IF(G130&lt;650,"WATCH","OK")</x:f>
        <x:v>OK</x:v>
      </x:c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</x:row>
    <x:row r="131">
      <x:c r="A131" s="27" t="str">
        <x:v>L4</x:v>
      </x:c>
      <x:c r="B131" s="27" t="str">
        <x:v>cuciture spalle</x:v>
      </x:c>
      <x:c r="C131" s="27" t="str">
        <x:v>sewing</x:v>
      </x:c>
      <x:c r="D131" s="27" t="n">
        <x:v>10</x:v>
      </x:c>
      <x:c r="E131" s="27" t="n">
        <x:v>8</x:v>
      </x:c>
      <x:c r="F131" s="27" t="n">
        <x:v>7</x:v>
      </x:c>
      <x:c r="G131" s="36" t="n">
        <x:f>E131*8*60*H131*I131</x:f>
        <x:v>2967.552</x:v>
      </x:c>
      <x:c r="H131" s="32" t="n">
        <x:v>0.84</x:v>
      </x:c>
      <x:c r="I131" s="32" t="n">
        <x:v>0.92</x:v>
      </x:c>
      <x:c r="J131" s="27" t="str">
        <x:f>IF(G131&lt;650,"WATCH","OK")</x:f>
        <x:v>OK</x:v>
      </x:c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</x:row>
    <x:row r="132">
      <x:c r="A132" s="27" t="str">
        <x:v>L4</x:v>
      </x:c>
      <x:c r="B132" s="27" t="str">
        <x:v>cuciture tasche</x:v>
      </x:c>
      <x:c r="C132" s="27" t="str">
        <x:v>sewing</x:v>
      </x:c>
      <x:c r="D132" s="27" t="n">
        <x:v>11</x:v>
      </x:c>
      <x:c r="E132" s="27" t="n">
        <x:v>9</x:v>
      </x:c>
      <x:c r="F132" s="27" t="n">
        <x:v>8</x:v>
      </x:c>
      <x:c r="G132" s="36" t="n">
        <x:f>E132*8*60*H132*I132</x:f>
        <x:v>3338.496</x:v>
      </x:c>
      <x:c r="H132" s="32" t="n">
        <x:v>0.84</x:v>
      </x:c>
      <x:c r="I132" s="32" t="n">
        <x:v>0.92</x:v>
      </x:c>
      <x:c r="J132" s="27" t="str">
        <x:f>IF(G132&lt;650,"WATCH","OK")</x:f>
        <x:v>OK</x:v>
      </x:c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</x:row>
    <x:row r="133">
      <x:c r="A133" s="27" t="str">
        <x:v>L4</x:v>
      </x:c>
      <x:c r="B133" s="27" t="str">
        <x:v>elastici</x:v>
      </x:c>
      <x:c r="C133" s="27" t="str">
        <x:v>sewing</x:v>
      </x:c>
      <x:c r="D133" s="27" t="n">
        <x:v>12</x:v>
      </x:c>
      <x:c r="E133" s="27" t="n">
        <x:v>10</x:v>
      </x:c>
      <x:c r="F133" s="27" t="n">
        <x:v>9</x:v>
      </x:c>
      <x:c r="G133" s="36" t="n">
        <x:f>E133*8*60*H133*I133</x:f>
        <x:v>3709.44</x:v>
      </x:c>
      <x:c r="H133" s="32" t="n">
        <x:v>0.84</x:v>
      </x:c>
      <x:c r="I133" s="32" t="n">
        <x:v>0.92</x:v>
      </x:c>
      <x:c r="J133" s="27" t="str">
        <x:f>IF(G133&lt;650,"WATCH","OK")</x:f>
        <x:v>OK</x:v>
      </x:c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</x:row>
    <x:row r="134">
      <x:c r="A134" s="27" t="str">
        <x:v>L4</x:v>
      </x:c>
      <x:c r="B134" s="27" t="str">
        <x:v>elastici e spalline</x:v>
      </x:c>
      <x:c r="C134" s="27" t="str">
        <x:v>sewing</x:v>
      </x:c>
      <x:c r="D134" s="27" t="n">
        <x:v>13</x:v>
      </x:c>
      <x:c r="E134" s="27" t="n">
        <x:v>5</x:v>
      </x:c>
      <x:c r="F134" s="27" t="n">
        <x:v>4</x:v>
      </x:c>
      <x:c r="G134" s="36" t="n">
        <x:f>E134*8*60*H134*I134</x:f>
        <x:v>1854.72</x:v>
      </x:c>
      <x:c r="H134" s="32" t="n">
        <x:v>0.84</x:v>
      </x:c>
      <x:c r="I134" s="32" t="n">
        <x:v>0.92</x:v>
      </x:c>
      <x:c r="J134" s="27" t="str">
        <x:f>IF(G134&lt;650,"WATCH","OK")</x:f>
        <x:v>OK</x:v>
      </x:c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</x:row>
    <x:row r="135">
      <x:c r="A135" s="27" t="str">
        <x:v>L4</x:v>
      </x:c>
      <x:c r="B135" s="27" t="str">
        <x:v>elastici/finizioni</x:v>
      </x:c>
      <x:c r="C135" s="27" t="str">
        <x:v>sewing</x:v>
      </x:c>
      <x:c r="D135" s="27" t="n">
        <x:v>7</x:v>
      </x:c>
      <x:c r="E135" s="27" t="n">
        <x:v>6</x:v>
      </x:c>
      <x:c r="F135" s="27" t="n">
        <x:v>5</x:v>
      </x:c>
      <x:c r="G135" s="36" t="n">
        <x:f>E135*8*60*H135*I135</x:f>
        <x:v>2225.6639999999998</x:v>
      </x:c>
      <x:c r="H135" s="32" t="n">
        <x:v>0.84</x:v>
      </x:c>
      <x:c r="I135" s="32" t="n">
        <x:v>0.92</x:v>
      </x:c>
      <x:c r="J135" s="27" t="str">
        <x:f>IF(G135&lt;650,"WATCH","OK")</x:f>
        <x:v>OK</x:v>
      </x:c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</x:row>
    <x:row r="136">
      <x:c r="A136" s="27" t="str">
        <x:v>L4</x:v>
      </x:c>
      <x:c r="B136" s="27" t="str">
        <x:v>elastico vita</x:v>
      </x:c>
      <x:c r="C136" s="27" t="str">
        <x:v>sewing</x:v>
      </x:c>
      <x:c r="D136" s="27" t="n">
        <x:v>8</x:v>
      </x:c>
      <x:c r="E136" s="27" t="n">
        <x:v>7</x:v>
      </x:c>
      <x:c r="F136" s="27" t="n">
        <x:v>6</x:v>
      </x:c>
      <x:c r="G136" s="36" t="n">
        <x:f>E136*8*60*H136*I136</x:f>
        <x:v>2596.608</x:v>
      </x:c>
      <x:c r="H136" s="32" t="n">
        <x:v>0.84</x:v>
      </x:c>
      <x:c r="I136" s="32" t="n">
        <x:v>0.92</x:v>
      </x:c>
      <x:c r="J136" s="27" t="str">
        <x:f>IF(G136&lt;650,"WATCH","OK")</x:f>
        <x:v>OK</x:v>
      </x:c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</x:row>
    <x:row r="137">
      <x:c r="A137" s="27" t="str">
        <x:v>L4</x:v>
      </x:c>
      <x:c r="B137" s="27" t="str">
        <x:v>ganci e rifiniture</x:v>
      </x:c>
      <x:c r="C137" s="27" t="str">
        <x:v>sewing</x:v>
      </x:c>
      <x:c r="D137" s="27" t="n">
        <x:v>9</x:v>
      </x:c>
      <x:c r="E137" s="27" t="n">
        <x:v>8</x:v>
      </x:c>
      <x:c r="F137" s="27" t="n">
        <x:v>7</x:v>
      </x:c>
      <x:c r="G137" s="36" t="n">
        <x:f>E137*8*60*H137*I137</x:f>
        <x:v>2967.552</x:v>
      </x:c>
      <x:c r="H137" s="32" t="n">
        <x:v>0.84</x:v>
      </x:c>
      <x:c r="I137" s="32" t="n">
        <x:v>0.92</x:v>
      </x:c>
      <x:c r="J137" s="27" t="str">
        <x:f>IF(G137&lt;650,"WATCH","OK")</x:f>
        <x:v>OK</x:v>
      </x:c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</x:row>
    <x:row r="138">
      <x:c r="A138" s="27" t="str">
        <x:v>L4</x:v>
      </x:c>
      <x:c r="B138" s="27" t="str">
        <x:v>imbastitura</x:v>
      </x:c>
      <x:c r="C138" s="27" t="str">
        <x:v>sewing</x:v>
      </x:c>
      <x:c r="D138" s="27" t="n">
        <x:v>10</x:v>
      </x:c>
      <x:c r="E138" s="27" t="n">
        <x:v>9</x:v>
      </x:c>
      <x:c r="F138" s="27" t="n">
        <x:v>8</x:v>
      </x:c>
      <x:c r="G138" s="36" t="n">
        <x:f>E138*8*60*H138*I138</x:f>
        <x:v>3338.496</x:v>
      </x:c>
      <x:c r="H138" s="32" t="n">
        <x:v>0.84</x:v>
      </x:c>
      <x:c r="I138" s="32" t="n">
        <x:v>0.92</x:v>
      </x:c>
      <x:c r="J138" s="27" t="str">
        <x:f>IF(G138&lt;650,"WATCH","OK")</x:f>
        <x:v>OK</x:v>
      </x:c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</x:row>
    <x:row r="139">
      <x:c r="A139" s="27" t="str">
        <x:v>L4</x:v>
      </x:c>
      <x:c r="B139" s="27" t="str">
        <x:v>lavaggio/trattamenti</x:v>
      </x:c>
      <x:c r="C139" s="27" t="str">
        <x:v>washing</x:v>
      </x:c>
      <x:c r="D139" s="27" t="n">
        <x:v>5</x:v>
      </x:c>
      <x:c r="E139" s="27" t="n">
        <x:v>5</x:v>
      </x:c>
      <x:c r="F139" s="27" t="n">
        <x:v>3</x:v>
      </x:c>
      <x:c r="G139" s="36" t="n">
        <x:f>E139*8*60*H139*I139</x:f>
        <x:v>1854.72</x:v>
      </x:c>
      <x:c r="H139" s="32" t="n">
        <x:v>0.84</x:v>
      </x:c>
      <x:c r="I139" s="32" t="n">
        <x:v>0.92</x:v>
      </x:c>
      <x:c r="J139" s="27" t="str">
        <x:f>IF(G139&lt;650,"WATCH","OK")</x:f>
        <x:v>OK</x:v>
      </x:c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</x:row>
    <x:row r="140">
      <x:c r="A140" s="27" t="str">
        <x:v>L4</x:v>
      </x:c>
      <x:c r="B140" s="27" t="str">
        <x:v>maniche</x:v>
      </x:c>
      <x:c r="C140" s="27" t="str">
        <x:v>sewing</x:v>
      </x:c>
      <x:c r="D140" s="27" t="n">
        <x:v>12</x:v>
      </x:c>
      <x:c r="E140" s="27" t="n">
        <x:v>5</x:v>
      </x:c>
      <x:c r="F140" s="27" t="n">
        <x:v>4</x:v>
      </x:c>
      <x:c r="G140" s="36" t="n">
        <x:f>E140*8*60*H140*I140</x:f>
        <x:v>1854.72</x:v>
      </x:c>
      <x:c r="H140" s="32" t="n">
        <x:v>0.84</x:v>
      </x:c>
      <x:c r="I140" s="32" t="n">
        <x:v>0.92</x:v>
      </x:c>
      <x:c r="J140" s="27" t="str">
        <x:f>IF(G140&lt;650,"WATCH","OK")</x:f>
        <x:v>OK</x:v>
      </x:c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</x:row>
    <x:row r="141">
      <x:c r="A141" s="27" t="str">
        <x:v>L4</x:v>
      </x:c>
      <x:c r="B141" s="27" t="str">
        <x:v>orlo</x:v>
      </x:c>
      <x:c r="C141" s="27" t="str">
        <x:v>sewing</x:v>
      </x:c>
      <x:c r="D141" s="27" t="n">
        <x:v>13</x:v>
      </x:c>
      <x:c r="E141" s="27" t="n">
        <x:v>6</x:v>
      </x:c>
      <x:c r="F141" s="27" t="n">
        <x:v>5</x:v>
      </x:c>
      <x:c r="G141" s="36" t="n">
        <x:f>E141*8*60*H141*I141</x:f>
        <x:v>2225.6639999999998</x:v>
      </x:c>
      <x:c r="H141" s="32" t="n">
        <x:v>0.84</x:v>
      </x:c>
      <x:c r="I141" s="32" t="n">
        <x:v>0.92</x:v>
      </x:c>
      <x:c r="J141" s="27" t="str">
        <x:f>IF(G141&lt;650,"WATCH","OK")</x:f>
        <x:v>OK</x:v>
      </x:c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</x:row>
    <x:row r="142">
      <x:c r="A142" s="27" t="str">
        <x:v>L4</x:v>
      </x:c>
      <x:c r="B142" s="27" t="str">
        <x:v>orlo e rifiniture</x:v>
      </x:c>
      <x:c r="C142" s="27" t="str">
        <x:v>sewing</x:v>
      </x:c>
      <x:c r="D142" s="27" t="n">
        <x:v>7</x:v>
      </x:c>
      <x:c r="E142" s="27" t="n">
        <x:v>7</x:v>
      </x:c>
      <x:c r="F142" s="27" t="n">
        <x:v>6</x:v>
      </x:c>
      <x:c r="G142" s="36" t="n">
        <x:f>E142*8*60*H142*I142</x:f>
        <x:v>2596.608</x:v>
      </x:c>
      <x:c r="H142" s="32" t="n">
        <x:v>0.84</x:v>
      </x:c>
      <x:c r="I142" s="32" t="n">
        <x:v>0.92</x:v>
      </x:c>
      <x:c r="J142" s="27" t="str">
        <x:f>IF(G142&lt;650,"WATCH","OK")</x:f>
        <x:v>OK</x:v>
      </x:c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</x:row>
    <x:row r="143">
      <x:c r="A143" s="27" t="str">
        <x:v>L4</x:v>
      </x:c>
      <x:c r="B143" s="27" t="str">
        <x:v>packing</x:v>
      </x:c>
      <x:c r="C143" s="27" t="str">
        <x:v>finishing</x:v>
      </x:c>
      <x:c r="D143" s="27" t="n">
        <x:v>7</x:v>
      </x:c>
      <x:c r="E143" s="27" t="n">
        <x:v>5</x:v>
      </x:c>
      <x:c r="F143" s="27" t="n">
        <x:v>3</x:v>
      </x:c>
      <x:c r="G143" s="36" t="n">
        <x:f>E143*8*60*H143*I143</x:f>
        <x:v>1854.72</x:v>
      </x:c>
      <x:c r="H143" s="32" t="n">
        <x:v>0.84</x:v>
      </x:c>
      <x:c r="I143" s="32" t="n">
        <x:v>0.92</x:v>
      </x:c>
      <x:c r="J143" s="27" t="str">
        <x:f>IF(G143&lt;650,"WATCH","OK")</x:f>
        <x:v>OK</x:v>
      </x:c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</x:row>
    <x:row r="144">
      <x:c r="A144" s="27" t="str">
        <x:v>L4</x:v>
      </x:c>
      <x:c r="B144" s="27" t="str">
        <x:v>polsi e fondo</x:v>
      </x:c>
      <x:c r="C144" s="27" t="str">
        <x:v>sewing</x:v>
      </x:c>
      <x:c r="D144" s="27" t="n">
        <x:v>9</x:v>
      </x:c>
      <x:c r="E144" s="27" t="n">
        <x:v>9</x:v>
      </x:c>
      <x:c r="F144" s="27" t="n">
        <x:v>8</x:v>
      </x:c>
      <x:c r="G144" s="36" t="n">
        <x:f>E144*8*60*H144*I144</x:f>
        <x:v>3338.496</x:v>
      </x:c>
      <x:c r="H144" s="32" t="n">
        <x:v>0.84</x:v>
      </x:c>
      <x:c r="I144" s="32" t="n">
        <x:v>0.92</x:v>
      </x:c>
      <x:c r="J144" s="27" t="str">
        <x:f>IF(G144&lt;650,"WATCH","OK")</x:f>
        <x:v>OK</x:v>
      </x:c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</x:row>
    <x:row r="145">
      <x:c r="A145" s="27" t="str">
        <x:v>L4</x:v>
      </x:c>
      <x:c r="B145" s="27" t="str">
        <x:v>spalle e fianchi</x:v>
      </x:c>
      <x:c r="C145" s="27" t="str">
        <x:v>sewing</x:v>
      </x:c>
      <x:c r="D145" s="27" t="n">
        <x:v>10</x:v>
      </x:c>
      <x:c r="E145" s="27" t="n">
        <x:v>10</x:v>
      </x:c>
      <x:c r="F145" s="27" t="n">
        <x:v>9</x:v>
      </x:c>
      <x:c r="G145" s="36" t="n">
        <x:f>E145*8*60*H145*I145</x:f>
        <x:v>3709.44</x:v>
      </x:c>
      <x:c r="H145" s="32" t="n">
        <x:v>0.84</x:v>
      </x:c>
      <x:c r="I145" s="32" t="n">
        <x:v>0.92</x:v>
      </x:c>
      <x:c r="J145" s="27" t="str">
        <x:f>IF(G145&lt;650,"WATCH","OK")</x:f>
        <x:v>OK</x:v>
      </x:c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</x:row>
    <x:row r="146">
      <x:c r="A146" s="27" t="str">
        <x:v>L4</x:v>
      </x:c>
      <x:c r="B146" s="27" t="str">
        <x:v>stiro finale</x:v>
      </x:c>
      <x:c r="C146" s="27" t="str">
        <x:v>finishing</x:v>
      </x:c>
      <x:c r="D146" s="27" t="n">
        <x:v>10</x:v>
      </x:c>
      <x:c r="E146" s="27" t="n">
        <x:v>4</x:v>
      </x:c>
      <x:c r="F146" s="27" t="n">
        <x:v>2</x:v>
      </x:c>
      <x:c r="G146" s="36" t="n">
        <x:f>E146*8*60*H146*I146</x:f>
        <x:v>1483.776</x:v>
      </x:c>
      <x:c r="H146" s="32" t="n">
        <x:v>0.84</x:v>
      </x:c>
      <x:c r="I146" s="32" t="n">
        <x:v>0.92</x:v>
      </x:c>
      <x:c r="J146" s="27" t="str">
        <x:f>IF(G146&lt;650,"WATCH","OK")</x:f>
        <x:v>OK</x:v>
      </x:c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</x:row>
    <x:row r="147">
      <x:c r="A147" s="27" t="str">
        <x:v>L4</x:v>
      </x:c>
      <x:c r="B147" s="27" t="str">
        <x:v>stiro intermedio</x:v>
      </x:c>
      <x:c r="C147" s="27" t="str">
        <x:v>finishing</x:v>
      </x:c>
      <x:c r="D147" s="27" t="n">
        <x:v>6</x:v>
      </x:c>
      <x:c r="E147" s="27" t="n">
        <x:v>5</x:v>
      </x:c>
      <x:c r="F147" s="27" t="n">
        <x:v>3</x:v>
      </x:c>
      <x:c r="G147" s="36" t="n">
        <x:f>E147*8*60*H147*I147</x:f>
        <x:v>1854.72</x:v>
      </x:c>
      <x:c r="H147" s="32" t="n">
        <x:v>0.84</x:v>
      </x:c>
      <x:c r="I147" s="32" t="n">
        <x:v>0.92</x:v>
      </x:c>
      <x:c r="J147" s="27" t="str">
        <x:f>IF(G147&lt;650,"WATCH","OK")</x:f>
        <x:v>OK</x:v>
      </x:c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</x:row>
    <x:row r="148">
      <x:c r="A148" s="27" t="str">
        <x:v>L4</x:v>
      </x:c>
      <x:c r="B148" s="27" t="str">
        <x:v>stiro/packing</x:v>
      </x:c>
      <x:c r="C148" s="27" t="str">
        <x:v>finishing</x:v>
      </x:c>
      <x:c r="D148" s="27" t="n">
        <x:v>7</x:v>
      </x:c>
      <x:c r="E148" s="27" t="n">
        <x:v>6</x:v>
      </x:c>
      <x:c r="F148" s="27" t="n">
        <x:v>4</x:v>
      </x:c>
      <x:c r="G148" s="36" t="n">
        <x:f>E148*8*60*H148*I148</x:f>
        <x:v>2225.6639999999998</x:v>
      </x:c>
      <x:c r="H148" s="32" t="n">
        <x:v>0.84</x:v>
      </x:c>
      <x:c r="I148" s="32" t="n">
        <x:v>0.92</x:v>
      </x:c>
      <x:c r="J148" s="27" t="str">
        <x:f>IF(G148&lt;650,"WATCH","OK")</x:f>
        <x:v>OK</x:v>
      </x:c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</x:row>
    <x:row r="149">
      <x:c r="A149" s="27" t="str">
        <x:v>L4</x:v>
      </x:c>
      <x:c r="B149" s="27" t="str">
        <x:v>taglio tessuto</x:v>
      </x:c>
      <x:c r="C149" s="27" t="str">
        <x:v>cutting</x:v>
      </x:c>
      <x:c r="D149" s="27" t="n">
        <x:v>8</x:v>
      </x:c>
      <x:c r="E149" s="27" t="n">
        <x:v>4</x:v>
      </x:c>
      <x:c r="F149" s="27" t="n">
        <x:v>2</x:v>
      </x:c>
      <x:c r="G149" s="36" t="n">
        <x:f>E149*8*60*H149*I149</x:f>
        <x:v>1483.776</x:v>
      </x:c>
      <x:c r="H149" s="32" t="n">
        <x:v>0.84</x:v>
      </x:c>
      <x:c r="I149" s="32" t="n">
        <x:v>0.92</x:v>
      </x:c>
      <x:c r="J149" s="27" t="str">
        <x:f>IF(G149&lt;650,"WATCH","OK")</x:f>
        <x:v>OK</x:v>
      </x:c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</x:row>
    <x:row r="150">
      <x:c r="A150" s="27" t="str">
        <x:v>L4</x:v>
      </x:c>
      <x:c r="B150" s="27" t="str">
        <x:v>tasche</x:v>
      </x:c>
      <x:c r="C150" s="27" t="str">
        <x:v>sewing</x:v>
      </x:c>
      <x:c r="D150" s="27" t="n">
        <x:v>8</x:v>
      </x:c>
      <x:c r="E150" s="27" t="n">
        <x:v>8</x:v>
      </x:c>
      <x:c r="F150" s="27" t="n">
        <x:v>7</x:v>
      </x:c>
      <x:c r="G150" s="36" t="n">
        <x:f>E150*8*60*H150*I150</x:f>
        <x:v>2967.552</x:v>
      </x:c>
      <x:c r="H150" s="32" t="n">
        <x:v>0.84</x:v>
      </x:c>
      <x:c r="I150" s="32" t="n">
        <x:v>0.92</x:v>
      </x:c>
      <x:c r="J150" s="27" t="str">
        <x:f>IF(G150&lt;650,"WATCH","OK")</x:f>
        <x:v>OK</x:v>
      </x:c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</x:row>
    <x:row r="151">
      <x:c r="A151" s="27" t="str">
        <x:v>L5</x:v>
      </x:c>
      <x:c r="B151" s="27" t="str">
        <x:v>adesivazione</x:v>
      </x:c>
      <x:c r="C151" s="27" t="str">
        <x:v>cutting</x:v>
      </x:c>
      <x:c r="D151" s="27" t="n">
        <x:v>6</x:v>
      </x:c>
      <x:c r="E151" s="27" t="n">
        <x:v>6</x:v>
      </x:c>
      <x:c r="F151" s="27" t="n">
        <x:v>4</x:v>
      </x:c>
      <x:c r="G151" s="36" t="n">
        <x:f>E151*8*60*H151*I151</x:f>
        <x:v>2276.6400000000003</x:v>
      </x:c>
      <x:c r="H151" s="32" t="n">
        <x:v>0.85</x:v>
      </x:c>
      <x:c r="I151" s="32" t="n">
        <x:v>0.93</x:v>
      </x:c>
      <x:c r="J151" s="27" t="str">
        <x:f>IF(G151&lt;650,"WATCH","OK")</x:f>
        <x:v>OK</x:v>
      </x:c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</x:row>
    <x:row r="152">
      <x:c r="A152" s="27" t="str">
        <x:v>L5</x:v>
      </x:c>
      <x:c r="B152" s="27" t="str">
        <x:v>applicazione elastici</x:v>
      </x:c>
      <x:c r="C152" s="27" t="str">
        <x:v>sewing</x:v>
      </x:c>
      <x:c r="D152" s="27" t="n">
        <x:v>10</x:v>
      </x:c>
      <x:c r="E152" s="27" t="n">
        <x:v>5</x:v>
      </x:c>
      <x:c r="F152" s="27" t="n">
        <x:v>4</x:v>
      </x:c>
      <x:c r="G152" s="36" t="n">
        <x:f>E152*8*60*H152*I152</x:f>
        <x:v>1897.2</x:v>
      </x:c>
      <x:c r="H152" s="32" t="n">
        <x:v>0.85</x:v>
      </x:c>
      <x:c r="I152" s="32" t="n">
        <x:v>0.93</x:v>
      </x:c>
      <x:c r="J152" s="27" t="str">
        <x:f>IF(G152&lt;650,"WATCH","OK")</x:f>
        <x:v>OK</x:v>
      </x:c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</x:row>
    <x:row r="153">
      <x:c r="A153" s="27" t="str">
        <x:v>L5</x:v>
      </x:c>
      <x:c r="B153" s="27" t="str">
        <x:v>applicazione fodera</x:v>
      </x:c>
      <x:c r="C153" s="27" t="str">
        <x:v>sewing</x:v>
      </x:c>
      <x:c r="D153" s="27" t="n">
        <x:v>11</x:v>
      </x:c>
      <x:c r="E153" s="27" t="n">
        <x:v>6</x:v>
      </x:c>
      <x:c r="F153" s="27" t="n">
        <x:v>5</x:v>
      </x:c>
      <x:c r="G153" s="36" t="n">
        <x:f>E153*8*60*H153*I153</x:f>
        <x:v>2276.6400000000003</x:v>
      </x:c>
      <x:c r="H153" s="32" t="n">
        <x:v>0.85</x:v>
      </x:c>
      <x:c r="I153" s="32" t="n">
        <x:v>0.93</x:v>
      </x:c>
      <x:c r="J153" s="27" t="str">
        <x:f>IF(G153&lt;650,"WATCH","OK")</x:f>
        <x:v>OK</x:v>
      </x:c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</x:row>
    <x:row r="154">
      <x:c r="A154" s="27" t="str">
        <x:v>L5</x:v>
      </x:c>
      <x:c r="B154" s="27" t="str">
        <x:v>applicazione zip</x:v>
      </x:c>
      <x:c r="C154" s="27" t="str">
        <x:v>sewing</x:v>
      </x:c>
      <x:c r="D154" s="27" t="n">
        <x:v>12</x:v>
      </x:c>
      <x:c r="E154" s="27" t="n">
        <x:v>7</x:v>
      </x:c>
      <x:c r="F154" s="27" t="n">
        <x:v>6</x:v>
      </x:c>
      <x:c r="G154" s="36" t="n">
        <x:f>E154*8*60*H154*I154</x:f>
        <x:v>2656.08</x:v>
      </x:c>
      <x:c r="H154" s="32" t="n">
        <x:v>0.85</x:v>
      </x:c>
      <x:c r="I154" s="32" t="n">
        <x:v>0.93</x:v>
      </x:c>
      <x:c r="J154" s="27" t="str">
        <x:f>IF(G154&lt;650,"WATCH","OK")</x:f>
        <x:v>OK</x:v>
      </x:c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</x:row>
    <x:row r="155">
      <x:c r="A155" s="27" t="str">
        <x:v>L5</x:v>
      </x:c>
      <x:c r="B155" s="27" t="str">
        <x:v>asolatura/bottoni</x:v>
      </x:c>
      <x:c r="C155" s="27" t="str">
        <x:v>sewing</x:v>
      </x:c>
      <x:c r="D155" s="27" t="n">
        <x:v>13</x:v>
      </x:c>
      <x:c r="E155" s="27" t="n">
        <x:v>8</x:v>
      </x:c>
      <x:c r="F155" s="27" t="n">
        <x:v>7</x:v>
      </x:c>
      <x:c r="G155" s="36" t="n">
        <x:f>E155*8*60*H155*I155</x:f>
        <x:v>3035.52</x:v>
      </x:c>
      <x:c r="H155" s="32" t="n">
        <x:v>0.85</x:v>
      </x:c>
      <x:c r="I155" s="32" t="n">
        <x:v>0.93</x:v>
      </x:c>
      <x:c r="J155" s="27" t="str">
        <x:f>IF(G155&lt;650,"WATCH","OK")</x:f>
        <x:v>OK</x:v>
      </x:c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</x:row>
    <x:row r="156">
      <x:c r="A156" s="27" t="str">
        <x:v>L5</x:v>
      </x:c>
      <x:c r="B156" s="27" t="str">
        <x:v>assemblaggio</x:v>
      </x:c>
      <x:c r="C156" s="27" t="str">
        <x:v>sewing</x:v>
      </x:c>
      <x:c r="D156" s="27" t="n">
        <x:v>7</x:v>
      </x:c>
      <x:c r="E156" s="27" t="n">
        <x:v>7</x:v>
      </x:c>
      <x:c r="F156" s="27" t="n">
        <x:v>6</x:v>
      </x:c>
      <x:c r="G156" s="36" t="n">
        <x:f>E156*8*60*H156*I156</x:f>
        <x:v>2656.08</x:v>
      </x:c>
      <x:c r="H156" s="32" t="n">
        <x:v>0.85</x:v>
      </x:c>
      <x:c r="I156" s="32" t="n">
        <x:v>0.93</x:v>
      </x:c>
      <x:c r="J156" s="27" t="str">
        <x:f>IF(G156&lt;650,"WATCH","OK")</x:f>
        <x:v>OK</x:v>
      </x:c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</x:row>
    <x:row r="157">
      <x:c r="A157" s="27" t="str">
        <x:v>L5</x:v>
      </x:c>
      <x:c r="B157" s="27" t="str">
        <x:v>assemblaggio busto</x:v>
      </x:c>
      <x:c r="C157" s="27" t="str">
        <x:v>sewing</x:v>
      </x:c>
      <x:c r="D157" s="27" t="n">
        <x:v>8</x:v>
      </x:c>
      <x:c r="E157" s="27" t="n">
        <x:v>8</x:v>
      </x:c>
      <x:c r="F157" s="27" t="n">
        <x:v>7</x:v>
      </x:c>
      <x:c r="G157" s="36" t="n">
        <x:f>E157*8*60*H157*I157</x:f>
        <x:v>3035.52</x:v>
      </x:c>
      <x:c r="H157" s="32" t="n">
        <x:v>0.85</x:v>
      </x:c>
      <x:c r="I157" s="32" t="n">
        <x:v>0.93</x:v>
      </x:c>
      <x:c r="J157" s="27" t="str">
        <x:f>IF(G157&lt;650,"WATCH","OK")</x:f>
        <x:v>OK</x:v>
      </x:c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</x:row>
    <x:row r="158">
      <x:c r="A158" s="27" t="str">
        <x:v>L5</x:v>
      </x:c>
      <x:c r="B158" s="27" t="str">
        <x:v>bottoni automatici</x:v>
      </x:c>
      <x:c r="C158" s="27" t="str">
        <x:v>sewing</x:v>
      </x:c>
      <x:c r="D158" s="27" t="n">
        <x:v>9</x:v>
      </x:c>
      <x:c r="E158" s="27" t="n">
        <x:v>5</x:v>
      </x:c>
      <x:c r="F158" s="27" t="n">
        <x:v>4</x:v>
      </x:c>
      <x:c r="G158" s="36" t="n">
        <x:f>E158*8*60*H158*I158</x:f>
        <x:v>1897.2</x:v>
      </x:c>
      <x:c r="H158" s="32" t="n">
        <x:v>0.85</x:v>
      </x:c>
      <x:c r="I158" s="32" t="n">
        <x:v>0.93</x:v>
      </x:c>
      <x:c r="J158" s="27" t="str">
        <x:f>IF(G158&lt;650,"WATCH","OK")</x:f>
        <x:v>OK</x:v>
      </x:c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</x:row>
    <x:row r="159">
      <x:c r="A159" s="27" t="str">
        <x:v>L5</x:v>
      </x:c>
      <x:c r="B159" s="27" t="str">
        <x:v>cappuccio/collo</x:v>
      </x:c>
      <x:c r="C159" s="27" t="str">
        <x:v>sewing</x:v>
      </x:c>
      <x:c r="D159" s="27" t="n">
        <x:v>10</x:v>
      </x:c>
      <x:c r="E159" s="27" t="n">
        <x:v>6</x:v>
      </x:c>
      <x:c r="F159" s="27" t="n">
        <x:v>5</x:v>
      </x:c>
      <x:c r="G159" s="36" t="n">
        <x:f>E159*8*60*H159*I159</x:f>
        <x:v>2276.6400000000003</x:v>
      </x:c>
      <x:c r="H159" s="32" t="n">
        <x:v>0.85</x:v>
      </x:c>
      <x:c r="I159" s="32" t="n">
        <x:v>0.93</x:v>
      </x:c>
      <x:c r="J159" s="27" t="str">
        <x:f>IF(G159&lt;650,"WATCH","OK")</x:f>
        <x:v>OK</x:v>
      </x:c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</x:row>
    <x:row r="160">
      <x:c r="A160" s="27" t="str">
        <x:v>L5</x:v>
      </x:c>
      <x:c r="B160" s="27" t="str">
        <x:v>cintura</x:v>
      </x:c>
      <x:c r="C160" s="27" t="str">
        <x:v>sewing</x:v>
      </x:c>
      <x:c r="D160" s="27" t="n">
        <x:v>11</x:v>
      </x:c>
      <x:c r="E160" s="27" t="n">
        <x:v>7</x:v>
      </x:c>
      <x:c r="F160" s="27" t="n">
        <x:v>6</x:v>
      </x:c>
      <x:c r="G160" s="36" t="n">
        <x:f>E160*8*60*H160*I160</x:f>
        <x:v>2656.08</x:v>
      </x:c>
      <x:c r="H160" s="32" t="n">
        <x:v>0.85</x:v>
      </x:c>
      <x:c r="I160" s="32" t="n">
        <x:v>0.93</x:v>
      </x:c>
      <x:c r="J160" s="27" t="str">
        <x:f>IF(G160&lt;650,"WATCH","OK")</x:f>
        <x:v>OK</x:v>
      </x:c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</x:row>
    <x:row r="161">
      <x:c r="A161" s="27" t="str">
        <x:v>L5</x:v>
      </x:c>
      <x:c r="B161" s="27" t="str">
        <x:v>collo</x:v>
      </x:c>
      <x:c r="C161" s="27" t="str">
        <x:v>sewing</x:v>
      </x:c>
      <x:c r="D161" s="27" t="n">
        <x:v>12</x:v>
      </x:c>
      <x:c r="E161" s="27" t="n">
        <x:v>8</x:v>
      </x:c>
      <x:c r="F161" s="27" t="n">
        <x:v>7</x:v>
      </x:c>
      <x:c r="G161" s="36" t="n">
        <x:f>E161*8*60*H161*I161</x:f>
        <x:v>3035.52</x:v>
      </x:c>
      <x:c r="H161" s="32" t="n">
        <x:v>0.85</x:v>
      </x:c>
      <x:c r="I161" s="32" t="n">
        <x:v>0.93</x:v>
      </x:c>
      <x:c r="J161" s="27" t="str">
        <x:f>IF(G161&lt;650,"WATCH","OK")</x:f>
        <x:v>OK</x:v>
      </x:c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</x:row>
    <x:row r="162">
      <x:c r="A162" s="27" t="str">
        <x:v>L5</x:v>
      </x:c>
      <x:c r="B162" s="27" t="str">
        <x:v>collo e polsi</x:v>
      </x:c>
      <x:c r="C162" s="27" t="str">
        <x:v>sewing</x:v>
      </x:c>
      <x:c r="D162" s="27" t="n">
        <x:v>13</x:v>
      </x:c>
      <x:c r="E162" s="27" t="n">
        <x:v>9</x:v>
      </x:c>
      <x:c r="F162" s="27" t="n">
        <x:v>8</x:v>
      </x:c>
      <x:c r="G162" s="36" t="n">
        <x:f>E162*8*60*H162*I162</x:f>
        <x:v>3414.96</x:v>
      </x:c>
      <x:c r="H162" s="32" t="n">
        <x:v>0.85</x:v>
      </x:c>
      <x:c r="I162" s="32" t="n">
        <x:v>0.93</x:v>
      </x:c>
      <x:c r="J162" s="27" t="str">
        <x:f>IF(G162&lt;650,"WATCH","OK")</x:f>
        <x:v>OK</x:v>
      </x:c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</x:row>
    <x:row r="163">
      <x:c r="A163" s="27" t="str">
        <x:v>L5</x:v>
      </x:c>
      <x:c r="B163" s="27" t="str">
        <x:v>confezione capo</x:v>
      </x:c>
      <x:c r="C163" s="27" t="str">
        <x:v>sewing</x:v>
      </x:c>
      <x:c r="D163" s="27" t="n">
        <x:v>7</x:v>
      </x:c>
      <x:c r="E163" s="27" t="n">
        <x:v>7</x:v>
      </x:c>
      <x:c r="F163" s="27" t="n">
        <x:v>6</x:v>
      </x:c>
      <x:c r="G163" s="36" t="n">
        <x:f>E163*8*60*H163*I163</x:f>
        <x:v>2656.08</x:v>
      </x:c>
      <x:c r="H163" s="32" t="n">
        <x:v>0.85</x:v>
      </x:c>
      <x:c r="I163" s="32" t="n">
        <x:v>0.93</x:v>
      </x:c>
      <x:c r="J163" s="27" t="str">
        <x:f>IF(G163&lt;650,"WATCH","OK")</x:f>
        <x:v>OK</x:v>
      </x:c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</x:row>
    <x:row r="164">
      <x:c r="A164" s="27" t="str">
        <x:v>L5</x:v>
      </x:c>
      <x:c r="B164" s="27" t="str">
        <x:v>confezione corpino</x:v>
      </x:c>
      <x:c r="C164" s="27" t="str">
        <x:v>sewing</x:v>
      </x:c>
      <x:c r="D164" s="27" t="n">
        <x:v>8</x:v>
      </x:c>
      <x:c r="E164" s="27" t="n">
        <x:v>5</x:v>
      </x:c>
      <x:c r="F164" s="27" t="n">
        <x:v>4</x:v>
      </x:c>
      <x:c r="G164" s="36" t="n">
        <x:f>E164*8*60*H164*I164</x:f>
        <x:v>1897.2</x:v>
      </x:c>
      <x:c r="H164" s="32" t="n">
        <x:v>0.85</x:v>
      </x:c>
      <x:c r="I164" s="32" t="n">
        <x:v>0.93</x:v>
      </x:c>
      <x:c r="J164" s="27" t="str">
        <x:f>IF(G164&lt;650,"WATCH","OK")</x:f>
        <x:v>OK</x:v>
      </x:c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</x:row>
    <x:row r="165">
      <x:c r="A165" s="27" t="str">
        <x:v>L5</x:v>
      </x:c>
      <x:c r="B165" s="27" t="str">
        <x:v>confezione gonna</x:v>
      </x:c>
      <x:c r="C165" s="27" t="str">
        <x:v>sewing</x:v>
      </x:c>
      <x:c r="D165" s="27" t="n">
        <x:v>9</x:v>
      </x:c>
      <x:c r="E165" s="27" t="n">
        <x:v>6</x:v>
      </x:c>
      <x:c r="F165" s="27" t="n">
        <x:v>5</x:v>
      </x:c>
      <x:c r="G165" s="36" t="n">
        <x:f>E165*8*60*H165*I165</x:f>
        <x:v>2276.6400000000003</x:v>
      </x:c>
      <x:c r="H165" s="32" t="n">
        <x:v>0.85</x:v>
      </x:c>
      <x:c r="I165" s="32" t="n">
        <x:v>0.93</x:v>
      </x:c>
      <x:c r="J165" s="27" t="str">
        <x:f>IF(G165&lt;650,"WATCH","OK")</x:f>
        <x:v>OK</x:v>
      </x:c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</x:row>
    <x:row r="166">
      <x:c r="A166" s="27" t="str">
        <x:v>L5</x:v>
      </x:c>
      <x:c r="B166" s="27" t="str">
        <x:v>controllo qualità</x:v>
      </x:c>
      <x:c r="C166" s="27" t="str">
        <x:v>quality_control</x:v>
      </x:c>
      <x:c r="D166" s="27" t="n">
        <x:v>4</x:v>
      </x:c>
      <x:c r="E166" s="27" t="n">
        <x:v>4</x:v>
      </x:c>
      <x:c r="F166" s="27" t="n">
        <x:v>0</x:v>
      </x:c>
      <x:c r="G166" s="36" t="n">
        <x:f>E166*8*60*H166*I166</x:f>
        <x:v>1517.76</x:v>
      </x:c>
      <x:c r="H166" s="32" t="n">
        <x:v>0.85</x:v>
      </x:c>
      <x:c r="I166" s="32" t="n">
        <x:v>0.93</x:v>
      </x:c>
      <x:c r="J166" s="27" t="str">
        <x:f>IF(G166&lt;650,"WATCH","OK")</x:f>
        <x:v>OK</x:v>
      </x:c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</x:row>
    <x:row r="167">
      <x:c r="A167" s="27" t="str">
        <x:v>L5</x:v>
      </x:c>
      <x:c r="B167" s="27" t="str">
        <x:v>coppe</x:v>
      </x:c>
      <x:c r="C167" s="27" t="str">
        <x:v>sewing</x:v>
      </x:c>
      <x:c r="D167" s="27" t="n">
        <x:v>11</x:v>
      </x:c>
      <x:c r="E167" s="27" t="n">
        <x:v>8</x:v>
      </x:c>
      <x:c r="F167" s="27" t="n">
        <x:v>7</x:v>
      </x:c>
      <x:c r="G167" s="36" t="n">
        <x:f>E167*8*60*H167*I167</x:f>
        <x:v>3035.52</x:v>
      </x:c>
      <x:c r="H167" s="32" t="n">
        <x:v>0.85</x:v>
      </x:c>
      <x:c r="I167" s="32" t="n">
        <x:v>0.93</x:v>
      </x:c>
      <x:c r="J167" s="27" t="str">
        <x:f>IF(G167&lt;650,"WATCH","OK")</x:f>
        <x:v>OK</x:v>
      </x:c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</x:row>
    <x:row r="168">
      <x:c r="A168" s="27" t="str">
        <x:v>L5</x:v>
      </x:c>
      <x:c r="B168" s="27" t="str">
        <x:v>costruzione davanti</x:v>
      </x:c>
      <x:c r="C168" s="27" t="str">
        <x:v>sewing</x:v>
      </x:c>
      <x:c r="D168" s="27" t="n">
        <x:v>12</x:v>
      </x:c>
      <x:c r="E168" s="27" t="n">
        <x:v>9</x:v>
      </x:c>
      <x:c r="F168" s="27" t="n">
        <x:v>8</x:v>
      </x:c>
      <x:c r="G168" s="36" t="n">
        <x:f>E168*8*60*H168*I168</x:f>
        <x:v>3414.96</x:v>
      </x:c>
      <x:c r="H168" s="32" t="n">
        <x:v>0.85</x:v>
      </x:c>
      <x:c r="I168" s="32" t="n">
        <x:v>0.93</x:v>
      </x:c>
      <x:c r="J168" s="27" t="str">
        <x:f>IF(G168&lt;650,"WATCH","OK")</x:f>
        <x:v>OK</x:v>
      </x:c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</x:row>
    <x:row r="169">
      <x:c r="A169" s="27" t="str">
        <x:v>L5</x:v>
      </x:c>
      <x:c r="B169" s="27" t="str">
        <x:v>cuciture spalle</x:v>
      </x:c>
      <x:c r="C169" s="27" t="str">
        <x:v>sewing</x:v>
      </x:c>
      <x:c r="D169" s="27" t="n">
        <x:v>13</x:v>
      </x:c>
      <x:c r="E169" s="27" t="n">
        <x:v>10</x:v>
      </x:c>
      <x:c r="F169" s="27" t="n">
        <x:v>9</x:v>
      </x:c>
      <x:c r="G169" s="36" t="n">
        <x:f>E169*8*60*H169*I169</x:f>
        <x:v>3794.4</x:v>
      </x:c>
      <x:c r="H169" s="32" t="n">
        <x:v>0.85</x:v>
      </x:c>
      <x:c r="I169" s="32" t="n">
        <x:v>0.93</x:v>
      </x:c>
      <x:c r="J169" s="27" t="str">
        <x:f>IF(G169&lt;650,"WATCH","OK")</x:f>
        <x:v>OK</x:v>
      </x:c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</x:row>
    <x:row r="170">
      <x:c r="A170" s="27" t="str">
        <x:v>L5</x:v>
      </x:c>
      <x:c r="B170" s="27" t="str">
        <x:v>cuciture tasche</x:v>
      </x:c>
      <x:c r="C170" s="27" t="str">
        <x:v>sewing</x:v>
      </x:c>
      <x:c r="D170" s="27" t="n">
        <x:v>7</x:v>
      </x:c>
      <x:c r="E170" s="27" t="n">
        <x:v>5</x:v>
      </x:c>
      <x:c r="F170" s="27" t="n">
        <x:v>4</x:v>
      </x:c>
      <x:c r="G170" s="36" t="n">
        <x:f>E170*8*60*H170*I170</x:f>
        <x:v>1897.2</x:v>
      </x:c>
      <x:c r="H170" s="32" t="n">
        <x:v>0.85</x:v>
      </x:c>
      <x:c r="I170" s="32" t="n">
        <x:v>0.93</x:v>
      </x:c>
      <x:c r="J170" s="27" t="str">
        <x:f>IF(G170&lt;650,"WATCH","OK")</x:f>
        <x:v>OK</x:v>
      </x:c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</x:row>
    <x:row r="171">
      <x:c r="A171" s="27" t="str">
        <x:v>L5</x:v>
      </x:c>
      <x:c r="B171" s="27" t="str">
        <x:v>elastici</x:v>
      </x:c>
      <x:c r="C171" s="27" t="str">
        <x:v>sewing</x:v>
      </x:c>
      <x:c r="D171" s="27" t="n">
        <x:v>8</x:v>
      </x:c>
      <x:c r="E171" s="27" t="n">
        <x:v>6</x:v>
      </x:c>
      <x:c r="F171" s="27" t="n">
        <x:v>5</x:v>
      </x:c>
      <x:c r="G171" s="36" t="n">
        <x:f>E171*8*60*H171*I171</x:f>
        <x:v>2276.6400000000003</x:v>
      </x:c>
      <x:c r="H171" s="32" t="n">
        <x:v>0.85</x:v>
      </x:c>
      <x:c r="I171" s="32" t="n">
        <x:v>0.93</x:v>
      </x:c>
      <x:c r="J171" s="27" t="str">
        <x:f>IF(G171&lt;650,"WATCH","OK")</x:f>
        <x:v>OK</x:v>
      </x:c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</x:row>
    <x:row r="172">
      <x:c r="A172" s="27" t="str">
        <x:v>L5</x:v>
      </x:c>
      <x:c r="B172" s="27" t="str">
        <x:v>elastici e spalline</x:v>
      </x:c>
      <x:c r="C172" s="27" t="str">
        <x:v>sewing</x:v>
      </x:c>
      <x:c r="D172" s="27" t="n">
        <x:v>9</x:v>
      </x:c>
      <x:c r="E172" s="27" t="n">
        <x:v>7</x:v>
      </x:c>
      <x:c r="F172" s="27" t="n">
        <x:v>6</x:v>
      </x:c>
      <x:c r="G172" s="36" t="n">
        <x:f>E172*8*60*H172*I172</x:f>
        <x:v>2656.08</x:v>
      </x:c>
      <x:c r="H172" s="32" t="n">
        <x:v>0.85</x:v>
      </x:c>
      <x:c r="I172" s="32" t="n">
        <x:v>0.93</x:v>
      </x:c>
      <x:c r="J172" s="27" t="str">
        <x:f>IF(G172&lt;650,"WATCH","OK")</x:f>
        <x:v>OK</x:v>
      </x:c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</x:row>
    <x:row r="173">
      <x:c r="A173" s="27" t="str">
        <x:v>L5</x:v>
      </x:c>
      <x:c r="B173" s="27" t="str">
        <x:v>elastici/finizioni</x:v>
      </x:c>
      <x:c r="C173" s="27" t="str">
        <x:v>sewing</x:v>
      </x:c>
      <x:c r="D173" s="27" t="n">
        <x:v>10</x:v>
      </x:c>
      <x:c r="E173" s="27" t="n">
        <x:v>8</x:v>
      </x:c>
      <x:c r="F173" s="27" t="n">
        <x:v>7</x:v>
      </x:c>
      <x:c r="G173" s="36" t="n">
        <x:f>E173*8*60*H173*I173</x:f>
        <x:v>3035.52</x:v>
      </x:c>
      <x:c r="H173" s="32" t="n">
        <x:v>0.85</x:v>
      </x:c>
      <x:c r="I173" s="32" t="n">
        <x:v>0.93</x:v>
      </x:c>
      <x:c r="J173" s="27" t="str">
        <x:f>IF(G173&lt;650,"WATCH","OK")</x:f>
        <x:v>OK</x:v>
      </x:c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</x:row>
    <x:row r="174">
      <x:c r="A174" s="27" t="str">
        <x:v>L5</x:v>
      </x:c>
      <x:c r="B174" s="27" t="str">
        <x:v>elastico vita</x:v>
      </x:c>
      <x:c r="C174" s="27" t="str">
        <x:v>sewing</x:v>
      </x:c>
      <x:c r="D174" s="27" t="n">
        <x:v>11</x:v>
      </x:c>
      <x:c r="E174" s="27" t="n">
        <x:v>9</x:v>
      </x:c>
      <x:c r="F174" s="27" t="n">
        <x:v>8</x:v>
      </x:c>
      <x:c r="G174" s="36" t="n">
        <x:f>E174*8*60*H174*I174</x:f>
        <x:v>3414.96</x:v>
      </x:c>
      <x:c r="H174" s="32" t="n">
        <x:v>0.85</x:v>
      </x:c>
      <x:c r="I174" s="32" t="n">
        <x:v>0.93</x:v>
      </x:c>
      <x:c r="J174" s="27" t="str">
        <x:f>IF(G174&lt;650,"WATCH","OK")</x:f>
        <x:v>OK</x:v>
      </x:c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</x:row>
    <x:row r="175">
      <x:c r="A175" s="27" t="str">
        <x:v>L5</x:v>
      </x:c>
      <x:c r="B175" s="27" t="str">
        <x:v>ganci e rifiniture</x:v>
      </x:c>
      <x:c r="C175" s="27" t="str">
        <x:v>sewing</x:v>
      </x:c>
      <x:c r="D175" s="27" t="n">
        <x:v>12</x:v>
      </x:c>
      <x:c r="E175" s="27" t="n">
        <x:v>10</x:v>
      </x:c>
      <x:c r="F175" s="27" t="n">
        <x:v>9</x:v>
      </x:c>
      <x:c r="G175" s="36" t="n">
        <x:f>E175*8*60*H175*I175</x:f>
        <x:v>3794.4</x:v>
      </x:c>
      <x:c r="H175" s="32" t="n">
        <x:v>0.85</x:v>
      </x:c>
      <x:c r="I175" s="32" t="n">
        <x:v>0.93</x:v>
      </x:c>
      <x:c r="J175" s="27" t="str">
        <x:f>IF(G175&lt;650,"WATCH","OK")</x:f>
        <x:v>OK</x:v>
      </x:c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</x:row>
    <x:row r="176">
      <x:c r="A176" s="27" t="str">
        <x:v>L5</x:v>
      </x:c>
      <x:c r="B176" s="27" t="str">
        <x:v>imbastitura</x:v>
      </x:c>
      <x:c r="C176" s="27" t="str">
        <x:v>sewing</x:v>
      </x:c>
      <x:c r="D176" s="27" t="n">
        <x:v>13</x:v>
      </x:c>
      <x:c r="E176" s="27" t="n">
        <x:v>5</x:v>
      </x:c>
      <x:c r="F176" s="27" t="n">
        <x:v>4</x:v>
      </x:c>
      <x:c r="G176" s="36" t="n">
        <x:f>E176*8*60*H176*I176</x:f>
        <x:v>1897.2</x:v>
      </x:c>
      <x:c r="H176" s="32" t="n">
        <x:v>0.85</x:v>
      </x:c>
      <x:c r="I176" s="32" t="n">
        <x:v>0.93</x:v>
      </x:c>
      <x:c r="J176" s="27" t="str">
        <x:f>IF(G176&lt;650,"WATCH","OK")</x:f>
        <x:v>OK</x:v>
      </x:c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</x:row>
    <x:row r="177">
      <x:c r="A177" s="27" t="str">
        <x:v>L5</x:v>
      </x:c>
      <x:c r="B177" s="27" t="str">
        <x:v>maniche</x:v>
      </x:c>
      <x:c r="C177" s="27" t="str">
        <x:v>sewing</x:v>
      </x:c>
      <x:c r="D177" s="27" t="n">
        <x:v>7</x:v>
      </x:c>
      <x:c r="E177" s="27" t="n">
        <x:v>6</x:v>
      </x:c>
      <x:c r="F177" s="27" t="n">
        <x:v>5</x:v>
      </x:c>
      <x:c r="G177" s="36" t="n">
        <x:f>E177*8*60*H177*I177</x:f>
        <x:v>2276.6400000000003</x:v>
      </x:c>
      <x:c r="H177" s="32" t="n">
        <x:v>0.85</x:v>
      </x:c>
      <x:c r="I177" s="32" t="n">
        <x:v>0.93</x:v>
      </x:c>
      <x:c r="J177" s="27" t="str">
        <x:f>IF(G177&lt;650,"WATCH","OK")</x:f>
        <x:v>OK</x:v>
      </x:c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</x:row>
    <x:row r="178">
      <x:c r="A178" s="27" t="str">
        <x:v>L5</x:v>
      </x:c>
      <x:c r="B178" s="27" t="str">
        <x:v>orlo</x:v>
      </x:c>
      <x:c r="C178" s="27" t="str">
        <x:v>sewing</x:v>
      </x:c>
      <x:c r="D178" s="27" t="n">
        <x:v>8</x:v>
      </x:c>
      <x:c r="E178" s="27" t="n">
        <x:v>7</x:v>
      </x:c>
      <x:c r="F178" s="27" t="n">
        <x:v>6</x:v>
      </x:c>
      <x:c r="G178" s="36" t="n">
        <x:f>E178*8*60*H178*I178</x:f>
        <x:v>2656.08</x:v>
      </x:c>
      <x:c r="H178" s="32" t="n">
        <x:v>0.85</x:v>
      </x:c>
      <x:c r="I178" s="32" t="n">
        <x:v>0.93</x:v>
      </x:c>
      <x:c r="J178" s="27" t="str">
        <x:f>IF(G178&lt;650,"WATCH","OK")</x:f>
        <x:v>OK</x:v>
      </x:c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</x:row>
    <x:row r="179">
      <x:c r="A179" s="27" t="str">
        <x:v>L5</x:v>
      </x:c>
      <x:c r="B179" s="27" t="str">
        <x:v>orlo e rifiniture</x:v>
      </x:c>
      <x:c r="C179" s="27" t="str">
        <x:v>sewing</x:v>
      </x:c>
      <x:c r="D179" s="27" t="n">
        <x:v>9</x:v>
      </x:c>
      <x:c r="E179" s="27" t="n">
        <x:v>8</x:v>
      </x:c>
      <x:c r="F179" s="27" t="n">
        <x:v>7</x:v>
      </x:c>
      <x:c r="G179" s="36" t="n">
        <x:f>E179*8*60*H179*I179</x:f>
        <x:v>3035.52</x:v>
      </x:c>
      <x:c r="H179" s="32" t="n">
        <x:v>0.85</x:v>
      </x:c>
      <x:c r="I179" s="32" t="n">
        <x:v>0.93</x:v>
      </x:c>
      <x:c r="J179" s="27" t="str">
        <x:f>IF(G179&lt;650,"WATCH","OK")</x:f>
        <x:v>OK</x:v>
      </x:c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</x:row>
    <x:row r="180">
      <x:c r="A180" s="27" t="str">
        <x:v>L5</x:v>
      </x:c>
      <x:c r="B180" s="27" t="str">
        <x:v>packing</x:v>
      </x:c>
      <x:c r="C180" s="27" t="str">
        <x:v>finishing</x:v>
      </x:c>
      <x:c r="D180" s="27" t="n">
        <x:v>9</x:v>
      </x:c>
      <x:c r="E180" s="27" t="n">
        <x:v>6</x:v>
      </x:c>
      <x:c r="F180" s="27" t="n">
        <x:v>4</x:v>
      </x:c>
      <x:c r="G180" s="36" t="n">
        <x:f>E180*8*60*H180*I180</x:f>
        <x:v>2276.6400000000003</x:v>
      </x:c>
      <x:c r="H180" s="32" t="n">
        <x:v>0.85</x:v>
      </x:c>
      <x:c r="I180" s="32" t="n">
        <x:v>0.93</x:v>
      </x:c>
      <x:c r="J180" s="27" t="str">
        <x:f>IF(G180&lt;650,"WATCH","OK")</x:f>
        <x:v>OK</x:v>
      </x:c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</x:row>
    <x:row r="181">
      <x:c r="A181" s="27" t="str">
        <x:v>L5</x:v>
      </x:c>
      <x:c r="B181" s="27" t="str">
        <x:v>polsi e fondo</x:v>
      </x:c>
      <x:c r="C181" s="27" t="str">
        <x:v>sewing</x:v>
      </x:c>
      <x:c r="D181" s="27" t="n">
        <x:v>11</x:v>
      </x:c>
      <x:c r="E181" s="27" t="n">
        <x:v>10</x:v>
      </x:c>
      <x:c r="F181" s="27" t="n">
        <x:v>9</x:v>
      </x:c>
      <x:c r="G181" s="36" t="n">
        <x:f>E181*8*60*H181*I181</x:f>
        <x:v>3794.4</x:v>
      </x:c>
      <x:c r="H181" s="32" t="n">
        <x:v>0.85</x:v>
      </x:c>
      <x:c r="I181" s="32" t="n">
        <x:v>0.93</x:v>
      </x:c>
      <x:c r="J181" s="27" t="str">
        <x:f>IF(G181&lt;650,"WATCH","OK")</x:f>
        <x:v>OK</x:v>
      </x:c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</x:row>
    <x:row r="182">
      <x:c r="A182" s="27" t="str">
        <x:v>L5</x:v>
      </x:c>
      <x:c r="B182" s="27" t="str">
        <x:v>spalle e fianchi</x:v>
      </x:c>
      <x:c r="C182" s="27" t="str">
        <x:v>sewing</x:v>
      </x:c>
      <x:c r="D182" s="27" t="n">
        <x:v>12</x:v>
      </x:c>
      <x:c r="E182" s="27" t="n">
        <x:v>5</x:v>
      </x:c>
      <x:c r="F182" s="27" t="n">
        <x:v>4</x:v>
      </x:c>
      <x:c r="G182" s="36" t="n">
        <x:f>E182*8*60*H182*I182</x:f>
        <x:v>1897.2</x:v>
      </x:c>
      <x:c r="H182" s="32" t="n">
        <x:v>0.85</x:v>
      </x:c>
      <x:c r="I182" s="32" t="n">
        <x:v>0.93</x:v>
      </x:c>
      <x:c r="J182" s="27" t="str">
        <x:f>IF(G182&lt;650,"WATCH","OK")</x:f>
        <x:v>OK</x:v>
      </x:c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</x:row>
    <x:row r="183">
      <x:c r="A183" s="27" t="str">
        <x:v>L5</x:v>
      </x:c>
      <x:c r="B183" s="27" t="str">
        <x:v>stiro finale</x:v>
      </x:c>
      <x:c r="C183" s="27" t="str">
        <x:v>finishing</x:v>
      </x:c>
      <x:c r="D183" s="27" t="n">
        <x:v>7</x:v>
      </x:c>
      <x:c r="E183" s="27" t="n">
        <x:v>5</x:v>
      </x:c>
      <x:c r="F183" s="27" t="n">
        <x:v>3</x:v>
      </x:c>
      <x:c r="G183" s="36" t="n">
        <x:f>E183*8*60*H183*I183</x:f>
        <x:v>1897.2</x:v>
      </x:c>
      <x:c r="H183" s="32" t="n">
        <x:v>0.85</x:v>
      </x:c>
      <x:c r="I183" s="32" t="n">
        <x:v>0.93</x:v>
      </x:c>
      <x:c r="J183" s="27" t="str">
        <x:f>IF(G183&lt;650,"WATCH","OK")</x:f>
        <x:v>OK</x:v>
      </x:c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</x:row>
    <x:row r="184">
      <x:c r="A184" s="27" t="str">
        <x:v>L5</x:v>
      </x:c>
      <x:c r="B184" s="27" t="str">
        <x:v>stiro intermedio</x:v>
      </x:c>
      <x:c r="C184" s="27" t="str">
        <x:v>finishing</x:v>
      </x:c>
      <x:c r="D184" s="27" t="n">
        <x:v>8</x:v>
      </x:c>
      <x:c r="E184" s="27" t="n">
        <x:v>6</x:v>
      </x:c>
      <x:c r="F184" s="27" t="n">
        <x:v>4</x:v>
      </x:c>
      <x:c r="G184" s="36" t="n">
        <x:f>E184*8*60*H184*I184</x:f>
        <x:v>2276.6400000000003</x:v>
      </x:c>
      <x:c r="H184" s="32" t="n">
        <x:v>0.85</x:v>
      </x:c>
      <x:c r="I184" s="32" t="n">
        <x:v>0.93</x:v>
      </x:c>
      <x:c r="J184" s="27" t="str">
        <x:f>IF(G184&lt;650,"WATCH","OK")</x:f>
        <x:v>OK</x:v>
      </x:c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</x:row>
    <x:row r="185">
      <x:c r="A185" s="27" t="str">
        <x:v>L5</x:v>
      </x:c>
      <x:c r="B185" s="27" t="str">
        <x:v>stiro/packing</x:v>
      </x:c>
      <x:c r="C185" s="27" t="str">
        <x:v>finishing</x:v>
      </x:c>
      <x:c r="D185" s="27" t="n">
        <x:v>9</x:v>
      </x:c>
      <x:c r="E185" s="27" t="n">
        <x:v>7</x:v>
      </x:c>
      <x:c r="F185" s="27" t="n">
        <x:v>5</x:v>
      </x:c>
      <x:c r="G185" s="36" t="n">
        <x:f>E185*8*60*H185*I185</x:f>
        <x:v>2656.08</x:v>
      </x:c>
      <x:c r="H185" s="32" t="n">
        <x:v>0.85</x:v>
      </x:c>
      <x:c r="I185" s="32" t="n">
        <x:v>0.93</x:v>
      </x:c>
      <x:c r="J185" s="27" t="str">
        <x:f>IF(G185&lt;650,"WATCH","OK")</x:f>
        <x:v>OK</x:v>
      </x:c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</x:row>
    <x:row r="186">
      <x:c r="A186" s="27" t="str">
        <x:v>L5</x:v>
      </x:c>
      <x:c r="B186" s="27" t="str">
        <x:v>taglio tessuto</x:v>
      </x:c>
      <x:c r="C186" s="27" t="str">
        <x:v>cutting</x:v>
      </x:c>
      <x:c r="D186" s="27" t="n">
        <x:v>5</x:v>
      </x:c>
      <x:c r="E186" s="27" t="n">
        <x:v>5</x:v>
      </x:c>
      <x:c r="F186" s="27" t="n">
        <x:v>3</x:v>
      </x:c>
      <x:c r="G186" s="36" t="n">
        <x:f>E186*8*60*H186*I186</x:f>
        <x:v>1897.2</x:v>
      </x:c>
      <x:c r="H186" s="32" t="n">
        <x:v>0.85</x:v>
      </x:c>
      <x:c r="I186" s="32" t="n">
        <x:v>0.93</x:v>
      </x:c>
      <x:c r="J186" s="27" t="str">
        <x:f>IF(G186&lt;650,"WATCH","OK")</x:f>
        <x:v>OK</x:v>
      </x:c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</x:row>
    <x:row r="187">
      <x:c r="A187" s="27" t="str">
        <x:v>L5</x:v>
      </x:c>
      <x:c r="B187" s="27" t="str">
        <x:v>tasche</x:v>
      </x:c>
      <x:c r="C187" s="27" t="str">
        <x:v>sewing</x:v>
      </x:c>
      <x:c r="D187" s="27" t="n">
        <x:v>10</x:v>
      </x:c>
      <x:c r="E187" s="27" t="n">
        <x:v>10</x:v>
      </x:c>
      <x:c r="F187" s="27" t="n">
        <x:v>9</x:v>
      </x:c>
      <x:c r="G187" s="36" t="n">
        <x:f>E187*8*60*H187*I187</x:f>
        <x:v>3794.4</x:v>
      </x:c>
      <x:c r="H187" s="32" t="n">
        <x:v>0.85</x:v>
      </x:c>
      <x:c r="I187" s="32" t="n">
        <x:v>0.93</x:v>
      </x:c>
      <x:c r="J187" s="27" t="str">
        <x:f>IF(G187&lt;650,"WATCH","OK")</x:f>
        <x:v>OK</x:v>
      </x:c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</x:row>
    <x:row r="188">
      <x:c r="A188" s="27" t="str">
        <x:v>L6</x:v>
      </x:c>
      <x:c r="B188" s="27" t="str">
        <x:v>adesivazione</x:v>
      </x:c>
      <x:c r="C188" s="27" t="str">
        <x:v>cutting</x:v>
      </x:c>
      <x:c r="D188" s="27" t="n">
        <x:v>7</x:v>
      </x:c>
      <x:c r="E188" s="27" t="n">
        <x:v>4</x:v>
      </x:c>
      <x:c r="F188" s="27" t="n">
        <x:v>2</x:v>
      </x:c>
      <x:c r="G188" s="36" t="n">
        <x:f>E188*8*60*H188*I188</x:f>
        <x:v>1483.776</x:v>
      </x:c>
      <x:c r="H188" s="32" t="n">
        <x:v>0.84</x:v>
      </x:c>
      <x:c r="I188" s="32" t="n">
        <x:v>0.92</x:v>
      </x:c>
      <x:c r="J188" s="27" t="str">
        <x:f>IF(G188&lt;650,"WATCH","OK")</x:f>
        <x:v>OK</x:v>
      </x:c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</x:row>
    <x:row r="189">
      <x:c r="A189" s="27" t="str">
        <x:v>L6</x:v>
      </x:c>
      <x:c r="B189" s="27" t="str">
        <x:v>applicazione elastici</x:v>
      </x:c>
      <x:c r="C189" s="27" t="str">
        <x:v>sewing</x:v>
      </x:c>
      <x:c r="D189" s="27" t="n">
        <x:v>12</x:v>
      </x:c>
      <x:c r="E189" s="27" t="n">
        <x:v>6</x:v>
      </x:c>
      <x:c r="F189" s="27" t="n">
        <x:v>5</x:v>
      </x:c>
      <x:c r="G189" s="36" t="n">
        <x:f>E189*8*60*H189*I189</x:f>
        <x:v>2225.6639999999998</x:v>
      </x:c>
      <x:c r="H189" s="32" t="n">
        <x:v>0.84</x:v>
      </x:c>
      <x:c r="I189" s="32" t="n">
        <x:v>0.92</x:v>
      </x:c>
      <x:c r="J189" s="27" t="str">
        <x:f>IF(G189&lt;650,"WATCH","OK")</x:f>
        <x:v>OK</x:v>
      </x:c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</x:row>
    <x:row r="190">
      <x:c r="A190" s="27" t="str">
        <x:v>L6</x:v>
      </x:c>
      <x:c r="B190" s="27" t="str">
        <x:v>applicazione fodera</x:v>
      </x:c>
      <x:c r="C190" s="27" t="str">
        <x:v>sewing</x:v>
      </x:c>
      <x:c r="D190" s="27" t="n">
        <x:v>13</x:v>
      </x:c>
      <x:c r="E190" s="27" t="n">
        <x:v>7</x:v>
      </x:c>
      <x:c r="F190" s="27" t="n">
        <x:v>6</x:v>
      </x:c>
      <x:c r="G190" s="36" t="n">
        <x:f>E190*8*60*H190*I190</x:f>
        <x:v>2596.608</x:v>
      </x:c>
      <x:c r="H190" s="32" t="n">
        <x:v>0.84</x:v>
      </x:c>
      <x:c r="I190" s="32" t="n">
        <x:v>0.92</x:v>
      </x:c>
      <x:c r="J190" s="27" t="str">
        <x:f>IF(G190&lt;650,"WATCH","OK")</x:f>
        <x:v>OK</x:v>
      </x:c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</x:row>
    <x:row r="191">
      <x:c r="A191" s="27" t="str">
        <x:v>L6</x:v>
      </x:c>
      <x:c r="B191" s="27" t="str">
        <x:v>applicazione zip</x:v>
      </x:c>
      <x:c r="C191" s="27" t="str">
        <x:v>sewing</x:v>
      </x:c>
      <x:c r="D191" s="27" t="n">
        <x:v>7</x:v>
      </x:c>
      <x:c r="E191" s="27" t="n">
        <x:v>7</x:v>
      </x:c>
      <x:c r="F191" s="27" t="n">
        <x:v>6</x:v>
      </x:c>
      <x:c r="G191" s="36" t="n">
        <x:f>E191*8*60*H191*I191</x:f>
        <x:v>2596.608</x:v>
      </x:c>
      <x:c r="H191" s="32" t="n">
        <x:v>0.84</x:v>
      </x:c>
      <x:c r="I191" s="32" t="n">
        <x:v>0.92</x:v>
      </x:c>
      <x:c r="J191" s="27" t="str">
        <x:f>IF(G191&lt;650,"WATCH","OK")</x:f>
        <x:v>OK</x:v>
      </x:c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</x:row>
    <x:row r="192">
      <x:c r="A192" s="27" t="str">
        <x:v>L6</x:v>
      </x:c>
      <x:c r="B192" s="27" t="str">
        <x:v>asolatura/bottoni</x:v>
      </x:c>
      <x:c r="C192" s="27" t="str">
        <x:v>sewing</x:v>
      </x:c>
      <x:c r="D192" s="27" t="n">
        <x:v>8</x:v>
      </x:c>
      <x:c r="E192" s="27" t="n">
        <x:v>8</x:v>
      </x:c>
      <x:c r="F192" s="27" t="n">
        <x:v>7</x:v>
      </x:c>
      <x:c r="G192" s="36" t="n">
        <x:f>E192*8*60*H192*I192</x:f>
        <x:v>2967.552</x:v>
      </x:c>
      <x:c r="H192" s="32" t="n">
        <x:v>0.84</x:v>
      </x:c>
      <x:c r="I192" s="32" t="n">
        <x:v>0.92</x:v>
      </x:c>
      <x:c r="J192" s="27" t="str">
        <x:f>IF(G192&lt;650,"WATCH","OK")</x:f>
        <x:v>OK</x:v>
      </x:c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</x:row>
    <x:row r="193">
      <x:c r="A193" s="27" t="str">
        <x:v>L6</x:v>
      </x:c>
      <x:c r="B193" s="27" t="str">
        <x:v>assemblaggio</x:v>
      </x:c>
      <x:c r="C193" s="27" t="str">
        <x:v>sewing</x:v>
      </x:c>
      <x:c r="D193" s="27" t="n">
        <x:v>9</x:v>
      </x:c>
      <x:c r="E193" s="27" t="n">
        <x:v>9</x:v>
      </x:c>
      <x:c r="F193" s="27" t="n">
        <x:v>8</x:v>
      </x:c>
      <x:c r="G193" s="36" t="n">
        <x:f>E193*8*60*H193*I193</x:f>
        <x:v>3338.496</x:v>
      </x:c>
      <x:c r="H193" s="32" t="n">
        <x:v>0.84</x:v>
      </x:c>
      <x:c r="I193" s="32" t="n">
        <x:v>0.92</x:v>
      </x:c>
      <x:c r="J193" s="27" t="str">
        <x:f>IF(G193&lt;650,"WATCH","OK")</x:f>
        <x:v>OK</x:v>
      </x:c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</x:row>
    <x:row r="194">
      <x:c r="A194" s="27" t="str">
        <x:v>L6</x:v>
      </x:c>
      <x:c r="B194" s="27" t="str">
        <x:v>assemblaggio busto</x:v>
      </x:c>
      <x:c r="C194" s="27" t="str">
        <x:v>sewing</x:v>
      </x:c>
      <x:c r="D194" s="27" t="n">
        <x:v>10</x:v>
      </x:c>
      <x:c r="E194" s="27" t="n">
        <x:v>5</x:v>
      </x:c>
      <x:c r="F194" s="27" t="n">
        <x:v>4</x:v>
      </x:c>
      <x:c r="G194" s="36" t="n">
        <x:f>E194*8*60*H194*I194</x:f>
        <x:v>1854.72</x:v>
      </x:c>
      <x:c r="H194" s="32" t="n">
        <x:v>0.84</x:v>
      </x:c>
      <x:c r="I194" s="32" t="n">
        <x:v>0.92</x:v>
      </x:c>
      <x:c r="J194" s="27" t="str">
        <x:f>IF(G194&lt;650,"WATCH","OK")</x:f>
        <x:v>OK</x:v>
      </x:c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</x:row>
    <x:row r="195">
      <x:c r="A195" s="27" t="str">
        <x:v>L6</x:v>
      </x:c>
      <x:c r="B195" s="27" t="str">
        <x:v>bottoni automatici</x:v>
      </x:c>
      <x:c r="C195" s="27" t="str">
        <x:v>sewing</x:v>
      </x:c>
      <x:c r="D195" s="27" t="n">
        <x:v>11</x:v>
      </x:c>
      <x:c r="E195" s="27" t="n">
        <x:v>6</x:v>
      </x:c>
      <x:c r="F195" s="27" t="n">
        <x:v>5</x:v>
      </x:c>
      <x:c r="G195" s="36" t="n">
        <x:f>E195*8*60*H195*I195</x:f>
        <x:v>2225.6639999999998</x:v>
      </x:c>
      <x:c r="H195" s="32" t="n">
        <x:v>0.84</x:v>
      </x:c>
      <x:c r="I195" s="32" t="n">
        <x:v>0.92</x:v>
      </x:c>
      <x:c r="J195" s="27" t="str">
        <x:f>IF(G195&lt;650,"WATCH","OK")</x:f>
        <x:v>OK</x:v>
      </x:c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</x:row>
    <x:row r="196">
      <x:c r="A196" s="27" t="str">
        <x:v>L6</x:v>
      </x:c>
      <x:c r="B196" s="27" t="str">
        <x:v>cappuccio/collo</x:v>
      </x:c>
      <x:c r="C196" s="27" t="str">
        <x:v>sewing</x:v>
      </x:c>
      <x:c r="D196" s="27" t="n">
        <x:v>12</x:v>
      </x:c>
      <x:c r="E196" s="27" t="n">
        <x:v>7</x:v>
      </x:c>
      <x:c r="F196" s="27" t="n">
        <x:v>6</x:v>
      </x:c>
      <x:c r="G196" s="36" t="n">
        <x:f>E196*8*60*H196*I196</x:f>
        <x:v>2596.608</x:v>
      </x:c>
      <x:c r="H196" s="32" t="n">
        <x:v>0.84</x:v>
      </x:c>
      <x:c r="I196" s="32" t="n">
        <x:v>0.92</x:v>
      </x:c>
      <x:c r="J196" s="27" t="str">
        <x:f>IF(G196&lt;650,"WATCH","OK")</x:f>
        <x:v>OK</x:v>
      </x:c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</x:row>
    <x:row r="197">
      <x:c r="A197" s="27" t="str">
        <x:v>L6</x:v>
      </x:c>
      <x:c r="B197" s="27" t="str">
        <x:v>cintura</x:v>
      </x:c>
      <x:c r="C197" s="27" t="str">
        <x:v>sewing</x:v>
      </x:c>
      <x:c r="D197" s="27" t="n">
        <x:v>13</x:v>
      </x:c>
      <x:c r="E197" s="27" t="n">
        <x:v>8</x:v>
      </x:c>
      <x:c r="F197" s="27" t="n">
        <x:v>7</x:v>
      </x:c>
      <x:c r="G197" s="36" t="n">
        <x:f>E197*8*60*H197*I197</x:f>
        <x:v>2967.552</x:v>
      </x:c>
      <x:c r="H197" s="32" t="n">
        <x:v>0.84</x:v>
      </x:c>
      <x:c r="I197" s="32" t="n">
        <x:v>0.92</x:v>
      </x:c>
      <x:c r="J197" s="27" t="str">
        <x:f>IF(G197&lt;650,"WATCH","OK")</x:f>
        <x:v>OK</x:v>
      </x:c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</x:row>
    <x:row r="198">
      <x:c r="A198" s="27" t="str">
        <x:v>L6</x:v>
      </x:c>
      <x:c r="B198" s="27" t="str">
        <x:v>collo</x:v>
      </x:c>
      <x:c r="C198" s="27" t="str">
        <x:v>sewing</x:v>
      </x:c>
      <x:c r="D198" s="27" t="n">
        <x:v>7</x:v>
      </x:c>
      <x:c r="E198" s="27" t="n">
        <x:v>7</x:v>
      </x:c>
      <x:c r="F198" s="27" t="n">
        <x:v>6</x:v>
      </x:c>
      <x:c r="G198" s="36" t="n">
        <x:f>E198*8*60*H198*I198</x:f>
        <x:v>2596.608</x:v>
      </x:c>
      <x:c r="H198" s="32" t="n">
        <x:v>0.84</x:v>
      </x:c>
      <x:c r="I198" s="32" t="n">
        <x:v>0.92</x:v>
      </x:c>
      <x:c r="J198" s="27" t="str">
        <x:f>IF(G198&lt;650,"WATCH","OK")</x:f>
        <x:v>OK</x:v>
      </x:c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</x:row>
    <x:row r="199">
      <x:c r="A199" s="27" t="str">
        <x:v>L6</x:v>
      </x:c>
      <x:c r="B199" s="27" t="str">
        <x:v>collo e polsi</x:v>
      </x:c>
      <x:c r="C199" s="27" t="str">
        <x:v>sewing</x:v>
      </x:c>
      <x:c r="D199" s="27" t="n">
        <x:v>8</x:v>
      </x:c>
      <x:c r="E199" s="27" t="n">
        <x:v>8</x:v>
      </x:c>
      <x:c r="F199" s="27" t="n">
        <x:v>7</x:v>
      </x:c>
      <x:c r="G199" s="36" t="n">
        <x:f>E199*8*60*H199*I199</x:f>
        <x:v>2967.552</x:v>
      </x:c>
      <x:c r="H199" s="32" t="n">
        <x:v>0.84</x:v>
      </x:c>
      <x:c r="I199" s="32" t="n">
        <x:v>0.92</x:v>
      </x:c>
      <x:c r="J199" s="27" t="str">
        <x:f>IF(G199&lt;650,"WATCH","OK")</x:f>
        <x:v>OK</x:v>
      </x:c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</x:row>
    <x:row r="200">
      <x:c r="A200" s="27" t="str">
        <x:v>L6</x:v>
      </x:c>
      <x:c r="B200" s="27" t="str">
        <x:v>confezione capo</x:v>
      </x:c>
      <x:c r="C200" s="27" t="str">
        <x:v>sewing</x:v>
      </x:c>
      <x:c r="D200" s="27" t="n">
        <x:v>9</x:v>
      </x:c>
      <x:c r="E200" s="27" t="n">
        <x:v>5</x:v>
      </x:c>
      <x:c r="F200" s="27" t="n">
        <x:v>4</x:v>
      </x:c>
      <x:c r="G200" s="36" t="n">
        <x:f>E200*8*60*H200*I200</x:f>
        <x:v>1854.72</x:v>
      </x:c>
      <x:c r="H200" s="32" t="n">
        <x:v>0.84</x:v>
      </x:c>
      <x:c r="I200" s="32" t="n">
        <x:v>0.92</x:v>
      </x:c>
      <x:c r="J200" s="27" t="str">
        <x:f>IF(G200&lt;650,"WATCH","OK")</x:f>
        <x:v>OK</x:v>
      </x:c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</x:row>
    <x:row r="201">
      <x:c r="A201" s="27" t="str">
        <x:v>L6</x:v>
      </x:c>
      <x:c r="B201" s="27" t="str">
        <x:v>confezione corpino</x:v>
      </x:c>
      <x:c r="C201" s="27" t="str">
        <x:v>sewing</x:v>
      </x:c>
      <x:c r="D201" s="27" t="n">
        <x:v>10</x:v>
      </x:c>
      <x:c r="E201" s="27" t="n">
        <x:v>6</x:v>
      </x:c>
      <x:c r="F201" s="27" t="n">
        <x:v>5</x:v>
      </x:c>
      <x:c r="G201" s="36" t="n">
        <x:f>E201*8*60*H201*I201</x:f>
        <x:v>2225.6639999999998</x:v>
      </x:c>
      <x:c r="H201" s="32" t="n">
        <x:v>0.84</x:v>
      </x:c>
      <x:c r="I201" s="32" t="n">
        <x:v>0.92</x:v>
      </x:c>
      <x:c r="J201" s="27" t="str">
        <x:f>IF(G201&lt;650,"WATCH","OK")</x:f>
        <x:v>OK</x:v>
      </x:c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</x:row>
    <x:row r="202">
      <x:c r="A202" s="27" t="str">
        <x:v>L6</x:v>
      </x:c>
      <x:c r="B202" s="27" t="str">
        <x:v>confezione gonna</x:v>
      </x:c>
      <x:c r="C202" s="27" t="str">
        <x:v>sewing</x:v>
      </x:c>
      <x:c r="D202" s="27" t="n">
        <x:v>11</x:v>
      </x:c>
      <x:c r="E202" s="27" t="n">
        <x:v>7</x:v>
      </x:c>
      <x:c r="F202" s="27" t="n">
        <x:v>6</x:v>
      </x:c>
      <x:c r="G202" s="36" t="n">
        <x:f>E202*8*60*H202*I202</x:f>
        <x:v>2596.608</x:v>
      </x:c>
      <x:c r="H202" s="32" t="n">
        <x:v>0.84</x:v>
      </x:c>
      <x:c r="I202" s="32" t="n">
        <x:v>0.92</x:v>
      </x:c>
      <x:c r="J202" s="27" t="str">
        <x:f>IF(G202&lt;650,"WATCH","OK")</x:f>
        <x:v>OK</x:v>
      </x:c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</x:row>
    <x:row r="203">
      <x:c r="A203" s="27" t="str">
        <x:v>L6</x:v>
      </x:c>
      <x:c r="B203" s="27" t="str">
        <x:v>controllo qualità</x:v>
      </x:c>
      <x:c r="C203" s="27" t="str">
        <x:v>quality_control</x:v>
      </x:c>
      <x:c r="D203" s="27" t="n">
        <x:v>5</x:v>
      </x:c>
      <x:c r="E203" s="27" t="n">
        <x:v>3</x:v>
      </x:c>
      <x:c r="F203" s="27" t="n">
        <x:v>0</x:v>
      </x:c>
      <x:c r="G203" s="36" t="n">
        <x:f>E203*8*60*H203*I203</x:f>
        <x:v>1112.8319999999999</x:v>
      </x:c>
      <x:c r="H203" s="32" t="n">
        <x:v>0.84</x:v>
      </x:c>
      <x:c r="I203" s="32" t="n">
        <x:v>0.92</x:v>
      </x:c>
      <x:c r="J203" s="27" t="str">
        <x:f>IF(G203&lt;650,"WATCH","OK")</x:f>
        <x:v>OK</x:v>
      </x:c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</x:row>
    <x:row r="204">
      <x:c r="A204" s="27" t="str">
        <x:v>L6</x:v>
      </x:c>
      <x:c r="B204" s="27" t="str">
        <x:v>coppe</x:v>
      </x:c>
      <x:c r="C204" s="27" t="str">
        <x:v>sewing</x:v>
      </x:c>
      <x:c r="D204" s="27" t="n">
        <x:v>13</x:v>
      </x:c>
      <x:c r="E204" s="27" t="n">
        <x:v>9</x:v>
      </x:c>
      <x:c r="F204" s="27" t="n">
        <x:v>8</x:v>
      </x:c>
      <x:c r="G204" s="36" t="n">
        <x:f>E204*8*60*H204*I204</x:f>
        <x:v>3338.496</x:v>
      </x:c>
      <x:c r="H204" s="32" t="n">
        <x:v>0.84</x:v>
      </x:c>
      <x:c r="I204" s="32" t="n">
        <x:v>0.92</x:v>
      </x:c>
      <x:c r="J204" s="27" t="str">
        <x:f>IF(G204&lt;650,"WATCH","OK")</x:f>
        <x:v>OK</x:v>
      </x:c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</x:row>
    <x:row r="205">
      <x:c r="A205" s="27" t="str">
        <x:v>L6</x:v>
      </x:c>
      <x:c r="B205" s="27" t="str">
        <x:v>costruzione davanti</x:v>
      </x:c>
      <x:c r="C205" s="27" t="str">
        <x:v>sewing</x:v>
      </x:c>
      <x:c r="D205" s="27" t="n">
        <x:v>7</x:v>
      </x:c>
      <x:c r="E205" s="27" t="n">
        <x:v>7</x:v>
      </x:c>
      <x:c r="F205" s="27" t="n">
        <x:v>6</x:v>
      </x:c>
      <x:c r="G205" s="36" t="n">
        <x:f>E205*8*60*H205*I205</x:f>
        <x:v>2596.608</x:v>
      </x:c>
      <x:c r="H205" s="32" t="n">
        <x:v>0.84</x:v>
      </x:c>
      <x:c r="I205" s="32" t="n">
        <x:v>0.92</x:v>
      </x:c>
      <x:c r="J205" s="27" t="str">
        <x:f>IF(G205&lt;650,"WATCH","OK")</x:f>
        <x:v>OK</x:v>
      </x:c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</x:row>
    <x:row r="206">
      <x:c r="A206" s="27" t="str">
        <x:v>L6</x:v>
      </x:c>
      <x:c r="B206" s="27" t="str">
        <x:v>cuciture spalle</x:v>
      </x:c>
      <x:c r="C206" s="27" t="str">
        <x:v>sewing</x:v>
      </x:c>
      <x:c r="D206" s="27" t="n">
        <x:v>8</x:v>
      </x:c>
      <x:c r="E206" s="27" t="n">
        <x:v>5</x:v>
      </x:c>
      <x:c r="F206" s="27" t="n">
        <x:v>4</x:v>
      </x:c>
      <x:c r="G206" s="36" t="n">
        <x:f>E206*8*60*H206*I206</x:f>
        <x:v>1854.72</x:v>
      </x:c>
      <x:c r="H206" s="32" t="n">
        <x:v>0.84</x:v>
      </x:c>
      <x:c r="I206" s="32" t="n">
        <x:v>0.92</x:v>
      </x:c>
      <x:c r="J206" s="27" t="str">
        <x:f>IF(G206&lt;650,"WATCH","OK")</x:f>
        <x:v>OK</x:v>
      </x:c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</x:row>
    <x:row r="207">
      <x:c r="A207" s="27" t="str">
        <x:v>L6</x:v>
      </x:c>
      <x:c r="B207" s="27" t="str">
        <x:v>cuciture tasche</x:v>
      </x:c>
      <x:c r="C207" s="27" t="str">
        <x:v>sewing</x:v>
      </x:c>
      <x:c r="D207" s="27" t="n">
        <x:v>9</x:v>
      </x:c>
      <x:c r="E207" s="27" t="n">
        <x:v>6</x:v>
      </x:c>
      <x:c r="F207" s="27" t="n">
        <x:v>5</x:v>
      </x:c>
      <x:c r="G207" s="36" t="n">
        <x:f>E207*8*60*H207*I207</x:f>
        <x:v>2225.6639999999998</x:v>
      </x:c>
      <x:c r="H207" s="32" t="n">
        <x:v>0.84</x:v>
      </x:c>
      <x:c r="I207" s="32" t="n">
        <x:v>0.92</x:v>
      </x:c>
      <x:c r="J207" s="27" t="str">
        <x:f>IF(G207&lt;650,"WATCH","OK")</x:f>
        <x:v>OK</x:v>
      </x:c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</x:row>
    <x:row r="208">
      <x:c r="A208" s="27" t="str">
        <x:v>L6</x:v>
      </x:c>
      <x:c r="B208" s="27" t="str">
        <x:v>elastici</x:v>
      </x:c>
      <x:c r="C208" s="27" t="str">
        <x:v>sewing</x:v>
      </x:c>
      <x:c r="D208" s="27" t="n">
        <x:v>10</x:v>
      </x:c>
      <x:c r="E208" s="27" t="n">
        <x:v>7</x:v>
      </x:c>
      <x:c r="F208" s="27" t="n">
        <x:v>6</x:v>
      </x:c>
      <x:c r="G208" s="36" t="n">
        <x:f>E208*8*60*H208*I208</x:f>
        <x:v>2596.608</x:v>
      </x:c>
      <x:c r="H208" s="32" t="n">
        <x:v>0.84</x:v>
      </x:c>
      <x:c r="I208" s="32" t="n">
        <x:v>0.92</x:v>
      </x:c>
      <x:c r="J208" s="27" t="str">
        <x:f>IF(G208&lt;650,"WATCH","OK")</x:f>
        <x:v>OK</x:v>
      </x:c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</x:row>
    <x:row r="209">
      <x:c r="A209" s="27" t="str">
        <x:v>L6</x:v>
      </x:c>
      <x:c r="B209" s="27" t="str">
        <x:v>elastici e spalline</x:v>
      </x:c>
      <x:c r="C209" s="27" t="str">
        <x:v>sewing</x:v>
      </x:c>
      <x:c r="D209" s="27" t="n">
        <x:v>11</x:v>
      </x:c>
      <x:c r="E209" s="27" t="n">
        <x:v>8</x:v>
      </x:c>
      <x:c r="F209" s="27" t="n">
        <x:v>7</x:v>
      </x:c>
      <x:c r="G209" s="36" t="n">
        <x:f>E209*8*60*H209*I209</x:f>
        <x:v>2967.552</x:v>
      </x:c>
      <x:c r="H209" s="32" t="n">
        <x:v>0.84</x:v>
      </x:c>
      <x:c r="I209" s="32" t="n">
        <x:v>0.92</x:v>
      </x:c>
      <x:c r="J209" s="27" t="str">
        <x:f>IF(G209&lt;650,"WATCH","OK")</x:f>
        <x:v>OK</x:v>
      </x:c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</x:row>
    <x:row r="210">
      <x:c r="A210" s="27" t="str">
        <x:v>L6</x:v>
      </x:c>
      <x:c r="B210" s="27" t="str">
        <x:v>elastici/finizioni</x:v>
      </x:c>
      <x:c r="C210" s="27" t="str">
        <x:v>sewing</x:v>
      </x:c>
      <x:c r="D210" s="27" t="n">
        <x:v>12</x:v>
      </x:c>
      <x:c r="E210" s="27" t="n">
        <x:v>9</x:v>
      </x:c>
      <x:c r="F210" s="27" t="n">
        <x:v>8</x:v>
      </x:c>
      <x:c r="G210" s="36" t="n">
        <x:f>E210*8*60*H210*I210</x:f>
        <x:v>3338.496</x:v>
      </x:c>
      <x:c r="H210" s="32" t="n">
        <x:v>0.84</x:v>
      </x:c>
      <x:c r="I210" s="32" t="n">
        <x:v>0.92</x:v>
      </x:c>
      <x:c r="J210" s="27" t="str">
        <x:f>IF(G210&lt;650,"WATCH","OK")</x:f>
        <x:v>OK</x:v>
      </x:c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</x:row>
    <x:row r="211">
      <x:c r="A211" s="27" t="str">
        <x:v>L6</x:v>
      </x:c>
      <x:c r="B211" s="27" t="str">
        <x:v>elastico vita</x:v>
      </x:c>
      <x:c r="C211" s="27" t="str">
        <x:v>sewing</x:v>
      </x:c>
      <x:c r="D211" s="27" t="n">
        <x:v>13</x:v>
      </x:c>
      <x:c r="E211" s="27" t="n">
        <x:v>10</x:v>
      </x:c>
      <x:c r="F211" s="27" t="n">
        <x:v>9</x:v>
      </x:c>
      <x:c r="G211" s="36" t="n">
        <x:f>E211*8*60*H211*I211</x:f>
        <x:v>3709.44</x:v>
      </x:c>
      <x:c r="H211" s="32" t="n">
        <x:v>0.84</x:v>
      </x:c>
      <x:c r="I211" s="32" t="n">
        <x:v>0.92</x:v>
      </x:c>
      <x:c r="J211" s="27" t="str">
        <x:f>IF(G211&lt;650,"WATCH","OK")</x:f>
        <x:v>OK</x:v>
      </x:c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</x:row>
    <x:row r="212">
      <x:c r="A212" s="27" t="str">
        <x:v>L6</x:v>
      </x:c>
      <x:c r="B212" s="27" t="str">
        <x:v>ganci e rifiniture</x:v>
      </x:c>
      <x:c r="C212" s="27" t="str">
        <x:v>sewing</x:v>
      </x:c>
      <x:c r="D212" s="27" t="n">
        <x:v>7</x:v>
      </x:c>
      <x:c r="E212" s="27" t="n">
        <x:v>5</x:v>
      </x:c>
      <x:c r="F212" s="27" t="n">
        <x:v>4</x:v>
      </x:c>
      <x:c r="G212" s="36" t="n">
        <x:f>E212*8*60*H212*I212</x:f>
        <x:v>1854.72</x:v>
      </x:c>
      <x:c r="H212" s="32" t="n">
        <x:v>0.84</x:v>
      </x:c>
      <x:c r="I212" s="32" t="n">
        <x:v>0.92</x:v>
      </x:c>
      <x:c r="J212" s="27" t="str">
        <x:f>IF(G212&lt;650,"WATCH","OK")</x:f>
        <x:v>OK</x:v>
      </x:c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</x:row>
    <x:row r="213">
      <x:c r="A213" s="27" t="str">
        <x:v>L6</x:v>
      </x:c>
      <x:c r="B213" s="27" t="str">
        <x:v>imbastitura</x:v>
      </x:c>
      <x:c r="C213" s="27" t="str">
        <x:v>sewing</x:v>
      </x:c>
      <x:c r="D213" s="27" t="n">
        <x:v>8</x:v>
      </x:c>
      <x:c r="E213" s="27" t="n">
        <x:v>6</x:v>
      </x:c>
      <x:c r="F213" s="27" t="n">
        <x:v>5</x:v>
      </x:c>
      <x:c r="G213" s="36" t="n">
        <x:f>E213*8*60*H213*I213</x:f>
        <x:v>2225.6639999999998</x:v>
      </x:c>
      <x:c r="H213" s="32" t="n">
        <x:v>0.84</x:v>
      </x:c>
      <x:c r="I213" s="32" t="n">
        <x:v>0.92</x:v>
      </x:c>
      <x:c r="J213" s="27" t="str">
        <x:f>IF(G213&lt;650,"WATCH","OK")</x:f>
        <x:v>OK</x:v>
      </x:c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</x:row>
    <x:row r="214">
      <x:c r="A214" s="27" t="str">
        <x:v>L6</x:v>
      </x:c>
      <x:c r="B214" s="27" t="str">
        <x:v>maniche</x:v>
      </x:c>
      <x:c r="C214" s="27" t="str">
        <x:v>sewing</x:v>
      </x:c>
      <x:c r="D214" s="27" t="n">
        <x:v>9</x:v>
      </x:c>
      <x:c r="E214" s="27" t="n">
        <x:v>7</x:v>
      </x:c>
      <x:c r="F214" s="27" t="n">
        <x:v>6</x:v>
      </x:c>
      <x:c r="G214" s="36" t="n">
        <x:f>E214*8*60*H214*I214</x:f>
        <x:v>2596.608</x:v>
      </x:c>
      <x:c r="H214" s="32" t="n">
        <x:v>0.84</x:v>
      </x:c>
      <x:c r="I214" s="32" t="n">
        <x:v>0.92</x:v>
      </x:c>
      <x:c r="J214" s="27" t="str">
        <x:f>IF(G214&lt;650,"WATCH","OK")</x:f>
        <x:v>OK</x:v>
      </x:c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</x:row>
    <x:row r="215">
      <x:c r="A215" s="27" t="str">
        <x:v>L6</x:v>
      </x:c>
      <x:c r="B215" s="27" t="str">
        <x:v>orlo</x:v>
      </x:c>
      <x:c r="C215" s="27" t="str">
        <x:v>sewing</x:v>
      </x:c>
      <x:c r="D215" s="27" t="n">
        <x:v>10</x:v>
      </x:c>
      <x:c r="E215" s="27" t="n">
        <x:v>8</x:v>
      </x:c>
      <x:c r="F215" s="27" t="n">
        <x:v>7</x:v>
      </x:c>
      <x:c r="G215" s="36" t="n">
        <x:f>E215*8*60*H215*I215</x:f>
        <x:v>2967.552</x:v>
      </x:c>
      <x:c r="H215" s="32" t="n">
        <x:v>0.84</x:v>
      </x:c>
      <x:c r="I215" s="32" t="n">
        <x:v>0.92</x:v>
      </x:c>
      <x:c r="J215" s="27" t="str">
        <x:f>IF(G215&lt;650,"WATCH","OK")</x:f>
        <x:v>OK</x:v>
      </x:c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</x:row>
    <x:row r="216">
      <x:c r="A216" s="27" t="str">
        <x:v>L6</x:v>
      </x:c>
      <x:c r="B216" s="27" t="str">
        <x:v>orlo e rifiniture</x:v>
      </x:c>
      <x:c r="C216" s="27" t="str">
        <x:v>sewing</x:v>
      </x:c>
      <x:c r="D216" s="27" t="n">
        <x:v>11</x:v>
      </x:c>
      <x:c r="E216" s="27" t="n">
        <x:v>9</x:v>
      </x:c>
      <x:c r="F216" s="27" t="n">
        <x:v>8</x:v>
      </x:c>
      <x:c r="G216" s="36" t="n">
        <x:f>E216*8*60*H216*I216</x:f>
        <x:v>3338.496</x:v>
      </x:c>
      <x:c r="H216" s="32" t="n">
        <x:v>0.84</x:v>
      </x:c>
      <x:c r="I216" s="32" t="n">
        <x:v>0.92</x:v>
      </x:c>
      <x:c r="J216" s="27" t="str">
        <x:f>IF(G216&lt;650,"WATCH","OK")</x:f>
        <x:v>OK</x:v>
      </x:c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</x:row>
    <x:row r="217">
      <x:c r="A217" s="27" t="str">
        <x:v>L6</x:v>
      </x:c>
      <x:c r="B217" s="27" t="str">
        <x:v>packing</x:v>
      </x:c>
      <x:c r="C217" s="27" t="str">
        <x:v>finishing</x:v>
      </x:c>
      <x:c r="D217" s="27" t="n">
        <x:v>6</x:v>
      </x:c>
      <x:c r="E217" s="27" t="n">
        <x:v>6</x:v>
      </x:c>
      <x:c r="F217" s="27" t="n">
        <x:v>4</x:v>
      </x:c>
      <x:c r="G217" s="36" t="n">
        <x:f>E217*8*60*H217*I217</x:f>
        <x:v>2225.6639999999998</x:v>
      </x:c>
      <x:c r="H217" s="32" t="n">
        <x:v>0.84</x:v>
      </x:c>
      <x:c r="I217" s="32" t="n">
        <x:v>0.92</x:v>
      </x:c>
      <x:c r="J217" s="27" t="str">
        <x:f>IF(G217&lt;650,"WATCH","OK")</x:f>
        <x:v>OK</x:v>
      </x:c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</x:row>
    <x:row r="218">
      <x:c r="A218" s="27" t="str">
        <x:v>L6</x:v>
      </x:c>
      <x:c r="B218" s="27" t="str">
        <x:v>polsi e fondo</x:v>
      </x:c>
      <x:c r="C218" s="27" t="str">
        <x:v>sewing</x:v>
      </x:c>
      <x:c r="D218" s="27" t="n">
        <x:v>13</x:v>
      </x:c>
      <x:c r="E218" s="27" t="n">
        <x:v>5</x:v>
      </x:c>
      <x:c r="F218" s="27" t="n">
        <x:v>4</x:v>
      </x:c>
      <x:c r="G218" s="36" t="n">
        <x:f>E218*8*60*H218*I218</x:f>
        <x:v>1854.72</x:v>
      </x:c>
      <x:c r="H218" s="32" t="n">
        <x:v>0.84</x:v>
      </x:c>
      <x:c r="I218" s="32" t="n">
        <x:v>0.92</x:v>
      </x:c>
      <x:c r="J218" s="27" t="str">
        <x:f>IF(G218&lt;650,"WATCH","OK")</x:f>
        <x:v>OK</x:v>
      </x:c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</x:row>
    <x:row r="219">
      <x:c r="A219" s="27" t="str">
        <x:v>L6</x:v>
      </x:c>
      <x:c r="B219" s="27" t="str">
        <x:v>spalle e fianchi</x:v>
      </x:c>
      <x:c r="C219" s="27" t="str">
        <x:v>sewing</x:v>
      </x:c>
      <x:c r="D219" s="27" t="n">
        <x:v>7</x:v>
      </x:c>
      <x:c r="E219" s="27" t="n">
        <x:v>6</x:v>
      </x:c>
      <x:c r="F219" s="27" t="n">
        <x:v>5</x:v>
      </x:c>
      <x:c r="G219" s="36" t="n">
        <x:f>E219*8*60*H219*I219</x:f>
        <x:v>2225.6639999999998</x:v>
      </x:c>
      <x:c r="H219" s="32" t="n">
        <x:v>0.84</x:v>
      </x:c>
      <x:c r="I219" s="32" t="n">
        <x:v>0.92</x:v>
      </x:c>
      <x:c r="J219" s="27" t="str">
        <x:f>IF(G219&lt;650,"WATCH","OK")</x:f>
        <x:v>OK</x:v>
      </x:c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</x:row>
    <x:row r="220">
      <x:c r="A220" s="27" t="str">
        <x:v>L6</x:v>
      </x:c>
      <x:c r="B220" s="27" t="str">
        <x:v>stiro finale</x:v>
      </x:c>
      <x:c r="C220" s="27" t="str">
        <x:v>finishing</x:v>
      </x:c>
      <x:c r="D220" s="27" t="n">
        <x:v>9</x:v>
      </x:c>
      <x:c r="E220" s="27" t="n">
        <x:v>6</x:v>
      </x:c>
      <x:c r="F220" s="27" t="n">
        <x:v>4</x:v>
      </x:c>
      <x:c r="G220" s="36" t="n">
        <x:f>E220*8*60*H220*I220</x:f>
        <x:v>2225.6639999999998</x:v>
      </x:c>
      <x:c r="H220" s="32" t="n">
        <x:v>0.84</x:v>
      </x:c>
      <x:c r="I220" s="32" t="n">
        <x:v>0.92</x:v>
      </x:c>
      <x:c r="J220" s="27" t="str">
        <x:f>IF(G220&lt;650,"WATCH","OK")</x:f>
        <x:v>OK</x:v>
      </x:c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</x:row>
    <x:row r="221">
      <x:c r="A221" s="27" t="str">
        <x:v>L6</x:v>
      </x:c>
      <x:c r="B221" s="27" t="str">
        <x:v>stiro intermedio</x:v>
      </x:c>
      <x:c r="C221" s="27" t="str">
        <x:v>finishing</x:v>
      </x:c>
      <x:c r="D221" s="27" t="n">
        <x:v>10</x:v>
      </x:c>
      <x:c r="E221" s="27" t="n">
        <x:v>7</x:v>
      </x:c>
      <x:c r="F221" s="27" t="n">
        <x:v>5</x:v>
      </x:c>
      <x:c r="G221" s="36" t="n">
        <x:f>E221*8*60*H221*I221</x:f>
        <x:v>2596.608</x:v>
      </x:c>
      <x:c r="H221" s="32" t="n">
        <x:v>0.84</x:v>
      </x:c>
      <x:c r="I221" s="32" t="n">
        <x:v>0.92</x:v>
      </x:c>
      <x:c r="J221" s="27" t="str">
        <x:f>IF(G221&lt;650,"WATCH","OK")</x:f>
        <x:v>OK</x:v>
      </x:c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</x:row>
    <x:row r="222">
      <x:c r="A222" s="27" t="str">
        <x:v>L6</x:v>
      </x:c>
      <x:c r="B222" s="27" t="str">
        <x:v>stiro/packing</x:v>
      </x:c>
      <x:c r="C222" s="27" t="str">
        <x:v>finishing</x:v>
      </x:c>
      <x:c r="D222" s="27" t="n">
        <x:v>6</x:v>
      </x:c>
      <x:c r="E222" s="27" t="n">
        <x:v>4</x:v>
      </x:c>
      <x:c r="F222" s="27" t="n">
        <x:v>2</x:v>
      </x:c>
      <x:c r="G222" s="36" t="n">
        <x:f>E222*8*60*H222*I222</x:f>
        <x:v>1483.776</x:v>
      </x:c>
      <x:c r="H222" s="32" t="n">
        <x:v>0.84</x:v>
      </x:c>
      <x:c r="I222" s="32" t="n">
        <x:v>0.92</x:v>
      </x:c>
      <x:c r="J222" s="27" t="str">
        <x:f>IF(G222&lt;650,"WATCH","OK")</x:f>
        <x:v>OK</x:v>
      </x:c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</x:row>
    <x:row r="223">
      <x:c r="A223" s="27" t="str">
        <x:v>L6</x:v>
      </x:c>
      <x:c r="B223" s="27" t="str">
        <x:v>taglio tessuto</x:v>
      </x:c>
      <x:c r="C223" s="27" t="str">
        <x:v>cutting</x:v>
      </x:c>
      <x:c r="D223" s="27" t="n">
        <x:v>6</x:v>
      </x:c>
      <x:c r="E223" s="27" t="n">
        <x:v>6</x:v>
      </x:c>
      <x:c r="F223" s="27" t="n">
        <x:v>4</x:v>
      </x:c>
      <x:c r="G223" s="36" t="n">
        <x:f>E223*8*60*H223*I223</x:f>
        <x:v>2225.6639999999998</x:v>
      </x:c>
      <x:c r="H223" s="32" t="n">
        <x:v>0.84</x:v>
      </x:c>
      <x:c r="I223" s="32" t="n">
        <x:v>0.92</x:v>
      </x:c>
      <x:c r="J223" s="27" t="str">
        <x:f>IF(G223&lt;650,"WATCH","OK")</x:f>
        <x:v>OK</x:v>
      </x:c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</x:row>
    <x:row r="224">
      <x:c r="A224" s="27" t="str">
        <x:v>L6</x:v>
      </x:c>
      <x:c r="B224" s="27" t="str">
        <x:v>tasche</x:v>
      </x:c>
      <x:c r="C224" s="27" t="str">
        <x:v>sewing</x:v>
      </x:c>
      <x:c r="D224" s="27" t="n">
        <x:v>12</x:v>
      </x:c>
      <x:c r="E224" s="27" t="n">
        <x:v>5</x:v>
      </x:c>
      <x:c r="F224" s="27" t="n">
        <x:v>4</x:v>
      </x:c>
      <x:c r="G224" s="36" t="n">
        <x:f>E224*8*60*H224*I224</x:f>
        <x:v>1854.72</x:v>
      </x:c>
      <x:c r="H224" s="32" t="n">
        <x:v>0.84</x:v>
      </x:c>
      <x:c r="I224" s="32" t="n">
        <x:v>0.92</x:v>
      </x:c>
      <x:c r="J224" s="27" t="str">
        <x:f>IF(G224&lt;650,"WATCH","OK")</x:f>
        <x:v>OK</x:v>
      </x:c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</x:row>
    <x:row r="225">
      <x:c r="A225" s="27" t="str">
        <x:v>L7</x:v>
      </x:c>
      <x:c r="B225" s="27" t="str">
        <x:v>adesivazione</x:v>
      </x:c>
      <x:c r="C225" s="27" t="str">
        <x:v>cutting</x:v>
      </x:c>
      <x:c r="D225" s="27" t="n">
        <x:v>8</x:v>
      </x:c>
      <x:c r="E225" s="27" t="n">
        <x:v>5</x:v>
      </x:c>
      <x:c r="F225" s="27" t="n">
        <x:v>3</x:v>
      </x:c>
      <x:c r="G225" s="36" t="n">
        <x:f>E225*8*60*H225*I225</x:f>
        <x:v>1940.1599999999999</x:v>
      </x:c>
      <x:c r="H225" s="32" t="n">
        <x:v>0.86</x:v>
      </x:c>
      <x:c r="I225" s="32" t="n">
        <x:v>0.94</x:v>
      </x:c>
      <x:c r="J225" s="27" t="str">
        <x:f>IF(G225&lt;650,"WATCH","OK")</x:f>
        <x:v>OK</x:v>
      </x:c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</x:row>
    <x:row r="226">
      <x:c r="A226" s="27" t="str">
        <x:v>L7</x:v>
      </x:c>
      <x:c r="B226" s="27" t="str">
        <x:v>applicazione elastici</x:v>
      </x:c>
      <x:c r="C226" s="27" t="str">
        <x:v>sewing</x:v>
      </x:c>
      <x:c r="D226" s="27" t="n">
        <x:v>7</x:v>
      </x:c>
      <x:c r="E226" s="27" t="n">
        <x:v>7</x:v>
      </x:c>
      <x:c r="F226" s="27" t="n">
        <x:v>6</x:v>
      </x:c>
      <x:c r="G226" s="36" t="n">
        <x:f>E226*8*60*H226*I226</x:f>
        <x:v>2716.2239999999997</x:v>
      </x:c>
      <x:c r="H226" s="32" t="n">
        <x:v>0.86</x:v>
      </x:c>
      <x:c r="I226" s="32" t="n">
        <x:v>0.94</x:v>
      </x:c>
      <x:c r="J226" s="27" t="str">
        <x:f>IF(G226&lt;650,"WATCH","OK")</x:f>
        <x:v>OK</x:v>
      </x:c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</x:row>
    <x:row r="227">
      <x:c r="A227" s="27" t="str">
        <x:v>L7</x:v>
      </x:c>
      <x:c r="B227" s="27" t="str">
        <x:v>applicazione fodera</x:v>
      </x:c>
      <x:c r="C227" s="27" t="str">
        <x:v>sewing</x:v>
      </x:c>
      <x:c r="D227" s="27" t="n">
        <x:v>8</x:v>
      </x:c>
      <x:c r="E227" s="27" t="n">
        <x:v>8</x:v>
      </x:c>
      <x:c r="F227" s="27" t="n">
        <x:v>7</x:v>
      </x:c>
      <x:c r="G227" s="36" t="n">
        <x:f>E227*8*60*H227*I227</x:f>
        <x:v>3104.256</x:v>
      </x:c>
      <x:c r="H227" s="32" t="n">
        <x:v>0.86</x:v>
      </x:c>
      <x:c r="I227" s="32" t="n">
        <x:v>0.94</x:v>
      </x:c>
      <x:c r="J227" s="27" t="str">
        <x:f>IF(G227&lt;650,"WATCH","OK")</x:f>
        <x:v>OK</x:v>
      </x:c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</x:row>
    <x:row r="228">
      <x:c r="A228" s="27" t="str">
        <x:v>L7</x:v>
      </x:c>
      <x:c r="B228" s="27" t="str">
        <x:v>applicazione zip</x:v>
      </x:c>
      <x:c r="C228" s="27" t="str">
        <x:v>sewing</x:v>
      </x:c>
      <x:c r="D228" s="27" t="n">
        <x:v>9</x:v>
      </x:c>
      <x:c r="E228" s="27" t="n">
        <x:v>9</x:v>
      </x:c>
      <x:c r="F228" s="27" t="n">
        <x:v>8</x:v>
      </x:c>
      <x:c r="G228" s="36" t="n">
        <x:f>E228*8*60*H228*I228</x:f>
        <x:v>3492.2879999999996</x:v>
      </x:c>
      <x:c r="H228" s="32" t="n">
        <x:v>0.86</x:v>
      </x:c>
      <x:c r="I228" s="32" t="n">
        <x:v>0.94</x:v>
      </x:c>
      <x:c r="J228" s="27" t="str">
        <x:f>IF(G228&lt;650,"WATCH","OK")</x:f>
        <x:v>OK</x:v>
      </x:c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</x:row>
    <x:row r="229">
      <x:c r="A229" s="27" t="str">
        <x:v>L7</x:v>
      </x:c>
      <x:c r="B229" s="27" t="str">
        <x:v>asolatura/bottoni</x:v>
      </x:c>
      <x:c r="C229" s="27" t="str">
        <x:v>sewing</x:v>
      </x:c>
      <x:c r="D229" s="27" t="n">
        <x:v>10</x:v>
      </x:c>
      <x:c r="E229" s="27" t="n">
        <x:v>10</x:v>
      </x:c>
      <x:c r="F229" s="27" t="n">
        <x:v>9</x:v>
      </x:c>
      <x:c r="G229" s="36" t="n">
        <x:f>E229*8*60*H229*I229</x:f>
        <x:v>3880.3199999999997</x:v>
      </x:c>
      <x:c r="H229" s="32" t="n">
        <x:v>0.86</x:v>
      </x:c>
      <x:c r="I229" s="32" t="n">
        <x:v>0.94</x:v>
      </x:c>
      <x:c r="J229" s="27" t="str">
        <x:f>IF(G229&lt;650,"WATCH","OK")</x:f>
        <x:v>OK</x:v>
      </x:c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</x:row>
    <x:row r="230">
      <x:c r="A230" s="27" t="str">
        <x:v>L7</x:v>
      </x:c>
      <x:c r="B230" s="27" t="str">
        <x:v>assemblaggio</x:v>
      </x:c>
      <x:c r="C230" s="27" t="str">
        <x:v>sewing</x:v>
      </x:c>
      <x:c r="D230" s="27" t="n">
        <x:v>11</x:v>
      </x:c>
      <x:c r="E230" s="27" t="n">
        <x:v>5</x:v>
      </x:c>
      <x:c r="F230" s="27" t="n">
        <x:v>4</x:v>
      </x:c>
      <x:c r="G230" s="36" t="n">
        <x:f>E230*8*60*H230*I230</x:f>
        <x:v>1940.1599999999999</x:v>
      </x:c>
      <x:c r="H230" s="32" t="n">
        <x:v>0.86</x:v>
      </x:c>
      <x:c r="I230" s="32" t="n">
        <x:v>0.94</x:v>
      </x:c>
      <x:c r="J230" s="27" t="str">
        <x:f>IF(G230&lt;650,"WATCH","OK")</x:f>
        <x:v>OK</x:v>
      </x:c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</x:row>
    <x:row r="231">
      <x:c r="A231" s="27" t="str">
        <x:v>L7</x:v>
      </x:c>
      <x:c r="B231" s="27" t="str">
        <x:v>assemblaggio busto</x:v>
      </x:c>
      <x:c r="C231" s="27" t="str">
        <x:v>sewing</x:v>
      </x:c>
      <x:c r="D231" s="27" t="n">
        <x:v>12</x:v>
      </x:c>
      <x:c r="E231" s="27" t="n">
        <x:v>6</x:v>
      </x:c>
      <x:c r="F231" s="27" t="n">
        <x:v>5</x:v>
      </x:c>
      <x:c r="G231" s="36" t="n">
        <x:f>E231*8*60*H231*I231</x:f>
        <x:v>2328.192</x:v>
      </x:c>
      <x:c r="H231" s="32" t="n">
        <x:v>0.86</x:v>
      </x:c>
      <x:c r="I231" s="32" t="n">
        <x:v>0.94</x:v>
      </x:c>
      <x:c r="J231" s="27" t="str">
        <x:f>IF(G231&lt;650,"WATCH","OK")</x:f>
        <x:v>OK</x:v>
      </x:c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</x:row>
    <x:row r="232">
      <x:c r="A232" s="27" t="str">
        <x:v>L7</x:v>
      </x:c>
      <x:c r="B232" s="27" t="str">
        <x:v>bottoni automatici</x:v>
      </x:c>
      <x:c r="C232" s="27" t="str">
        <x:v>sewing</x:v>
      </x:c>
      <x:c r="D232" s="27" t="n">
        <x:v>13</x:v>
      </x:c>
      <x:c r="E232" s="27" t="n">
        <x:v>7</x:v>
      </x:c>
      <x:c r="F232" s="27" t="n">
        <x:v>6</x:v>
      </x:c>
      <x:c r="G232" s="36" t="n">
        <x:f>E232*8*60*H232*I232</x:f>
        <x:v>2716.2239999999997</x:v>
      </x:c>
      <x:c r="H232" s="32" t="n">
        <x:v>0.86</x:v>
      </x:c>
      <x:c r="I232" s="32" t="n">
        <x:v>0.94</x:v>
      </x:c>
      <x:c r="J232" s="27" t="str">
        <x:f>IF(G232&lt;650,"WATCH","OK")</x:f>
        <x:v>OK</x:v>
      </x:c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</x:row>
    <x:row r="233">
      <x:c r="A233" s="27" t="str">
        <x:v>L7</x:v>
      </x:c>
      <x:c r="B233" s="27" t="str">
        <x:v>cappuccio/collo</x:v>
      </x:c>
      <x:c r="C233" s="27" t="str">
        <x:v>sewing</x:v>
      </x:c>
      <x:c r="D233" s="27" t="n">
        <x:v>7</x:v>
      </x:c>
      <x:c r="E233" s="27" t="n">
        <x:v>7</x:v>
      </x:c>
      <x:c r="F233" s="27" t="n">
        <x:v>6</x:v>
      </x:c>
      <x:c r="G233" s="36" t="n">
        <x:f>E233*8*60*H233*I233</x:f>
        <x:v>2716.2239999999997</x:v>
      </x:c>
      <x:c r="H233" s="32" t="n">
        <x:v>0.86</x:v>
      </x:c>
      <x:c r="I233" s="32" t="n">
        <x:v>0.94</x:v>
      </x:c>
      <x:c r="J233" s="27" t="str">
        <x:f>IF(G233&lt;650,"WATCH","OK")</x:f>
        <x:v>OK</x:v>
      </x:c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</x:row>
    <x:row r="234">
      <x:c r="A234" s="27" t="str">
        <x:v>L7</x:v>
      </x:c>
      <x:c r="B234" s="27" t="str">
        <x:v>cintura</x:v>
      </x:c>
      <x:c r="C234" s="27" t="str">
        <x:v>sewing</x:v>
      </x:c>
      <x:c r="D234" s="27" t="n">
        <x:v>8</x:v>
      </x:c>
      <x:c r="E234" s="27" t="n">
        <x:v>8</x:v>
      </x:c>
      <x:c r="F234" s="27" t="n">
        <x:v>7</x:v>
      </x:c>
      <x:c r="G234" s="36" t="n">
        <x:f>E234*8*60*H234*I234</x:f>
        <x:v>3104.256</x:v>
      </x:c>
      <x:c r="H234" s="32" t="n">
        <x:v>0.86</x:v>
      </x:c>
      <x:c r="I234" s="32" t="n">
        <x:v>0.94</x:v>
      </x:c>
      <x:c r="J234" s="27" t="str">
        <x:f>IF(G234&lt;650,"WATCH","OK")</x:f>
        <x:v>OK</x:v>
      </x:c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</x:row>
    <x:row r="235">
      <x:c r="A235" s="27" t="str">
        <x:v>L7</x:v>
      </x:c>
      <x:c r="B235" s="27" t="str">
        <x:v>collo</x:v>
      </x:c>
      <x:c r="C235" s="27" t="str">
        <x:v>sewing</x:v>
      </x:c>
      <x:c r="D235" s="27" t="n">
        <x:v>9</x:v>
      </x:c>
      <x:c r="E235" s="27" t="n">
        <x:v>9</x:v>
      </x:c>
      <x:c r="F235" s="27" t="n">
        <x:v>8</x:v>
      </x:c>
      <x:c r="G235" s="36" t="n">
        <x:f>E235*8*60*H235*I235</x:f>
        <x:v>3492.2879999999996</x:v>
      </x:c>
      <x:c r="H235" s="32" t="n">
        <x:v>0.86</x:v>
      </x:c>
      <x:c r="I235" s="32" t="n">
        <x:v>0.94</x:v>
      </x:c>
      <x:c r="J235" s="27" t="str">
        <x:f>IF(G235&lt;650,"WATCH","OK")</x:f>
        <x:v>OK</x:v>
      </x:c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</x:row>
    <x:row r="236">
      <x:c r="A236" s="27" t="str">
        <x:v>L7</x:v>
      </x:c>
      <x:c r="B236" s="27" t="str">
        <x:v>collo e polsi</x:v>
      </x:c>
      <x:c r="C236" s="27" t="str">
        <x:v>sewing</x:v>
      </x:c>
      <x:c r="D236" s="27" t="n">
        <x:v>10</x:v>
      </x:c>
      <x:c r="E236" s="27" t="n">
        <x:v>5</x:v>
      </x:c>
      <x:c r="F236" s="27" t="n">
        <x:v>4</x:v>
      </x:c>
      <x:c r="G236" s="36" t="n">
        <x:f>E236*8*60*H236*I236</x:f>
        <x:v>1940.1599999999999</x:v>
      </x:c>
      <x:c r="H236" s="32" t="n">
        <x:v>0.86</x:v>
      </x:c>
      <x:c r="I236" s="32" t="n">
        <x:v>0.94</x:v>
      </x:c>
      <x:c r="J236" s="27" t="str">
        <x:f>IF(G236&lt;650,"WATCH","OK")</x:f>
        <x:v>OK</x:v>
      </x:c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</x:row>
    <x:row r="237">
      <x:c r="A237" s="27" t="str">
        <x:v>L7</x:v>
      </x:c>
      <x:c r="B237" s="27" t="str">
        <x:v>confezione capo</x:v>
      </x:c>
      <x:c r="C237" s="27" t="str">
        <x:v>sewing</x:v>
      </x:c>
      <x:c r="D237" s="27" t="n">
        <x:v>11</x:v>
      </x:c>
      <x:c r="E237" s="27" t="n">
        <x:v>6</x:v>
      </x:c>
      <x:c r="F237" s="27" t="n">
        <x:v>5</x:v>
      </x:c>
      <x:c r="G237" s="36" t="n">
        <x:f>E237*8*60*H237*I237</x:f>
        <x:v>2328.192</x:v>
      </x:c>
      <x:c r="H237" s="32" t="n">
        <x:v>0.86</x:v>
      </x:c>
      <x:c r="I237" s="32" t="n">
        <x:v>0.94</x:v>
      </x:c>
      <x:c r="J237" s="27" t="str">
        <x:f>IF(G237&lt;650,"WATCH","OK")</x:f>
        <x:v>OK</x:v>
      </x:c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</x:row>
    <x:row r="238">
      <x:c r="A238" s="27" t="str">
        <x:v>L7</x:v>
      </x:c>
      <x:c r="B238" s="27" t="str">
        <x:v>confezione corpino</x:v>
      </x:c>
      <x:c r="C238" s="27" t="str">
        <x:v>sewing</x:v>
      </x:c>
      <x:c r="D238" s="27" t="n">
        <x:v>12</x:v>
      </x:c>
      <x:c r="E238" s="27" t="n">
        <x:v>7</x:v>
      </x:c>
      <x:c r="F238" s="27" t="n">
        <x:v>6</x:v>
      </x:c>
      <x:c r="G238" s="36" t="n">
        <x:f>E238*8*60*H238*I238</x:f>
        <x:v>2716.2239999999997</x:v>
      </x:c>
      <x:c r="H238" s="32" t="n">
        <x:v>0.86</x:v>
      </x:c>
      <x:c r="I238" s="32" t="n">
        <x:v>0.94</x:v>
      </x:c>
      <x:c r="J238" s="27" t="str">
        <x:f>IF(G238&lt;650,"WATCH","OK")</x:f>
        <x:v>OK</x:v>
      </x:c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</x:row>
    <x:row r="239">
      <x:c r="A239" s="27" t="str">
        <x:v>L7</x:v>
      </x:c>
      <x:c r="B239" s="27" t="str">
        <x:v>confezione gonna</x:v>
      </x:c>
      <x:c r="C239" s="27" t="str">
        <x:v>sewing</x:v>
      </x:c>
      <x:c r="D239" s="27" t="n">
        <x:v>13</x:v>
      </x:c>
      <x:c r="E239" s="27" t="n">
        <x:v>8</x:v>
      </x:c>
      <x:c r="F239" s="27" t="n">
        <x:v>7</x:v>
      </x:c>
      <x:c r="G239" s="36" t="n">
        <x:f>E239*8*60*H239*I239</x:f>
        <x:v>3104.256</x:v>
      </x:c>
      <x:c r="H239" s="32" t="n">
        <x:v>0.86</x:v>
      </x:c>
      <x:c r="I239" s="32" t="n">
        <x:v>0.94</x:v>
      </x:c>
      <x:c r="J239" s="27" t="str">
        <x:f>IF(G239&lt;650,"WATCH","OK")</x:f>
        <x:v>OK</x:v>
      </x:c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</x:row>
    <x:row r="240">
      <x:c r="A240" s="27" t="str">
        <x:v>L7</x:v>
      </x:c>
      <x:c r="B240" s="27" t="str">
        <x:v>controllo qualità</x:v>
      </x:c>
      <x:c r="C240" s="27" t="str">
        <x:v>quality_control</x:v>
      </x:c>
      <x:c r="D240" s="27" t="n">
        <x:v>6</x:v>
      </x:c>
      <x:c r="E240" s="27" t="n">
        <x:v>4</x:v>
      </x:c>
      <x:c r="F240" s="27" t="n">
        <x:v>0</x:v>
      </x:c>
      <x:c r="G240" s="36" t="n">
        <x:f>E240*8*60*H240*I240</x:f>
        <x:v>1552.128</x:v>
      </x:c>
      <x:c r="H240" s="32" t="n">
        <x:v>0.86</x:v>
      </x:c>
      <x:c r="I240" s="32" t="n">
        <x:v>0.94</x:v>
      </x:c>
      <x:c r="J240" s="27" t="str">
        <x:f>IF(G240&lt;650,"WATCH","OK")</x:f>
        <x:v>OK</x:v>
      </x:c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</x:row>
    <x:row r="241">
      <x:c r="A241" s="27" t="str">
        <x:v>L7</x:v>
      </x:c>
      <x:c r="B241" s="27" t="str">
        <x:v>coppe</x:v>
      </x:c>
      <x:c r="C241" s="27" t="str">
        <x:v>sewing</x:v>
      </x:c>
      <x:c r="D241" s="27" t="n">
        <x:v>8</x:v>
      </x:c>
      <x:c r="E241" s="27" t="n">
        <x:v>8</x:v>
      </x:c>
      <x:c r="F241" s="27" t="n">
        <x:v>7</x:v>
      </x:c>
      <x:c r="G241" s="36" t="n">
        <x:f>E241*8*60*H241*I241</x:f>
        <x:v>3104.256</x:v>
      </x:c>
      <x:c r="H241" s="32" t="n">
        <x:v>0.86</x:v>
      </x:c>
      <x:c r="I241" s="32" t="n">
        <x:v>0.94</x:v>
      </x:c>
      <x:c r="J241" s="27" t="str">
        <x:f>IF(G241&lt;650,"WATCH","OK")</x:f>
        <x:v>OK</x:v>
      </x:c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</x:row>
    <x:row r="242">
      <x:c r="A242" s="27" t="str">
        <x:v>L7</x:v>
      </x:c>
      <x:c r="B242" s="27" t="str">
        <x:v>costruzione davanti</x:v>
      </x:c>
      <x:c r="C242" s="27" t="str">
        <x:v>sewing</x:v>
      </x:c>
      <x:c r="D242" s="27" t="n">
        <x:v>9</x:v>
      </x:c>
      <x:c r="E242" s="27" t="n">
        <x:v>5</x:v>
      </x:c>
      <x:c r="F242" s="27" t="n">
        <x:v>4</x:v>
      </x:c>
      <x:c r="G242" s="36" t="n">
        <x:f>E242*8*60*H242*I242</x:f>
        <x:v>1940.1599999999999</x:v>
      </x:c>
      <x:c r="H242" s="32" t="n">
        <x:v>0.86</x:v>
      </x:c>
      <x:c r="I242" s="32" t="n">
        <x:v>0.94</x:v>
      </x:c>
      <x:c r="J242" s="27" t="str">
        <x:f>IF(G242&lt;650,"WATCH","OK")</x:f>
        <x:v>OK</x:v>
      </x:c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</x:row>
    <x:row r="243">
      <x:c r="A243" s="27" t="str">
        <x:v>L7</x:v>
      </x:c>
      <x:c r="B243" s="27" t="str">
        <x:v>cuciture spalle</x:v>
      </x:c>
      <x:c r="C243" s="27" t="str">
        <x:v>sewing</x:v>
      </x:c>
      <x:c r="D243" s="27" t="n">
        <x:v>10</x:v>
      </x:c>
      <x:c r="E243" s="27" t="n">
        <x:v>6</x:v>
      </x:c>
      <x:c r="F243" s="27" t="n">
        <x:v>5</x:v>
      </x:c>
      <x:c r="G243" s="36" t="n">
        <x:f>E243*8*60*H243*I243</x:f>
        <x:v>2328.192</x:v>
      </x:c>
      <x:c r="H243" s="32" t="n">
        <x:v>0.86</x:v>
      </x:c>
      <x:c r="I243" s="32" t="n">
        <x:v>0.94</x:v>
      </x:c>
      <x:c r="J243" s="27" t="str">
        <x:f>IF(G243&lt;650,"WATCH","OK")</x:f>
        <x:v>OK</x:v>
      </x:c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</x:row>
    <x:row r="244">
      <x:c r="A244" s="27" t="str">
        <x:v>L7</x:v>
      </x:c>
      <x:c r="B244" s="27" t="str">
        <x:v>cuciture tasche</x:v>
      </x:c>
      <x:c r="C244" s="27" t="str">
        <x:v>sewing</x:v>
      </x:c>
      <x:c r="D244" s="27" t="n">
        <x:v>11</x:v>
      </x:c>
      <x:c r="E244" s="27" t="n">
        <x:v>7</x:v>
      </x:c>
      <x:c r="F244" s="27" t="n">
        <x:v>6</x:v>
      </x:c>
      <x:c r="G244" s="36" t="n">
        <x:f>E244*8*60*H244*I244</x:f>
        <x:v>2716.2239999999997</x:v>
      </x:c>
      <x:c r="H244" s="32" t="n">
        <x:v>0.86</x:v>
      </x:c>
      <x:c r="I244" s="32" t="n">
        <x:v>0.94</x:v>
      </x:c>
      <x:c r="J244" s="27" t="str">
        <x:f>IF(G244&lt;650,"WATCH","OK")</x:f>
        <x:v>OK</x:v>
      </x:c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</x:row>
    <x:row r="245">
      <x:c r="A245" s="27" t="str">
        <x:v>L7</x:v>
      </x:c>
      <x:c r="B245" s="27" t="str">
        <x:v>elastici</x:v>
      </x:c>
      <x:c r="C245" s="27" t="str">
        <x:v>sewing</x:v>
      </x:c>
      <x:c r="D245" s="27" t="n">
        <x:v>12</x:v>
      </x:c>
      <x:c r="E245" s="27" t="n">
        <x:v>8</x:v>
      </x:c>
      <x:c r="F245" s="27" t="n">
        <x:v>7</x:v>
      </x:c>
      <x:c r="G245" s="36" t="n">
        <x:f>E245*8*60*H245*I245</x:f>
        <x:v>3104.256</x:v>
      </x:c>
      <x:c r="H245" s="32" t="n">
        <x:v>0.86</x:v>
      </x:c>
      <x:c r="I245" s="32" t="n">
        <x:v>0.94</x:v>
      </x:c>
      <x:c r="J245" s="27" t="str">
        <x:f>IF(G245&lt;650,"WATCH","OK")</x:f>
        <x:v>OK</x:v>
      </x:c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</x:row>
    <x:row r="246">
      <x:c r="A246" s="27" t="str">
        <x:v>L7</x:v>
      </x:c>
      <x:c r="B246" s="27" t="str">
        <x:v>elastici e spalline</x:v>
      </x:c>
      <x:c r="C246" s="27" t="str">
        <x:v>sewing</x:v>
      </x:c>
      <x:c r="D246" s="27" t="n">
        <x:v>13</x:v>
      </x:c>
      <x:c r="E246" s="27" t="n">
        <x:v>9</x:v>
      </x:c>
      <x:c r="F246" s="27" t="n">
        <x:v>8</x:v>
      </x:c>
      <x:c r="G246" s="36" t="n">
        <x:f>E246*8*60*H246*I246</x:f>
        <x:v>3492.2879999999996</x:v>
      </x:c>
      <x:c r="H246" s="32" t="n">
        <x:v>0.86</x:v>
      </x:c>
      <x:c r="I246" s="32" t="n">
        <x:v>0.94</x:v>
      </x:c>
      <x:c r="J246" s="27" t="str">
        <x:f>IF(G246&lt;650,"WATCH","OK")</x:f>
        <x:v>OK</x:v>
      </x:c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</x:row>
    <x:row r="247">
      <x:c r="A247" s="27" t="str">
        <x:v>L7</x:v>
      </x:c>
      <x:c r="B247" s="27" t="str">
        <x:v>elastici/finizioni</x:v>
      </x:c>
      <x:c r="C247" s="27" t="str">
        <x:v>sewing</x:v>
      </x:c>
      <x:c r="D247" s="27" t="n">
        <x:v>7</x:v>
      </x:c>
      <x:c r="E247" s="27" t="n">
        <x:v>7</x:v>
      </x:c>
      <x:c r="F247" s="27" t="n">
        <x:v>6</x:v>
      </x:c>
      <x:c r="G247" s="36" t="n">
        <x:f>E247*8*60*H247*I247</x:f>
        <x:v>2716.2239999999997</x:v>
      </x:c>
      <x:c r="H247" s="32" t="n">
        <x:v>0.86</x:v>
      </x:c>
      <x:c r="I247" s="32" t="n">
        <x:v>0.94</x:v>
      </x:c>
      <x:c r="J247" s="27" t="str">
        <x:f>IF(G247&lt;650,"WATCH","OK")</x:f>
        <x:v>OK</x:v>
      </x:c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</x:row>
    <x:row r="248">
      <x:c r="A248" s="27" t="str">
        <x:v>L7</x:v>
      </x:c>
      <x:c r="B248" s="27" t="str">
        <x:v>elastico vita</x:v>
      </x:c>
      <x:c r="C248" s="27" t="str">
        <x:v>sewing</x:v>
      </x:c>
      <x:c r="D248" s="27" t="n">
        <x:v>8</x:v>
      </x:c>
      <x:c r="E248" s="27" t="n">
        <x:v>5</x:v>
      </x:c>
      <x:c r="F248" s="27" t="n">
        <x:v>4</x:v>
      </x:c>
      <x:c r="G248" s="36" t="n">
        <x:f>E248*8*60*H248*I248</x:f>
        <x:v>1940.1599999999999</x:v>
      </x:c>
      <x:c r="H248" s="32" t="n">
        <x:v>0.86</x:v>
      </x:c>
      <x:c r="I248" s="32" t="n">
        <x:v>0.94</x:v>
      </x:c>
      <x:c r="J248" s="27" t="str">
        <x:f>IF(G248&lt;650,"WATCH","OK")</x:f>
        <x:v>OK</x:v>
      </x:c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</x:row>
    <x:row r="249">
      <x:c r="A249" s="27" t="str">
        <x:v>L7</x:v>
      </x:c>
      <x:c r="B249" s="27" t="str">
        <x:v>ganci e rifiniture</x:v>
      </x:c>
      <x:c r="C249" s="27" t="str">
        <x:v>sewing</x:v>
      </x:c>
      <x:c r="D249" s="27" t="n">
        <x:v>9</x:v>
      </x:c>
      <x:c r="E249" s="27" t="n">
        <x:v>6</x:v>
      </x:c>
      <x:c r="F249" s="27" t="n">
        <x:v>5</x:v>
      </x:c>
      <x:c r="G249" s="36" t="n">
        <x:f>E249*8*60*H249*I249</x:f>
        <x:v>2328.192</x:v>
      </x:c>
      <x:c r="H249" s="32" t="n">
        <x:v>0.86</x:v>
      </x:c>
      <x:c r="I249" s="32" t="n">
        <x:v>0.94</x:v>
      </x:c>
      <x:c r="J249" s="27" t="str">
        <x:f>IF(G249&lt;650,"WATCH","OK")</x:f>
        <x:v>OK</x:v>
      </x:c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</x:row>
    <x:row r="250">
      <x:c r="A250" s="27" t="str">
        <x:v>L7</x:v>
      </x:c>
      <x:c r="B250" s="27" t="str">
        <x:v>imbastitura</x:v>
      </x:c>
      <x:c r="C250" s="27" t="str">
        <x:v>sewing</x:v>
      </x:c>
      <x:c r="D250" s="27" t="n">
        <x:v>10</x:v>
      </x:c>
      <x:c r="E250" s="27" t="n">
        <x:v>7</x:v>
      </x:c>
      <x:c r="F250" s="27" t="n">
        <x:v>6</x:v>
      </x:c>
      <x:c r="G250" s="36" t="n">
        <x:f>E250*8*60*H250*I250</x:f>
        <x:v>2716.2239999999997</x:v>
      </x:c>
      <x:c r="H250" s="32" t="n">
        <x:v>0.86</x:v>
      </x:c>
      <x:c r="I250" s="32" t="n">
        <x:v>0.94</x:v>
      </x:c>
      <x:c r="J250" s="27" t="str">
        <x:f>IF(G250&lt;650,"WATCH","OK")</x:f>
        <x:v>OK</x:v>
      </x:c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</x:row>
    <x:row r="251">
      <x:c r="A251" s="27" t="str">
        <x:v>L7</x:v>
      </x:c>
      <x:c r="B251" s="27" t="str">
        <x:v>lavaggio/trattamenti</x:v>
      </x:c>
      <x:c r="C251" s="27" t="str">
        <x:v>washing</x:v>
      </x:c>
      <x:c r="D251" s="27" t="n">
        <x:v>5</x:v>
      </x:c>
      <x:c r="E251" s="27" t="n">
        <x:v>3</x:v>
      </x:c>
      <x:c r="F251" s="27" t="n">
        <x:v>1</x:v>
      </x:c>
      <x:c r="G251" s="36" t="n">
        <x:f>E251*8*60*H251*I251</x:f>
        <x:v>1164.096</x:v>
      </x:c>
      <x:c r="H251" s="32" t="n">
        <x:v>0.86</x:v>
      </x:c>
      <x:c r="I251" s="32" t="n">
        <x:v>0.94</x:v>
      </x:c>
      <x:c r="J251" s="27" t="str">
        <x:f>IF(G251&lt;650,"WATCH","OK")</x:f>
        <x:v>OK</x:v>
      </x:c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</x:row>
    <x:row r="252">
      <x:c r="A252" s="27" t="str">
        <x:v>L7</x:v>
      </x:c>
      <x:c r="B252" s="27" t="str">
        <x:v>maniche</x:v>
      </x:c>
      <x:c r="C252" s="27" t="str">
        <x:v>sewing</x:v>
      </x:c>
      <x:c r="D252" s="27" t="n">
        <x:v>12</x:v>
      </x:c>
      <x:c r="E252" s="27" t="n">
        <x:v>9</x:v>
      </x:c>
      <x:c r="F252" s="27" t="n">
        <x:v>8</x:v>
      </x:c>
      <x:c r="G252" s="36" t="n">
        <x:f>E252*8*60*H252*I252</x:f>
        <x:v>3492.2879999999996</x:v>
      </x:c>
      <x:c r="H252" s="32" t="n">
        <x:v>0.86</x:v>
      </x:c>
      <x:c r="I252" s="32" t="n">
        <x:v>0.94</x:v>
      </x:c>
      <x:c r="J252" s="27" t="str">
        <x:f>IF(G252&lt;650,"WATCH","OK")</x:f>
        <x:v>OK</x:v>
      </x:c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</x:row>
    <x:row r="253">
      <x:c r="A253" s="27" t="str">
        <x:v>L7</x:v>
      </x:c>
      <x:c r="B253" s="27" t="str">
        <x:v>orlo</x:v>
      </x:c>
      <x:c r="C253" s="27" t="str">
        <x:v>sewing</x:v>
      </x:c>
      <x:c r="D253" s="27" t="n">
        <x:v>13</x:v>
      </x:c>
      <x:c r="E253" s="27" t="n">
        <x:v>10</x:v>
      </x:c>
      <x:c r="F253" s="27" t="n">
        <x:v>9</x:v>
      </x:c>
      <x:c r="G253" s="36" t="n">
        <x:f>E253*8*60*H253*I253</x:f>
        <x:v>3880.3199999999997</x:v>
      </x:c>
      <x:c r="H253" s="32" t="n">
        <x:v>0.86</x:v>
      </x:c>
      <x:c r="I253" s="32" t="n">
        <x:v>0.94</x:v>
      </x:c>
      <x:c r="J253" s="27" t="str">
        <x:f>IF(G253&lt;650,"WATCH","OK")</x:f>
        <x:v>OK</x:v>
      </x:c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</x:row>
    <x:row r="254">
      <x:c r="A254" s="27" t="str">
        <x:v>L7</x:v>
      </x:c>
      <x:c r="B254" s="27" t="str">
        <x:v>orlo e rifiniture</x:v>
      </x:c>
      <x:c r="C254" s="27" t="str">
        <x:v>sewing</x:v>
      </x:c>
      <x:c r="D254" s="27" t="n">
        <x:v>7</x:v>
      </x:c>
      <x:c r="E254" s="27" t="n">
        <x:v>5</x:v>
      </x:c>
      <x:c r="F254" s="27" t="n">
        <x:v>4</x:v>
      </x:c>
      <x:c r="G254" s="36" t="n">
        <x:f>E254*8*60*H254*I254</x:f>
        <x:v>1940.1599999999999</x:v>
      </x:c>
      <x:c r="H254" s="32" t="n">
        <x:v>0.86</x:v>
      </x:c>
      <x:c r="I254" s="32" t="n">
        <x:v>0.94</x:v>
      </x:c>
      <x:c r="J254" s="27" t="str">
        <x:f>IF(G254&lt;650,"WATCH","OK")</x:f>
        <x:v>OK</x:v>
      </x:c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</x:row>
    <x:row r="255">
      <x:c r="A255" s="27" t="str">
        <x:v>L7</x:v>
      </x:c>
      <x:c r="B255" s="27" t="str">
        <x:v>packing</x:v>
      </x:c>
      <x:c r="C255" s="27" t="str">
        <x:v>finishing</x:v>
      </x:c>
      <x:c r="D255" s="27" t="n">
        <x:v>9</x:v>
      </x:c>
      <x:c r="E255" s="27" t="n">
        <x:v>5</x:v>
      </x:c>
      <x:c r="F255" s="27" t="n">
        <x:v>3</x:v>
      </x:c>
      <x:c r="G255" s="36" t="n">
        <x:f>E255*8*60*H255*I255</x:f>
        <x:v>1940.1599999999999</x:v>
      </x:c>
      <x:c r="H255" s="32" t="n">
        <x:v>0.86</x:v>
      </x:c>
      <x:c r="I255" s="32" t="n">
        <x:v>0.94</x:v>
      </x:c>
      <x:c r="J255" s="27" t="str">
        <x:f>IF(G255&lt;650,"WATCH","OK")</x:f>
        <x:v>OK</x:v>
      </x:c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</x:row>
    <x:row r="256">
      <x:c r="A256" s="27" t="str">
        <x:v>L7</x:v>
      </x:c>
      <x:c r="B256" s="27" t="str">
        <x:v>polsi e fondo</x:v>
      </x:c>
      <x:c r="C256" s="27" t="str">
        <x:v>sewing</x:v>
      </x:c>
      <x:c r="D256" s="27" t="n">
        <x:v>9</x:v>
      </x:c>
      <x:c r="E256" s="27" t="n">
        <x:v>7</x:v>
      </x:c>
      <x:c r="F256" s="27" t="n">
        <x:v>6</x:v>
      </x:c>
      <x:c r="G256" s="36" t="n">
        <x:f>E256*8*60*H256*I256</x:f>
        <x:v>2716.2239999999997</x:v>
      </x:c>
      <x:c r="H256" s="32" t="n">
        <x:v>0.86</x:v>
      </x:c>
      <x:c r="I256" s="32" t="n">
        <x:v>0.94</x:v>
      </x:c>
      <x:c r="J256" s="27" t="str">
        <x:f>IF(G256&lt;650,"WATCH","OK")</x:f>
        <x:v>OK</x:v>
      </x:c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</x:row>
    <x:row r="257">
      <x:c r="A257" s="27" t="str">
        <x:v>L7</x:v>
      </x:c>
      <x:c r="B257" s="27" t="str">
        <x:v>spalle e fianchi</x:v>
      </x:c>
      <x:c r="C257" s="27" t="str">
        <x:v>sewing</x:v>
      </x:c>
      <x:c r="D257" s="27" t="n">
        <x:v>10</x:v>
      </x:c>
      <x:c r="E257" s="27" t="n">
        <x:v>8</x:v>
      </x:c>
      <x:c r="F257" s="27" t="n">
        <x:v>7</x:v>
      </x:c>
      <x:c r="G257" s="36" t="n">
        <x:f>E257*8*60*H257*I257</x:f>
        <x:v>3104.256</x:v>
      </x:c>
      <x:c r="H257" s="32" t="n">
        <x:v>0.86</x:v>
      </x:c>
      <x:c r="I257" s="32" t="n">
        <x:v>0.94</x:v>
      </x:c>
      <x:c r="J257" s="27" t="str">
        <x:f>IF(G257&lt;650,"WATCH","OK")</x:f>
        <x:v>OK</x:v>
      </x:c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</x:row>
    <x:row r="258">
      <x:c r="A258" s="27" t="str">
        <x:v>L7</x:v>
      </x:c>
      <x:c r="B258" s="27" t="str">
        <x:v>stiro finale</x:v>
      </x:c>
      <x:c r="C258" s="27" t="str">
        <x:v>finishing</x:v>
      </x:c>
      <x:c r="D258" s="27" t="n">
        <x:v>7</x:v>
      </x:c>
      <x:c r="E258" s="27" t="n">
        <x:v>4</x:v>
      </x:c>
      <x:c r="F258" s="27" t="n">
        <x:v>2</x:v>
      </x:c>
      <x:c r="G258" s="36" t="n">
        <x:f>E258*8*60*H258*I258</x:f>
        <x:v>1552.128</x:v>
      </x:c>
      <x:c r="H258" s="32" t="n">
        <x:v>0.86</x:v>
      </x:c>
      <x:c r="I258" s="32" t="n">
        <x:v>0.94</x:v>
      </x:c>
      <x:c r="J258" s="27" t="str">
        <x:f>IF(G258&lt;650,"WATCH","OK")</x:f>
        <x:v>OK</x:v>
      </x:c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</x:row>
    <x:row r="259">
      <x:c r="A259" s="27" t="str">
        <x:v>L7</x:v>
      </x:c>
      <x:c r="B259" s="27" t="str">
        <x:v>stiro intermedio</x:v>
      </x:c>
      <x:c r="C259" s="27" t="str">
        <x:v>finishing</x:v>
      </x:c>
      <x:c r="D259" s="27" t="n">
        <x:v>8</x:v>
      </x:c>
      <x:c r="E259" s="27" t="n">
        <x:v>5</x:v>
      </x:c>
      <x:c r="F259" s="27" t="n">
        <x:v>3</x:v>
      </x:c>
      <x:c r="G259" s="36" t="n">
        <x:f>E259*8*60*H259*I259</x:f>
        <x:v>1940.1599999999999</x:v>
      </x:c>
      <x:c r="H259" s="32" t="n">
        <x:v>0.86</x:v>
      </x:c>
      <x:c r="I259" s="32" t="n">
        <x:v>0.94</x:v>
      </x:c>
      <x:c r="J259" s="27" t="str">
        <x:f>IF(G259&lt;650,"WATCH","OK")</x:f>
        <x:v>OK</x:v>
      </x:c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</x:row>
    <x:row r="260">
      <x:c r="A260" s="27" t="str">
        <x:v>L7</x:v>
      </x:c>
      <x:c r="B260" s="27" t="str">
        <x:v>stiro/packing</x:v>
      </x:c>
      <x:c r="C260" s="27" t="str">
        <x:v>finishing</x:v>
      </x:c>
      <x:c r="D260" s="27" t="n">
        <x:v>9</x:v>
      </x:c>
      <x:c r="E260" s="27" t="n">
        <x:v>6</x:v>
      </x:c>
      <x:c r="F260" s="27" t="n">
        <x:v>4</x:v>
      </x:c>
      <x:c r="G260" s="36" t="n">
        <x:f>E260*8*60*H260*I260</x:f>
        <x:v>2328.192</x:v>
      </x:c>
      <x:c r="H260" s="32" t="n">
        <x:v>0.86</x:v>
      </x:c>
      <x:c r="I260" s="32" t="n">
        <x:v>0.94</x:v>
      </x:c>
      <x:c r="J260" s="27" t="str">
        <x:f>IF(G260&lt;650,"WATCH","OK")</x:f>
        <x:v>OK</x:v>
      </x:c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</x:row>
    <x:row r="261">
      <x:c r="A261" s="27" t="str">
        <x:v>L7</x:v>
      </x:c>
      <x:c r="B261" s="27" t="str">
        <x:v>taglio tessuto</x:v>
      </x:c>
      <x:c r="C261" s="27" t="str">
        <x:v>cutting</x:v>
      </x:c>
      <x:c r="D261" s="27" t="n">
        <x:v>8</x:v>
      </x:c>
      <x:c r="E261" s="27" t="n">
        <x:v>5</x:v>
      </x:c>
      <x:c r="F261" s="27" t="n">
        <x:v>3</x:v>
      </x:c>
      <x:c r="G261" s="36" t="n">
        <x:f>E261*8*60*H261*I261</x:f>
        <x:v>1940.1599999999999</x:v>
      </x:c>
      <x:c r="H261" s="32" t="n">
        <x:v>0.86</x:v>
      </x:c>
      <x:c r="I261" s="32" t="n">
        <x:v>0.94</x:v>
      </x:c>
      <x:c r="J261" s="27" t="str">
        <x:f>IF(G261&lt;650,"WATCH","OK")</x:f>
        <x:v>OK</x:v>
      </x:c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</x:row>
    <x:row r="262">
      <x:c r="A262" s="27" t="str">
        <x:v>L7</x:v>
      </x:c>
      <x:c r="B262" s="27" t="str">
        <x:v>tasche</x:v>
      </x:c>
      <x:c r="C262" s="27" t="str">
        <x:v>sewing</x:v>
      </x:c>
      <x:c r="D262" s="27" t="n">
        <x:v>8</x:v>
      </x:c>
      <x:c r="E262" s="27" t="n">
        <x:v>7</x:v>
      </x:c>
      <x:c r="F262" s="27" t="n">
        <x:v>6</x:v>
      </x:c>
      <x:c r="G262" s="36" t="n">
        <x:f>E262*8*60*H262*I262</x:f>
        <x:v>2716.2239999999997</x:v>
      </x:c>
      <x:c r="H262" s="32" t="n">
        <x:v>0.86</x:v>
      </x:c>
      <x:c r="I262" s="32" t="n">
        <x:v>0.94</x:v>
      </x:c>
      <x:c r="J262" s="27" t="str">
        <x:f>IF(G262&lt;650,"WATCH","OK")</x:f>
        <x:v>OK</x:v>
      </x:c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</x:row>
    <x:row r="263">
      <x:c r="A263" s="27" t="str">
        <x:v>L8</x:v>
      </x:c>
      <x:c r="B263" s="27" t="str">
        <x:v>adesivazione</x:v>
      </x:c>
      <x:c r="C263" s="27" t="str">
        <x:v>cutting</x:v>
      </x:c>
      <x:c r="D263" s="27" t="n">
        <x:v>6</x:v>
      </x:c>
      <x:c r="E263" s="27" t="n">
        <x:v>4</x:v>
      </x:c>
      <x:c r="F263" s="27" t="n">
        <x:v>2</x:v>
      </x:c>
      <x:c r="G263" s="36" t="n">
        <x:f>E263*8*60*H263*I263</x:f>
        <x:v>1517.76</x:v>
      </x:c>
      <x:c r="H263" s="32" t="n">
        <x:v>0.85</x:v>
      </x:c>
      <x:c r="I263" s="32" t="n">
        <x:v>0.93</x:v>
      </x:c>
      <x:c r="J263" s="27" t="str">
        <x:f>IF(G263&lt;650,"WATCH","OK")</x:f>
        <x:v>OK</x:v>
      </x:c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</x:row>
    <x:row r="264">
      <x:c r="A264" s="27" t="str">
        <x:v>L8</x:v>
      </x:c>
      <x:c r="B264" s="27" t="str">
        <x:v>applicazione elastici</x:v>
      </x:c>
      <x:c r="C264" s="27" t="str">
        <x:v>sewing</x:v>
      </x:c>
      <x:c r="D264" s="27" t="n">
        <x:v>10</x:v>
      </x:c>
      <x:c r="E264" s="27" t="n">
        <x:v>9</x:v>
      </x:c>
      <x:c r="F264" s="27" t="n">
        <x:v>8</x:v>
      </x:c>
      <x:c r="G264" s="36" t="n">
        <x:f>E264*8*60*H264*I264</x:f>
        <x:v>3414.96</x:v>
      </x:c>
      <x:c r="H264" s="32" t="n">
        <x:v>0.85</x:v>
      </x:c>
      <x:c r="I264" s="32" t="n">
        <x:v>0.93</x:v>
      </x:c>
      <x:c r="J264" s="27" t="str">
        <x:f>IF(G264&lt;650,"WATCH","OK")</x:f>
        <x:v>OK</x:v>
      </x:c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</x:row>
    <x:row r="265">
      <x:c r="A265" s="27" t="str">
        <x:v>L8</x:v>
      </x:c>
      <x:c r="B265" s="27" t="str">
        <x:v>applicazione fodera</x:v>
      </x:c>
      <x:c r="C265" s="27" t="str">
        <x:v>sewing</x:v>
      </x:c>
      <x:c r="D265" s="27" t="n">
        <x:v>11</x:v>
      </x:c>
      <x:c r="E265" s="27" t="n">
        <x:v>10</x:v>
      </x:c>
      <x:c r="F265" s="27" t="n">
        <x:v>9</x:v>
      </x:c>
      <x:c r="G265" s="36" t="n">
        <x:f>E265*8*60*H265*I265</x:f>
        <x:v>3794.4</x:v>
      </x:c>
      <x:c r="H265" s="32" t="n">
        <x:v>0.85</x:v>
      </x:c>
      <x:c r="I265" s="32" t="n">
        <x:v>0.93</x:v>
      </x:c>
      <x:c r="J265" s="27" t="str">
        <x:f>IF(G265&lt;650,"WATCH","OK")</x:f>
        <x:v>OK</x:v>
      </x:c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</x:row>
    <x:row r="266">
      <x:c r="A266" s="27" t="str">
        <x:v>L8</x:v>
      </x:c>
      <x:c r="B266" s="27" t="str">
        <x:v>applicazione zip</x:v>
      </x:c>
      <x:c r="C266" s="27" t="str">
        <x:v>sewing</x:v>
      </x:c>
      <x:c r="D266" s="27" t="n">
        <x:v>12</x:v>
      </x:c>
      <x:c r="E266" s="27" t="n">
        <x:v>5</x:v>
      </x:c>
      <x:c r="F266" s="27" t="n">
        <x:v>4</x:v>
      </x:c>
      <x:c r="G266" s="36" t="n">
        <x:f>E266*8*60*H266*I266</x:f>
        <x:v>1897.2</x:v>
      </x:c>
      <x:c r="H266" s="32" t="n">
        <x:v>0.85</x:v>
      </x:c>
      <x:c r="I266" s="32" t="n">
        <x:v>0.93</x:v>
      </x:c>
      <x:c r="J266" s="27" t="str">
        <x:f>IF(G266&lt;650,"WATCH","OK")</x:f>
        <x:v>OK</x:v>
      </x:c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</x:row>
    <x:row r="267">
      <x:c r="A267" s="27" t="str">
        <x:v>L8</x:v>
      </x:c>
      <x:c r="B267" s="27" t="str">
        <x:v>asolatura/bottoni</x:v>
      </x:c>
      <x:c r="C267" s="27" t="str">
        <x:v>sewing</x:v>
      </x:c>
      <x:c r="D267" s="27" t="n">
        <x:v>13</x:v>
      </x:c>
      <x:c r="E267" s="27" t="n">
        <x:v>6</x:v>
      </x:c>
      <x:c r="F267" s="27" t="n">
        <x:v>5</x:v>
      </x:c>
      <x:c r="G267" s="36" t="n">
        <x:f>E267*8*60*H267*I267</x:f>
        <x:v>2276.6400000000003</x:v>
      </x:c>
      <x:c r="H267" s="32" t="n">
        <x:v>0.85</x:v>
      </x:c>
      <x:c r="I267" s="32" t="n">
        <x:v>0.93</x:v>
      </x:c>
      <x:c r="J267" s="27" t="str">
        <x:f>IF(G267&lt;650,"WATCH","OK")</x:f>
        <x:v>OK</x:v>
      </x:c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</x:row>
    <x:row r="268">
      <x:c r="A268" s="27" t="str">
        <x:v>L8</x:v>
      </x:c>
      <x:c r="B268" s="27" t="str">
        <x:v>assemblaggio</x:v>
      </x:c>
      <x:c r="C268" s="27" t="str">
        <x:v>sewing</x:v>
      </x:c>
      <x:c r="D268" s="27" t="n">
        <x:v>7</x:v>
      </x:c>
      <x:c r="E268" s="27" t="n">
        <x:v>7</x:v>
      </x:c>
      <x:c r="F268" s="27" t="n">
        <x:v>6</x:v>
      </x:c>
      <x:c r="G268" s="36" t="n">
        <x:f>E268*8*60*H268*I268</x:f>
        <x:v>2656.08</x:v>
      </x:c>
      <x:c r="H268" s="32" t="n">
        <x:v>0.85</x:v>
      </x:c>
      <x:c r="I268" s="32" t="n">
        <x:v>0.93</x:v>
      </x:c>
      <x:c r="J268" s="27" t="str">
        <x:f>IF(G268&lt;650,"WATCH","OK")</x:f>
        <x:v>OK</x:v>
      </x:c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</x:row>
    <x:row r="269">
      <x:c r="A269" s="27" t="str">
        <x:v>L8</x:v>
      </x:c>
      <x:c r="B269" s="27" t="str">
        <x:v>assemblaggio busto</x:v>
      </x:c>
      <x:c r="C269" s="27" t="str">
        <x:v>sewing</x:v>
      </x:c>
      <x:c r="D269" s="27" t="n">
        <x:v>8</x:v>
      </x:c>
      <x:c r="E269" s="27" t="n">
        <x:v>8</x:v>
      </x:c>
      <x:c r="F269" s="27" t="n">
        <x:v>7</x:v>
      </x:c>
      <x:c r="G269" s="36" t="n">
        <x:f>E269*8*60*H269*I269</x:f>
        <x:v>3035.52</x:v>
      </x:c>
      <x:c r="H269" s="32" t="n">
        <x:v>0.85</x:v>
      </x:c>
      <x:c r="I269" s="32" t="n">
        <x:v>0.93</x:v>
      </x:c>
      <x:c r="J269" s="27" t="str">
        <x:f>IF(G269&lt;650,"WATCH","OK")</x:f>
        <x:v>OK</x:v>
      </x:c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</x:row>
    <x:row r="270">
      <x:c r="A270" s="27" t="str">
        <x:v>L8</x:v>
      </x:c>
      <x:c r="B270" s="27" t="str">
        <x:v>bottoni automatici</x:v>
      </x:c>
      <x:c r="C270" s="27" t="str">
        <x:v>sewing</x:v>
      </x:c>
      <x:c r="D270" s="27" t="n">
        <x:v>9</x:v>
      </x:c>
      <x:c r="E270" s="27" t="n">
        <x:v>9</x:v>
      </x:c>
      <x:c r="F270" s="27" t="n">
        <x:v>8</x:v>
      </x:c>
      <x:c r="G270" s="36" t="n">
        <x:f>E270*8*60*H270*I270</x:f>
        <x:v>3414.96</x:v>
      </x:c>
      <x:c r="H270" s="32" t="n">
        <x:v>0.85</x:v>
      </x:c>
      <x:c r="I270" s="32" t="n">
        <x:v>0.93</x:v>
      </x:c>
      <x:c r="J270" s="27" t="str">
        <x:f>IF(G270&lt;650,"WATCH","OK")</x:f>
        <x:v>OK</x:v>
      </x:c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</x:row>
    <x:row r="271">
      <x:c r="A271" s="27" t="str">
        <x:v>L8</x:v>
      </x:c>
      <x:c r="B271" s="27" t="str">
        <x:v>cappuccio/collo</x:v>
      </x:c>
      <x:c r="C271" s="27" t="str">
        <x:v>sewing</x:v>
      </x:c>
      <x:c r="D271" s="27" t="n">
        <x:v>10</x:v>
      </x:c>
      <x:c r="E271" s="27" t="n">
        <x:v>10</x:v>
      </x:c>
      <x:c r="F271" s="27" t="n">
        <x:v>9</x:v>
      </x:c>
      <x:c r="G271" s="36" t="n">
        <x:f>E271*8*60*H271*I271</x:f>
        <x:v>3794.4</x:v>
      </x:c>
      <x:c r="H271" s="32" t="n">
        <x:v>0.85</x:v>
      </x:c>
      <x:c r="I271" s="32" t="n">
        <x:v>0.93</x:v>
      </x:c>
      <x:c r="J271" s="27" t="str">
        <x:f>IF(G271&lt;650,"WATCH","OK")</x:f>
        <x:v>OK</x:v>
      </x:c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</x:row>
    <x:row r="272">
      <x:c r="A272" s="27" t="str">
        <x:v>L8</x:v>
      </x:c>
      <x:c r="B272" s="27" t="str">
        <x:v>cintura</x:v>
      </x:c>
      <x:c r="C272" s="27" t="str">
        <x:v>sewing</x:v>
      </x:c>
      <x:c r="D272" s="27" t="n">
        <x:v>11</x:v>
      </x:c>
      <x:c r="E272" s="27" t="n">
        <x:v>5</x:v>
      </x:c>
      <x:c r="F272" s="27" t="n">
        <x:v>4</x:v>
      </x:c>
      <x:c r="G272" s="36" t="n">
        <x:f>E272*8*60*H272*I272</x:f>
        <x:v>1897.2</x:v>
      </x:c>
      <x:c r="H272" s="32" t="n">
        <x:v>0.85</x:v>
      </x:c>
      <x:c r="I272" s="32" t="n">
        <x:v>0.93</x:v>
      </x:c>
      <x:c r="J272" s="27" t="str">
        <x:f>IF(G272&lt;650,"WATCH","OK")</x:f>
        <x:v>OK</x:v>
      </x:c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</x:row>
    <x:row r="273">
      <x:c r="A273" s="27" t="str">
        <x:v>L8</x:v>
      </x:c>
      <x:c r="B273" s="27" t="str">
        <x:v>collo</x:v>
      </x:c>
      <x:c r="C273" s="27" t="str">
        <x:v>sewing</x:v>
      </x:c>
      <x:c r="D273" s="27" t="n">
        <x:v>12</x:v>
      </x:c>
      <x:c r="E273" s="27" t="n">
        <x:v>6</x:v>
      </x:c>
      <x:c r="F273" s="27" t="n">
        <x:v>5</x:v>
      </x:c>
      <x:c r="G273" s="36" t="n">
        <x:f>E273*8*60*H273*I273</x:f>
        <x:v>2276.6400000000003</x:v>
      </x:c>
      <x:c r="H273" s="32" t="n">
        <x:v>0.85</x:v>
      </x:c>
      <x:c r="I273" s="32" t="n">
        <x:v>0.93</x:v>
      </x:c>
      <x:c r="J273" s="27" t="str">
        <x:f>IF(G273&lt;650,"WATCH","OK")</x:f>
        <x:v>OK</x:v>
      </x:c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</x:row>
    <x:row r="274">
      <x:c r="A274" s="27" t="str">
        <x:v>L8</x:v>
      </x:c>
      <x:c r="B274" s="27" t="str">
        <x:v>collo e polsi</x:v>
      </x:c>
      <x:c r="C274" s="27" t="str">
        <x:v>sewing</x:v>
      </x:c>
      <x:c r="D274" s="27" t="n">
        <x:v>13</x:v>
      </x:c>
      <x:c r="E274" s="27" t="n">
        <x:v>7</x:v>
      </x:c>
      <x:c r="F274" s="27" t="n">
        <x:v>6</x:v>
      </x:c>
      <x:c r="G274" s="36" t="n">
        <x:f>E274*8*60*H274*I274</x:f>
        <x:v>2656.08</x:v>
      </x:c>
      <x:c r="H274" s="32" t="n">
        <x:v>0.85</x:v>
      </x:c>
      <x:c r="I274" s="32" t="n">
        <x:v>0.93</x:v>
      </x:c>
      <x:c r="J274" s="27" t="str">
        <x:f>IF(G274&lt;650,"WATCH","OK")</x:f>
        <x:v>OK</x:v>
      </x:c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</x:row>
    <x:row r="275">
      <x:c r="A275" s="27" t="str">
        <x:v>L8</x:v>
      </x:c>
      <x:c r="B275" s="27" t="str">
        <x:v>confezione capo</x:v>
      </x:c>
      <x:c r="C275" s="27" t="str">
        <x:v>sewing</x:v>
      </x:c>
      <x:c r="D275" s="27" t="n">
        <x:v>7</x:v>
      </x:c>
      <x:c r="E275" s="27" t="n">
        <x:v>7</x:v>
      </x:c>
      <x:c r="F275" s="27" t="n">
        <x:v>6</x:v>
      </x:c>
      <x:c r="G275" s="36" t="n">
        <x:f>E275*8*60*H275*I275</x:f>
        <x:v>2656.08</x:v>
      </x:c>
      <x:c r="H275" s="32" t="n">
        <x:v>0.85</x:v>
      </x:c>
      <x:c r="I275" s="32" t="n">
        <x:v>0.93</x:v>
      </x:c>
      <x:c r="J275" s="27" t="str">
        <x:f>IF(G275&lt;650,"WATCH","OK")</x:f>
        <x:v>OK</x:v>
      </x:c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</x:row>
    <x:row r="276">
      <x:c r="A276" s="27" t="str">
        <x:v>L8</x:v>
      </x:c>
      <x:c r="B276" s="27" t="str">
        <x:v>confezione corpino</x:v>
      </x:c>
      <x:c r="C276" s="27" t="str">
        <x:v>sewing</x:v>
      </x:c>
      <x:c r="D276" s="27" t="n">
        <x:v>8</x:v>
      </x:c>
      <x:c r="E276" s="27" t="n">
        <x:v>8</x:v>
      </x:c>
      <x:c r="F276" s="27" t="n">
        <x:v>7</x:v>
      </x:c>
      <x:c r="G276" s="36" t="n">
        <x:f>E276*8*60*H276*I276</x:f>
        <x:v>3035.52</x:v>
      </x:c>
      <x:c r="H276" s="32" t="n">
        <x:v>0.85</x:v>
      </x:c>
      <x:c r="I276" s="32" t="n">
        <x:v>0.93</x:v>
      </x:c>
      <x:c r="J276" s="27" t="str">
        <x:f>IF(G276&lt;650,"WATCH","OK")</x:f>
        <x:v>OK</x:v>
      </x:c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</x:row>
    <x:row r="277">
      <x:c r="A277" s="27" t="str">
        <x:v>L8</x:v>
      </x:c>
      <x:c r="B277" s="27" t="str">
        <x:v>confezione gonna</x:v>
      </x:c>
      <x:c r="C277" s="27" t="str">
        <x:v>sewing</x:v>
      </x:c>
      <x:c r="D277" s="27" t="n">
        <x:v>9</x:v>
      </x:c>
      <x:c r="E277" s="27" t="n">
        <x:v>9</x:v>
      </x:c>
      <x:c r="F277" s="27" t="n">
        <x:v>8</x:v>
      </x:c>
      <x:c r="G277" s="36" t="n">
        <x:f>E277*8*60*H277*I277</x:f>
        <x:v>3414.96</x:v>
      </x:c>
      <x:c r="H277" s="32" t="n">
        <x:v>0.85</x:v>
      </x:c>
      <x:c r="I277" s="32" t="n">
        <x:v>0.93</x:v>
      </x:c>
      <x:c r="J277" s="27" t="str">
        <x:f>IF(G277&lt;650,"WATCH","OK")</x:f>
        <x:v>OK</x:v>
      </x:c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</x:row>
    <x:row r="278">
      <x:c r="A278" s="27" t="str">
        <x:v>L8</x:v>
      </x:c>
      <x:c r="B278" s="27" t="str">
        <x:v>controllo qualità</x:v>
      </x:c>
      <x:c r="C278" s="27" t="str">
        <x:v>quality_control</x:v>
      </x:c>
      <x:c r="D278" s="27" t="n">
        <x:v>4</x:v>
      </x:c>
      <x:c r="E278" s="27" t="n">
        <x:v>3</x:v>
      </x:c>
      <x:c r="F278" s="27" t="n">
        <x:v>0</x:v>
      </x:c>
      <x:c r="G278" s="36" t="n">
        <x:f>E278*8*60*H278*I278</x:f>
        <x:v>1138.3200000000002</x:v>
      </x:c>
      <x:c r="H278" s="32" t="n">
        <x:v>0.85</x:v>
      </x:c>
      <x:c r="I278" s="32" t="n">
        <x:v>0.93</x:v>
      </x:c>
      <x:c r="J278" s="27" t="str">
        <x:f>IF(G278&lt;650,"WATCH","OK")</x:f>
        <x:v>OK</x:v>
      </x:c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</x:row>
    <x:row r="279">
      <x:c r="A279" s="27" t="str">
        <x:v>L8</x:v>
      </x:c>
      <x:c r="B279" s="27" t="str">
        <x:v>coppe</x:v>
      </x:c>
      <x:c r="C279" s="27" t="str">
        <x:v>sewing</x:v>
      </x:c>
      <x:c r="D279" s="27" t="n">
        <x:v>11</x:v>
      </x:c>
      <x:c r="E279" s="27" t="n">
        <x:v>6</x:v>
      </x:c>
      <x:c r="F279" s="27" t="n">
        <x:v>5</x:v>
      </x:c>
      <x:c r="G279" s="36" t="n">
        <x:f>E279*8*60*H279*I279</x:f>
        <x:v>2276.6400000000003</x:v>
      </x:c>
      <x:c r="H279" s="32" t="n">
        <x:v>0.85</x:v>
      </x:c>
      <x:c r="I279" s="32" t="n">
        <x:v>0.93</x:v>
      </x:c>
      <x:c r="J279" s="27" t="str">
        <x:f>IF(G279&lt;650,"WATCH","OK")</x:f>
        <x:v>OK</x:v>
      </x:c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</x:row>
    <x:row r="280">
      <x:c r="A280" s="27" t="str">
        <x:v>L8</x:v>
      </x:c>
      <x:c r="B280" s="27" t="str">
        <x:v>costruzione davanti</x:v>
      </x:c>
      <x:c r="C280" s="27" t="str">
        <x:v>sewing</x:v>
      </x:c>
      <x:c r="D280" s="27" t="n">
        <x:v>12</x:v>
      </x:c>
      <x:c r="E280" s="27" t="n">
        <x:v>7</x:v>
      </x:c>
      <x:c r="F280" s="27" t="n">
        <x:v>6</x:v>
      </x:c>
      <x:c r="G280" s="36" t="n">
        <x:f>E280*8*60*H280*I280</x:f>
        <x:v>2656.08</x:v>
      </x:c>
      <x:c r="H280" s="32" t="n">
        <x:v>0.85</x:v>
      </x:c>
      <x:c r="I280" s="32" t="n">
        <x:v>0.93</x:v>
      </x:c>
      <x:c r="J280" s="27" t="str">
        <x:f>IF(G280&lt;650,"WATCH","OK")</x:f>
        <x:v>OK</x:v>
      </x:c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</x:row>
    <x:row r="281">
      <x:c r="A281" s="27" t="str">
        <x:v>L8</x:v>
      </x:c>
      <x:c r="B281" s="27" t="str">
        <x:v>cuciture spalle</x:v>
      </x:c>
      <x:c r="C281" s="27" t="str">
        <x:v>sewing</x:v>
      </x:c>
      <x:c r="D281" s="27" t="n">
        <x:v>13</x:v>
      </x:c>
      <x:c r="E281" s="27" t="n">
        <x:v>8</x:v>
      </x:c>
      <x:c r="F281" s="27" t="n">
        <x:v>7</x:v>
      </x:c>
      <x:c r="G281" s="36" t="n">
        <x:f>E281*8*60*H281*I281</x:f>
        <x:v>3035.52</x:v>
      </x:c>
      <x:c r="H281" s="32" t="n">
        <x:v>0.85</x:v>
      </x:c>
      <x:c r="I281" s="32" t="n">
        <x:v>0.93</x:v>
      </x:c>
      <x:c r="J281" s="27" t="str">
        <x:f>IF(G281&lt;650,"WATCH","OK")</x:f>
        <x:v>OK</x:v>
      </x:c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</x:row>
    <x:row r="282">
      <x:c r="A282" s="27" t="str">
        <x:v>L8</x:v>
      </x:c>
      <x:c r="B282" s="27" t="str">
        <x:v>cuciture tasche</x:v>
      </x:c>
      <x:c r="C282" s="27" t="str">
        <x:v>sewing</x:v>
      </x:c>
      <x:c r="D282" s="27" t="n">
        <x:v>7</x:v>
      </x:c>
      <x:c r="E282" s="27" t="n">
        <x:v>7</x:v>
      </x:c>
      <x:c r="F282" s="27" t="n">
        <x:v>6</x:v>
      </x:c>
      <x:c r="G282" s="36" t="n">
        <x:f>E282*8*60*H282*I282</x:f>
        <x:v>2656.08</x:v>
      </x:c>
      <x:c r="H282" s="32" t="n">
        <x:v>0.85</x:v>
      </x:c>
      <x:c r="I282" s="32" t="n">
        <x:v>0.93</x:v>
      </x:c>
      <x:c r="J282" s="27" t="str">
        <x:f>IF(G282&lt;650,"WATCH","OK")</x:f>
        <x:v>OK</x:v>
      </x:c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</x:row>
    <x:row r="283">
      <x:c r="A283" s="27" t="str">
        <x:v>L8</x:v>
      </x:c>
      <x:c r="B283" s="27" t="str">
        <x:v>elastici</x:v>
      </x:c>
      <x:c r="C283" s="27" t="str">
        <x:v>sewing</x:v>
      </x:c>
      <x:c r="D283" s="27" t="n">
        <x:v>8</x:v>
      </x:c>
      <x:c r="E283" s="27" t="n">
        <x:v>8</x:v>
      </x:c>
      <x:c r="F283" s="27" t="n">
        <x:v>7</x:v>
      </x:c>
      <x:c r="G283" s="36" t="n">
        <x:f>E283*8*60*H283*I283</x:f>
        <x:v>3035.52</x:v>
      </x:c>
      <x:c r="H283" s="32" t="n">
        <x:v>0.85</x:v>
      </x:c>
      <x:c r="I283" s="32" t="n">
        <x:v>0.93</x:v>
      </x:c>
      <x:c r="J283" s="27" t="str">
        <x:f>IF(G283&lt;650,"WATCH","OK")</x:f>
        <x:v>OK</x:v>
      </x:c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</x:row>
    <x:row r="284">
      <x:c r="A284" s="27" t="str">
        <x:v>L8</x:v>
      </x:c>
      <x:c r="B284" s="27" t="str">
        <x:v>elastici e spalline</x:v>
      </x:c>
      <x:c r="C284" s="27" t="str">
        <x:v>sewing</x:v>
      </x:c>
      <x:c r="D284" s="27" t="n">
        <x:v>9</x:v>
      </x:c>
      <x:c r="E284" s="27" t="n">
        <x:v>5</x:v>
      </x:c>
      <x:c r="F284" s="27" t="n">
        <x:v>4</x:v>
      </x:c>
      <x:c r="G284" s="36" t="n">
        <x:f>E284*8*60*H284*I284</x:f>
        <x:v>1897.2</x:v>
      </x:c>
      <x:c r="H284" s="32" t="n">
        <x:v>0.85</x:v>
      </x:c>
      <x:c r="I284" s="32" t="n">
        <x:v>0.93</x:v>
      </x:c>
      <x:c r="J284" s="27" t="str">
        <x:f>IF(G284&lt;650,"WATCH","OK")</x:f>
        <x:v>OK</x:v>
      </x:c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</x:row>
    <x:row r="285">
      <x:c r="A285" s="27" t="str">
        <x:v>L8</x:v>
      </x:c>
      <x:c r="B285" s="27" t="str">
        <x:v>elastici/finizioni</x:v>
      </x:c>
      <x:c r="C285" s="27" t="str">
        <x:v>sewing</x:v>
      </x:c>
      <x:c r="D285" s="27" t="n">
        <x:v>10</x:v>
      </x:c>
      <x:c r="E285" s="27" t="n">
        <x:v>6</x:v>
      </x:c>
      <x:c r="F285" s="27" t="n">
        <x:v>5</x:v>
      </x:c>
      <x:c r="G285" s="36" t="n">
        <x:f>E285*8*60*H285*I285</x:f>
        <x:v>2276.6400000000003</x:v>
      </x:c>
      <x:c r="H285" s="32" t="n">
        <x:v>0.85</x:v>
      </x:c>
      <x:c r="I285" s="32" t="n">
        <x:v>0.93</x:v>
      </x:c>
      <x:c r="J285" s="27" t="str">
        <x:f>IF(G285&lt;650,"WATCH","OK")</x:f>
        <x:v>OK</x:v>
      </x:c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</x:row>
    <x:row r="286">
      <x:c r="A286" s="27" t="str">
        <x:v>L8</x:v>
      </x:c>
      <x:c r="B286" s="27" t="str">
        <x:v>elastico vita</x:v>
      </x:c>
      <x:c r="C286" s="27" t="str">
        <x:v>sewing</x:v>
      </x:c>
      <x:c r="D286" s="27" t="n">
        <x:v>11</x:v>
      </x:c>
      <x:c r="E286" s="27" t="n">
        <x:v>7</x:v>
      </x:c>
      <x:c r="F286" s="27" t="n">
        <x:v>6</x:v>
      </x:c>
      <x:c r="G286" s="36" t="n">
        <x:f>E286*8*60*H286*I286</x:f>
        <x:v>2656.08</x:v>
      </x:c>
      <x:c r="H286" s="32" t="n">
        <x:v>0.85</x:v>
      </x:c>
      <x:c r="I286" s="32" t="n">
        <x:v>0.93</x:v>
      </x:c>
      <x:c r="J286" s="27" t="str">
        <x:f>IF(G286&lt;650,"WATCH","OK")</x:f>
        <x:v>OK</x:v>
      </x:c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</x:row>
    <x:row r="287">
      <x:c r="A287" s="27" t="str">
        <x:v>L8</x:v>
      </x:c>
      <x:c r="B287" s="27" t="str">
        <x:v>ganci e rifiniture</x:v>
      </x:c>
      <x:c r="C287" s="27" t="str">
        <x:v>sewing</x:v>
      </x:c>
      <x:c r="D287" s="27" t="n">
        <x:v>12</x:v>
      </x:c>
      <x:c r="E287" s="27" t="n">
        <x:v>8</x:v>
      </x:c>
      <x:c r="F287" s="27" t="n">
        <x:v>7</x:v>
      </x:c>
      <x:c r="G287" s="36" t="n">
        <x:f>E287*8*60*H287*I287</x:f>
        <x:v>3035.52</x:v>
      </x:c>
      <x:c r="H287" s="32" t="n">
        <x:v>0.85</x:v>
      </x:c>
      <x:c r="I287" s="32" t="n">
        <x:v>0.93</x:v>
      </x:c>
      <x:c r="J287" s="27" t="str">
        <x:f>IF(G287&lt;650,"WATCH","OK")</x:f>
        <x:v>OK</x:v>
      </x:c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</x:row>
    <x:row r="288">
      <x:c r="A288" s="27" t="str">
        <x:v>L8</x:v>
      </x:c>
      <x:c r="B288" s="27" t="str">
        <x:v>imbastitura</x:v>
      </x:c>
      <x:c r="C288" s="27" t="str">
        <x:v>sewing</x:v>
      </x:c>
      <x:c r="D288" s="27" t="n">
        <x:v>13</x:v>
      </x:c>
      <x:c r="E288" s="27" t="n">
        <x:v>9</x:v>
      </x:c>
      <x:c r="F288" s="27" t="n">
        <x:v>8</x:v>
      </x:c>
      <x:c r="G288" s="36" t="n">
        <x:f>E288*8*60*H288*I288</x:f>
        <x:v>3414.96</x:v>
      </x:c>
      <x:c r="H288" s="32" t="n">
        <x:v>0.85</x:v>
      </x:c>
      <x:c r="I288" s="32" t="n">
        <x:v>0.93</x:v>
      </x:c>
      <x:c r="J288" s="27" t="str">
        <x:f>IF(G288&lt;650,"WATCH","OK")</x:f>
        <x:v>OK</x:v>
      </x:c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</x:row>
    <x:row r="289">
      <x:c r="A289" s="27" t="str">
        <x:v>L8</x:v>
      </x:c>
      <x:c r="B289" s="27" t="str">
        <x:v>maniche</x:v>
      </x:c>
      <x:c r="C289" s="27" t="str">
        <x:v>sewing</x:v>
      </x:c>
      <x:c r="D289" s="27" t="n">
        <x:v>7</x:v>
      </x:c>
      <x:c r="E289" s="27" t="n">
        <x:v>7</x:v>
      </x:c>
      <x:c r="F289" s="27" t="n">
        <x:v>6</x:v>
      </x:c>
      <x:c r="G289" s="36" t="n">
        <x:f>E289*8*60*H289*I289</x:f>
        <x:v>2656.08</x:v>
      </x:c>
      <x:c r="H289" s="32" t="n">
        <x:v>0.85</x:v>
      </x:c>
      <x:c r="I289" s="32" t="n">
        <x:v>0.93</x:v>
      </x:c>
      <x:c r="J289" s="27" t="str">
        <x:f>IF(G289&lt;650,"WATCH","OK")</x:f>
        <x:v>OK</x:v>
      </x:c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</x:row>
    <x:row r="290">
      <x:c r="A290" s="27" t="str">
        <x:v>L8</x:v>
      </x:c>
      <x:c r="B290" s="27" t="str">
        <x:v>orlo</x:v>
      </x:c>
      <x:c r="C290" s="27" t="str">
        <x:v>sewing</x:v>
      </x:c>
      <x:c r="D290" s="27" t="n">
        <x:v>8</x:v>
      </x:c>
      <x:c r="E290" s="27" t="n">
        <x:v>5</x:v>
      </x:c>
      <x:c r="F290" s="27" t="n">
        <x:v>4</x:v>
      </x:c>
      <x:c r="G290" s="36" t="n">
        <x:f>E290*8*60*H290*I290</x:f>
        <x:v>1897.2</x:v>
      </x:c>
      <x:c r="H290" s="32" t="n">
        <x:v>0.85</x:v>
      </x:c>
      <x:c r="I290" s="32" t="n">
        <x:v>0.93</x:v>
      </x:c>
      <x:c r="J290" s="27" t="str">
        <x:f>IF(G290&lt;650,"WATCH","OK")</x:f>
        <x:v>OK</x:v>
      </x:c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</x:row>
    <x:row r="291">
      <x:c r="A291" s="27" t="str">
        <x:v>L8</x:v>
      </x:c>
      <x:c r="B291" s="27" t="str">
        <x:v>orlo e rifiniture</x:v>
      </x:c>
      <x:c r="C291" s="27" t="str">
        <x:v>sewing</x:v>
      </x:c>
      <x:c r="D291" s="27" t="n">
        <x:v>9</x:v>
      </x:c>
      <x:c r="E291" s="27" t="n">
        <x:v>6</x:v>
      </x:c>
      <x:c r="F291" s="27" t="n">
        <x:v>5</x:v>
      </x:c>
      <x:c r="G291" s="36" t="n">
        <x:f>E291*8*60*H291*I291</x:f>
        <x:v>2276.6400000000003</x:v>
      </x:c>
      <x:c r="H291" s="32" t="n">
        <x:v>0.85</x:v>
      </x:c>
      <x:c r="I291" s="32" t="n">
        <x:v>0.93</x:v>
      </x:c>
      <x:c r="J291" s="27" t="str">
        <x:f>IF(G291&lt;650,"WATCH","OK")</x:f>
        <x:v>OK</x:v>
      </x:c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</x:row>
    <x:row r="292">
      <x:c r="A292" s="27" t="str">
        <x:v>L8</x:v>
      </x:c>
      <x:c r="B292" s="27" t="str">
        <x:v>packing</x:v>
      </x:c>
      <x:c r="C292" s="27" t="str">
        <x:v>finishing</x:v>
      </x:c>
      <x:c r="D292" s="27" t="n">
        <x:v>6</x:v>
      </x:c>
      <x:c r="E292" s="27" t="n">
        <x:v>6</x:v>
      </x:c>
      <x:c r="F292" s="27" t="n">
        <x:v>4</x:v>
      </x:c>
      <x:c r="G292" s="36" t="n">
        <x:f>E292*8*60*H292*I292</x:f>
        <x:v>2276.6400000000003</x:v>
      </x:c>
      <x:c r="H292" s="32" t="n">
        <x:v>0.85</x:v>
      </x:c>
      <x:c r="I292" s="32" t="n">
        <x:v>0.93</x:v>
      </x:c>
      <x:c r="J292" s="27" t="str">
        <x:f>IF(G292&lt;650,"WATCH","OK")</x:f>
        <x:v>OK</x:v>
      </x:c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</x:row>
    <x:row r="293">
      <x:c r="A293" s="27" t="str">
        <x:v>L8</x:v>
      </x:c>
      <x:c r="B293" s="27" t="str">
        <x:v>polsi e fondo</x:v>
      </x:c>
      <x:c r="C293" s="27" t="str">
        <x:v>sewing</x:v>
      </x:c>
      <x:c r="D293" s="27" t="n">
        <x:v>11</x:v>
      </x:c>
      <x:c r="E293" s="27" t="n">
        <x:v>8</x:v>
      </x:c>
      <x:c r="F293" s="27" t="n">
        <x:v>7</x:v>
      </x:c>
      <x:c r="G293" s="36" t="n">
        <x:f>E293*8*60*H293*I293</x:f>
        <x:v>3035.52</x:v>
      </x:c>
      <x:c r="H293" s="32" t="n">
        <x:v>0.85</x:v>
      </x:c>
      <x:c r="I293" s="32" t="n">
        <x:v>0.93</x:v>
      </x:c>
      <x:c r="J293" s="27" t="str">
        <x:f>IF(G293&lt;650,"WATCH","OK")</x:f>
        <x:v>OK</x:v>
      </x:c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</x:row>
    <x:row r="294">
      <x:c r="A294" s="27" t="str">
        <x:v>L8</x:v>
      </x:c>
      <x:c r="B294" s="27" t="str">
        <x:v>spalle e fianchi</x:v>
      </x:c>
      <x:c r="C294" s="27" t="str">
        <x:v>sewing</x:v>
      </x:c>
      <x:c r="D294" s="27" t="n">
        <x:v>12</x:v>
      </x:c>
      <x:c r="E294" s="27" t="n">
        <x:v>9</x:v>
      </x:c>
      <x:c r="F294" s="27" t="n">
        <x:v>8</x:v>
      </x:c>
      <x:c r="G294" s="36" t="n">
        <x:f>E294*8*60*H294*I294</x:f>
        <x:v>3414.96</x:v>
      </x:c>
      <x:c r="H294" s="32" t="n">
        <x:v>0.85</x:v>
      </x:c>
      <x:c r="I294" s="32" t="n">
        <x:v>0.93</x:v>
      </x:c>
      <x:c r="J294" s="27" t="str">
        <x:f>IF(G294&lt;650,"WATCH","OK")</x:f>
        <x:v>OK</x:v>
      </x:c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</x:row>
    <x:row r="295">
      <x:c r="A295" s="27" t="str">
        <x:v>L8</x:v>
      </x:c>
      <x:c r="B295" s="27" t="str">
        <x:v>stiro finale</x:v>
      </x:c>
      <x:c r="C295" s="27" t="str">
        <x:v>finishing</x:v>
      </x:c>
      <x:c r="D295" s="27" t="n">
        <x:v>9</x:v>
      </x:c>
      <x:c r="E295" s="27" t="n">
        <x:v>5</x:v>
      </x:c>
      <x:c r="F295" s="27" t="n">
        <x:v>3</x:v>
      </x:c>
      <x:c r="G295" s="36" t="n">
        <x:f>E295*8*60*H295*I295</x:f>
        <x:v>1897.2</x:v>
      </x:c>
      <x:c r="H295" s="32" t="n">
        <x:v>0.85</x:v>
      </x:c>
      <x:c r="I295" s="32" t="n">
        <x:v>0.93</x:v>
      </x:c>
      <x:c r="J295" s="27" t="str">
        <x:f>IF(G295&lt;650,"WATCH","OK")</x:f>
        <x:v>OK</x:v>
      </x:c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</x:row>
    <x:row r="296">
      <x:c r="A296" s="27" t="str">
        <x:v>L8</x:v>
      </x:c>
      <x:c r="B296" s="27" t="str">
        <x:v>stiro intermedio</x:v>
      </x:c>
      <x:c r="C296" s="27" t="str">
        <x:v>finishing</x:v>
      </x:c>
      <x:c r="D296" s="27" t="n">
        <x:v>10</x:v>
      </x:c>
      <x:c r="E296" s="27" t="n">
        <x:v>6</x:v>
      </x:c>
      <x:c r="F296" s="27" t="n">
        <x:v>4</x:v>
      </x:c>
      <x:c r="G296" s="36" t="n">
        <x:f>E296*8*60*H296*I296</x:f>
        <x:v>2276.6400000000003</x:v>
      </x:c>
      <x:c r="H296" s="32" t="n">
        <x:v>0.85</x:v>
      </x:c>
      <x:c r="I296" s="32" t="n">
        <x:v>0.93</x:v>
      </x:c>
      <x:c r="J296" s="27" t="str">
        <x:f>IF(G296&lt;650,"WATCH","OK")</x:f>
        <x:v>OK</x:v>
      </x:c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</x:row>
    <x:row r="297">
      <x:c r="A297" s="27" t="str">
        <x:v>L8</x:v>
      </x:c>
      <x:c r="B297" s="27" t="str">
        <x:v>stiro/packing</x:v>
      </x:c>
      <x:c r="C297" s="27" t="str">
        <x:v>finishing</x:v>
      </x:c>
      <x:c r="D297" s="27" t="n">
        <x:v>6</x:v>
      </x:c>
      <x:c r="E297" s="27" t="n">
        <x:v>6</x:v>
      </x:c>
      <x:c r="F297" s="27" t="n">
        <x:v>4</x:v>
      </x:c>
      <x:c r="G297" s="36" t="n">
        <x:f>E297*8*60*H297*I297</x:f>
        <x:v>2276.6400000000003</x:v>
      </x:c>
      <x:c r="H297" s="32" t="n">
        <x:v>0.85</x:v>
      </x:c>
      <x:c r="I297" s="32" t="n">
        <x:v>0.93</x:v>
      </x:c>
      <x:c r="J297" s="27" t="str">
        <x:f>IF(G297&lt;650,"WATCH","OK")</x:f>
        <x:v>OK</x:v>
      </x:c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</x:row>
    <x:row r="298">
      <x:c r="A298" s="27" t="str">
        <x:v>L8</x:v>
      </x:c>
      <x:c r="B298" s="27" t="str">
        <x:v>taglio tessuto</x:v>
      </x:c>
      <x:c r="C298" s="27" t="str">
        <x:v>cutting</x:v>
      </x:c>
      <x:c r="D298" s="27" t="n">
        <x:v>5</x:v>
      </x:c>
      <x:c r="E298" s="27" t="n">
        <x:v>5</x:v>
      </x:c>
      <x:c r="F298" s="27" t="n">
        <x:v>3</x:v>
      </x:c>
      <x:c r="G298" s="36" t="n">
        <x:f>E298*8*60*H298*I298</x:f>
        <x:v>1897.2</x:v>
      </x:c>
      <x:c r="H298" s="32" t="n">
        <x:v>0.85</x:v>
      </x:c>
      <x:c r="I298" s="32" t="n">
        <x:v>0.93</x:v>
      </x:c>
      <x:c r="J298" s="27" t="str">
        <x:f>IF(G298&lt;650,"WATCH","OK")</x:f>
        <x:v>OK</x:v>
      </x:c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</x:row>
    <x:row r="299">
      <x:c r="A299" s="27" t="str">
        <x:v>L8</x:v>
      </x:c>
      <x:c r="B299" s="27" t="str">
        <x:v>tasche</x:v>
      </x:c>
      <x:c r="C299" s="27" t="str">
        <x:v>sewing</x:v>
      </x:c>
      <x:c r="D299" s="27" t="n">
        <x:v>10</x:v>
      </x:c>
      <x:c r="E299" s="27" t="n">
        <x:v>8</x:v>
      </x:c>
      <x:c r="F299" s="27" t="n">
        <x:v>7</x:v>
      </x:c>
      <x:c r="G299" s="36" t="n">
        <x:f>E299*8*60*H299*I299</x:f>
        <x:v>3035.52</x:v>
      </x:c>
      <x:c r="H299" s="32" t="n">
        <x:v>0.85</x:v>
      </x:c>
      <x:c r="I299" s="32" t="n">
        <x:v>0.93</x:v>
      </x:c>
      <x:c r="J299" s="27" t="str">
        <x:f>IF(G299&lt;650,"WATCH","OK")</x:f>
        <x:v>OK</x:v>
      </x:c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</x:row>
    <x:row r="300">
      <x:c r="A300" s="27" t="str">
        <x:v>L9</x:v>
      </x:c>
      <x:c r="B300" s="27" t="str">
        <x:v>adesivazione</x:v>
      </x:c>
      <x:c r="C300" s="27" t="str">
        <x:v>cutting</x:v>
      </x:c>
      <x:c r="D300" s="27" t="n">
        <x:v>7</x:v>
      </x:c>
      <x:c r="E300" s="27" t="n">
        <x:v>5</x:v>
      </x:c>
      <x:c r="F300" s="27" t="n">
        <x:v>3</x:v>
      </x:c>
      <x:c r="G300" s="36" t="n">
        <x:f>E300*8*60*H300*I300</x:f>
        <x:v>1897.2</x:v>
      </x:c>
      <x:c r="H300" s="32" t="n">
        <x:v>0.85</x:v>
      </x:c>
      <x:c r="I300" s="32" t="n">
        <x:v>0.93</x:v>
      </x:c>
      <x:c r="J300" s="27" t="str">
        <x:f>IF(G300&lt;650,"WATCH","OK")</x:f>
        <x:v>OK</x:v>
      </x:c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</x:row>
    <x:row r="301">
      <x:c r="A301" s="27" t="str">
        <x:v>L9</x:v>
      </x:c>
      <x:c r="B301" s="27" t="str">
        <x:v>applicazione elastici</x:v>
      </x:c>
      <x:c r="C301" s="27" t="str">
        <x:v>sewing</x:v>
      </x:c>
      <x:c r="D301" s="27" t="n">
        <x:v>12</x:v>
      </x:c>
      <x:c r="E301" s="27" t="n">
        <x:v>10</x:v>
      </x:c>
      <x:c r="F301" s="27" t="n">
        <x:v>9</x:v>
      </x:c>
      <x:c r="G301" s="36" t="n">
        <x:f>E301*8*60*H301*I301</x:f>
        <x:v>3794.4</x:v>
      </x:c>
      <x:c r="H301" s="32" t="n">
        <x:v>0.85</x:v>
      </x:c>
      <x:c r="I301" s="32" t="n">
        <x:v>0.93</x:v>
      </x:c>
      <x:c r="J301" s="27" t="str">
        <x:f>IF(G301&lt;650,"WATCH","OK")</x:f>
        <x:v>OK</x:v>
      </x:c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</x:row>
    <x:row r="302">
      <x:c r="A302" s="27" t="str">
        <x:v>L9</x:v>
      </x:c>
      <x:c r="B302" s="27" t="str">
        <x:v>applicazione fodera</x:v>
      </x:c>
      <x:c r="C302" s="27" t="str">
        <x:v>sewing</x:v>
      </x:c>
      <x:c r="D302" s="27" t="n">
        <x:v>13</x:v>
      </x:c>
      <x:c r="E302" s="27" t="n">
        <x:v>5</x:v>
      </x:c>
      <x:c r="F302" s="27" t="n">
        <x:v>4</x:v>
      </x:c>
      <x:c r="G302" s="36" t="n">
        <x:f>E302*8*60*H302*I302</x:f>
        <x:v>1897.2</x:v>
      </x:c>
      <x:c r="H302" s="32" t="n">
        <x:v>0.85</x:v>
      </x:c>
      <x:c r="I302" s="32" t="n">
        <x:v>0.93</x:v>
      </x:c>
      <x:c r="J302" s="27" t="str">
        <x:f>IF(G302&lt;650,"WATCH","OK")</x:f>
        <x:v>OK</x:v>
      </x:c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</x:row>
    <x:row r="303">
      <x:c r="A303" s="27" t="str">
        <x:v>L9</x:v>
      </x:c>
      <x:c r="B303" s="27" t="str">
        <x:v>applicazione zip</x:v>
      </x:c>
      <x:c r="C303" s="27" t="str">
        <x:v>sewing</x:v>
      </x:c>
      <x:c r="D303" s="27" t="n">
        <x:v>7</x:v>
      </x:c>
      <x:c r="E303" s="27" t="n">
        <x:v>6</x:v>
      </x:c>
      <x:c r="F303" s="27" t="n">
        <x:v>5</x:v>
      </x:c>
      <x:c r="G303" s="36" t="n">
        <x:f>E303*8*60*H303*I303</x:f>
        <x:v>2276.6400000000003</x:v>
      </x:c>
      <x:c r="H303" s="32" t="n">
        <x:v>0.85</x:v>
      </x:c>
      <x:c r="I303" s="32" t="n">
        <x:v>0.93</x:v>
      </x:c>
      <x:c r="J303" s="27" t="str">
        <x:f>IF(G303&lt;650,"WATCH","OK")</x:f>
        <x:v>OK</x:v>
      </x:c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</x:row>
    <x:row r="304">
      <x:c r="A304" s="27" t="str">
        <x:v>L9</x:v>
      </x:c>
      <x:c r="B304" s="27" t="str">
        <x:v>asolatura/bottoni</x:v>
      </x:c>
      <x:c r="C304" s="27" t="str">
        <x:v>sewing</x:v>
      </x:c>
      <x:c r="D304" s="27" t="n">
        <x:v>8</x:v>
      </x:c>
      <x:c r="E304" s="27" t="n">
        <x:v>7</x:v>
      </x:c>
      <x:c r="F304" s="27" t="n">
        <x:v>6</x:v>
      </x:c>
      <x:c r="G304" s="36" t="n">
        <x:f>E304*8*60*H304*I304</x:f>
        <x:v>2656.08</x:v>
      </x:c>
      <x:c r="H304" s="32" t="n">
        <x:v>0.85</x:v>
      </x:c>
      <x:c r="I304" s="32" t="n">
        <x:v>0.93</x:v>
      </x:c>
      <x:c r="J304" s="27" t="str">
        <x:f>IF(G304&lt;650,"WATCH","OK")</x:f>
        <x:v>OK</x:v>
      </x:c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</x:row>
    <x:row r="305">
      <x:c r="A305" s="27" t="str">
        <x:v>L9</x:v>
      </x:c>
      <x:c r="B305" s="27" t="str">
        <x:v>assemblaggio</x:v>
      </x:c>
      <x:c r="C305" s="27" t="str">
        <x:v>sewing</x:v>
      </x:c>
      <x:c r="D305" s="27" t="n">
        <x:v>9</x:v>
      </x:c>
      <x:c r="E305" s="27" t="n">
        <x:v>8</x:v>
      </x:c>
      <x:c r="F305" s="27" t="n">
        <x:v>7</x:v>
      </x:c>
      <x:c r="G305" s="36" t="n">
        <x:f>E305*8*60*H305*I305</x:f>
        <x:v>3035.52</x:v>
      </x:c>
      <x:c r="H305" s="32" t="n">
        <x:v>0.85</x:v>
      </x:c>
      <x:c r="I305" s="32" t="n">
        <x:v>0.93</x:v>
      </x:c>
      <x:c r="J305" s="27" t="str">
        <x:f>IF(G305&lt;650,"WATCH","OK")</x:f>
        <x:v>OK</x:v>
      </x:c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</x:row>
    <x:row r="306">
      <x:c r="A306" s="27" t="str">
        <x:v>L9</x:v>
      </x:c>
      <x:c r="B306" s="27" t="str">
        <x:v>assemblaggio busto</x:v>
      </x:c>
      <x:c r="C306" s="27" t="str">
        <x:v>sewing</x:v>
      </x:c>
      <x:c r="D306" s="27" t="n">
        <x:v>10</x:v>
      </x:c>
      <x:c r="E306" s="27" t="n">
        <x:v>9</x:v>
      </x:c>
      <x:c r="F306" s="27" t="n">
        <x:v>8</x:v>
      </x:c>
      <x:c r="G306" s="36" t="n">
        <x:f>E306*8*60*H306*I306</x:f>
        <x:v>3414.96</x:v>
      </x:c>
      <x:c r="H306" s="32" t="n">
        <x:v>0.85</x:v>
      </x:c>
      <x:c r="I306" s="32" t="n">
        <x:v>0.93</x:v>
      </x:c>
      <x:c r="J306" s="27" t="str">
        <x:f>IF(G306&lt;650,"WATCH","OK")</x:f>
        <x:v>OK</x:v>
      </x:c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</x:row>
    <x:row r="307">
      <x:c r="A307" s="27" t="str">
        <x:v>L9</x:v>
      </x:c>
      <x:c r="B307" s="27" t="str">
        <x:v>bottoni automatici</x:v>
      </x:c>
      <x:c r="C307" s="27" t="str">
        <x:v>sewing</x:v>
      </x:c>
      <x:c r="D307" s="27" t="n">
        <x:v>11</x:v>
      </x:c>
      <x:c r="E307" s="27" t="n">
        <x:v>10</x:v>
      </x:c>
      <x:c r="F307" s="27" t="n">
        <x:v>9</x:v>
      </x:c>
      <x:c r="G307" s="36" t="n">
        <x:f>E307*8*60*H307*I307</x:f>
        <x:v>3794.4</x:v>
      </x:c>
      <x:c r="H307" s="32" t="n">
        <x:v>0.85</x:v>
      </x:c>
      <x:c r="I307" s="32" t="n">
        <x:v>0.93</x:v>
      </x:c>
      <x:c r="J307" s="27" t="str">
        <x:f>IF(G307&lt;650,"WATCH","OK")</x:f>
        <x:v>OK</x:v>
      </x:c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</x:row>
    <x:row r="308">
      <x:c r="A308" s="27" t="str">
        <x:v>L9</x:v>
      </x:c>
      <x:c r="B308" s="27" t="str">
        <x:v>cappuccio/collo</x:v>
      </x:c>
      <x:c r="C308" s="27" t="str">
        <x:v>sewing</x:v>
      </x:c>
      <x:c r="D308" s="27" t="n">
        <x:v>12</x:v>
      </x:c>
      <x:c r="E308" s="27" t="n">
        <x:v>5</x:v>
      </x:c>
      <x:c r="F308" s="27" t="n">
        <x:v>4</x:v>
      </x:c>
      <x:c r="G308" s="36" t="n">
        <x:f>E308*8*60*H308*I308</x:f>
        <x:v>1897.2</x:v>
      </x:c>
      <x:c r="H308" s="32" t="n">
        <x:v>0.85</x:v>
      </x:c>
      <x:c r="I308" s="32" t="n">
        <x:v>0.93</x:v>
      </x:c>
      <x:c r="J308" s="27" t="str">
        <x:f>IF(G308&lt;650,"WATCH","OK")</x:f>
        <x:v>OK</x:v>
      </x:c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</x:row>
    <x:row r="309">
      <x:c r="A309" s="27" t="str">
        <x:v>L9</x:v>
      </x:c>
      <x:c r="B309" s="27" t="str">
        <x:v>cintura</x:v>
      </x:c>
      <x:c r="C309" s="27" t="str">
        <x:v>sewing</x:v>
      </x:c>
      <x:c r="D309" s="27" t="n">
        <x:v>13</x:v>
      </x:c>
      <x:c r="E309" s="27" t="n">
        <x:v>6</x:v>
      </x:c>
      <x:c r="F309" s="27" t="n">
        <x:v>5</x:v>
      </x:c>
      <x:c r="G309" s="36" t="n">
        <x:f>E309*8*60*H309*I309</x:f>
        <x:v>2276.6400000000003</x:v>
      </x:c>
      <x:c r="H309" s="32" t="n">
        <x:v>0.85</x:v>
      </x:c>
      <x:c r="I309" s="32" t="n">
        <x:v>0.93</x:v>
      </x:c>
      <x:c r="J309" s="27" t="str">
        <x:f>IF(G309&lt;650,"WATCH","OK")</x:f>
        <x:v>OK</x:v>
      </x:c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</x:row>
    <x:row r="310">
      <x:c r="A310" s="27" t="str">
        <x:v>L9</x:v>
      </x:c>
      <x:c r="B310" s="27" t="str">
        <x:v>collo</x:v>
      </x:c>
      <x:c r="C310" s="27" t="str">
        <x:v>sewing</x:v>
      </x:c>
      <x:c r="D310" s="27" t="n">
        <x:v>7</x:v>
      </x:c>
      <x:c r="E310" s="27" t="n">
        <x:v>7</x:v>
      </x:c>
      <x:c r="F310" s="27" t="n">
        <x:v>6</x:v>
      </x:c>
      <x:c r="G310" s="36" t="n">
        <x:f>E310*8*60*H310*I310</x:f>
        <x:v>2656.08</x:v>
      </x:c>
      <x:c r="H310" s="32" t="n">
        <x:v>0.85</x:v>
      </x:c>
      <x:c r="I310" s="32" t="n">
        <x:v>0.93</x:v>
      </x:c>
      <x:c r="J310" s="27" t="str">
        <x:f>IF(G310&lt;650,"WATCH","OK")</x:f>
        <x:v>OK</x:v>
      </x:c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</x:row>
    <x:row r="311">
      <x:c r="A311" s="27" t="str">
        <x:v>L9</x:v>
      </x:c>
      <x:c r="B311" s="27" t="str">
        <x:v>collo e polsi</x:v>
      </x:c>
      <x:c r="C311" s="27" t="str">
        <x:v>sewing</x:v>
      </x:c>
      <x:c r="D311" s="27" t="n">
        <x:v>8</x:v>
      </x:c>
      <x:c r="E311" s="27" t="n">
        <x:v>8</x:v>
      </x:c>
      <x:c r="F311" s="27" t="n">
        <x:v>7</x:v>
      </x:c>
      <x:c r="G311" s="36" t="n">
        <x:f>E311*8*60*H311*I311</x:f>
        <x:v>3035.52</x:v>
      </x:c>
      <x:c r="H311" s="32" t="n">
        <x:v>0.85</x:v>
      </x:c>
      <x:c r="I311" s="32" t="n">
        <x:v>0.93</x:v>
      </x:c>
      <x:c r="J311" s="27" t="str">
        <x:f>IF(G311&lt;650,"WATCH","OK")</x:f>
        <x:v>OK</x:v>
      </x:c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</x:row>
    <x:row r="312">
      <x:c r="A312" s="27" t="str">
        <x:v>L9</x:v>
      </x:c>
      <x:c r="B312" s="27" t="str">
        <x:v>confezione capo</x:v>
      </x:c>
      <x:c r="C312" s="27" t="str">
        <x:v>sewing</x:v>
      </x:c>
      <x:c r="D312" s="27" t="n">
        <x:v>9</x:v>
      </x:c>
      <x:c r="E312" s="27" t="n">
        <x:v>9</x:v>
      </x:c>
      <x:c r="F312" s="27" t="n">
        <x:v>8</x:v>
      </x:c>
      <x:c r="G312" s="36" t="n">
        <x:f>E312*8*60*H312*I312</x:f>
        <x:v>3414.96</x:v>
      </x:c>
      <x:c r="H312" s="32" t="n">
        <x:v>0.85</x:v>
      </x:c>
      <x:c r="I312" s="32" t="n">
        <x:v>0.93</x:v>
      </x:c>
      <x:c r="J312" s="27" t="str">
        <x:f>IF(G312&lt;650,"WATCH","OK")</x:f>
        <x:v>OK</x:v>
      </x:c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</x:row>
    <x:row r="313">
      <x:c r="A313" s="27" t="str">
        <x:v>L9</x:v>
      </x:c>
      <x:c r="B313" s="27" t="str">
        <x:v>confezione corpino</x:v>
      </x:c>
      <x:c r="C313" s="27" t="str">
        <x:v>sewing</x:v>
      </x:c>
      <x:c r="D313" s="27" t="n">
        <x:v>10</x:v>
      </x:c>
      <x:c r="E313" s="27" t="n">
        <x:v>10</x:v>
      </x:c>
      <x:c r="F313" s="27" t="n">
        <x:v>9</x:v>
      </x:c>
      <x:c r="G313" s="36" t="n">
        <x:f>E313*8*60*H313*I313</x:f>
        <x:v>3794.4</x:v>
      </x:c>
      <x:c r="H313" s="32" t="n">
        <x:v>0.85</x:v>
      </x:c>
      <x:c r="I313" s="32" t="n">
        <x:v>0.93</x:v>
      </x:c>
      <x:c r="J313" s="27" t="str">
        <x:f>IF(G313&lt;650,"WATCH","OK")</x:f>
        <x:v>OK</x:v>
      </x:c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</x:row>
    <x:row r="314">
      <x:c r="A314" s="27" t="str">
        <x:v>L9</x:v>
      </x:c>
      <x:c r="B314" s="27" t="str">
        <x:v>confezione gonna</x:v>
      </x:c>
      <x:c r="C314" s="27" t="str">
        <x:v>sewing</x:v>
      </x:c>
      <x:c r="D314" s="27" t="n">
        <x:v>11</x:v>
      </x:c>
      <x:c r="E314" s="27" t="n">
        <x:v>5</x:v>
      </x:c>
      <x:c r="F314" s="27" t="n">
        <x:v>4</x:v>
      </x:c>
      <x:c r="G314" s="36" t="n">
        <x:f>E314*8*60*H314*I314</x:f>
        <x:v>1897.2</x:v>
      </x:c>
      <x:c r="H314" s="32" t="n">
        <x:v>0.85</x:v>
      </x:c>
      <x:c r="I314" s="32" t="n">
        <x:v>0.93</x:v>
      </x:c>
      <x:c r="J314" s="27" t="str">
        <x:f>IF(G314&lt;650,"WATCH","OK")</x:f>
        <x:v>OK</x:v>
      </x:c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</x:row>
    <x:row r="315">
      <x:c r="A315" s="27" t="str">
        <x:v>L9</x:v>
      </x:c>
      <x:c r="B315" s="27" t="str">
        <x:v>controllo qualità</x:v>
      </x:c>
      <x:c r="C315" s="27" t="str">
        <x:v>quality_control</x:v>
      </x:c>
      <x:c r="D315" s="27" t="n">
        <x:v>5</x:v>
      </x:c>
      <x:c r="E315" s="27" t="n">
        <x:v>4</x:v>
      </x:c>
      <x:c r="F315" s="27" t="n">
        <x:v>0</x:v>
      </x:c>
      <x:c r="G315" s="36" t="n">
        <x:f>E315*8*60*H315*I315</x:f>
        <x:v>1517.76</x:v>
      </x:c>
      <x:c r="H315" s="32" t="n">
        <x:v>0.85</x:v>
      </x:c>
      <x:c r="I315" s="32" t="n">
        <x:v>0.93</x:v>
      </x:c>
      <x:c r="J315" s="27" t="str">
        <x:f>IF(G315&lt;650,"WATCH","OK")</x:f>
        <x:v>OK</x:v>
      </x:c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</x:row>
    <x:row r="316">
      <x:c r="A316" s="27" t="str">
        <x:v>L9</x:v>
      </x:c>
      <x:c r="B316" s="27" t="str">
        <x:v>coppe</x:v>
      </x:c>
      <x:c r="C316" s="27" t="str">
        <x:v>sewing</x:v>
      </x:c>
      <x:c r="D316" s="27" t="n">
        <x:v>13</x:v>
      </x:c>
      <x:c r="E316" s="27" t="n">
        <x:v>7</x:v>
      </x:c>
      <x:c r="F316" s="27" t="n">
        <x:v>6</x:v>
      </x:c>
      <x:c r="G316" s="36" t="n">
        <x:f>E316*8*60*H316*I316</x:f>
        <x:v>2656.08</x:v>
      </x:c>
      <x:c r="H316" s="32" t="n">
        <x:v>0.85</x:v>
      </x:c>
      <x:c r="I316" s="32" t="n">
        <x:v>0.93</x:v>
      </x:c>
      <x:c r="J316" s="27" t="str">
        <x:f>IF(G316&lt;650,"WATCH","OK")</x:f>
        <x:v>OK</x:v>
      </x:c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</x:row>
    <x:row r="317">
      <x:c r="A317" s="27" t="str">
        <x:v>L9</x:v>
      </x:c>
      <x:c r="B317" s="27" t="str">
        <x:v>costruzione davanti</x:v>
      </x:c>
      <x:c r="C317" s="27" t="str">
        <x:v>sewing</x:v>
      </x:c>
      <x:c r="D317" s="27" t="n">
        <x:v>7</x:v>
      </x:c>
      <x:c r="E317" s="27" t="n">
        <x:v>7</x:v>
      </x:c>
      <x:c r="F317" s="27" t="n">
        <x:v>6</x:v>
      </x:c>
      <x:c r="G317" s="36" t="n">
        <x:f>E317*8*60*H317*I317</x:f>
        <x:v>2656.08</x:v>
      </x:c>
      <x:c r="H317" s="32" t="n">
        <x:v>0.85</x:v>
      </x:c>
      <x:c r="I317" s="32" t="n">
        <x:v>0.93</x:v>
      </x:c>
      <x:c r="J317" s="27" t="str">
        <x:f>IF(G317&lt;650,"WATCH","OK")</x:f>
        <x:v>OK</x:v>
      </x:c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</x:row>
    <x:row r="318">
      <x:c r="A318" s="27" t="str">
        <x:v>L9</x:v>
      </x:c>
      <x:c r="B318" s="27" t="str">
        <x:v>cuciture spalle</x:v>
      </x:c>
      <x:c r="C318" s="27" t="str">
        <x:v>sewing</x:v>
      </x:c>
      <x:c r="D318" s="27" t="n">
        <x:v>8</x:v>
      </x:c>
      <x:c r="E318" s="27" t="n">
        <x:v>8</x:v>
      </x:c>
      <x:c r="F318" s="27" t="n">
        <x:v>7</x:v>
      </x:c>
      <x:c r="G318" s="36" t="n">
        <x:f>E318*8*60*H318*I318</x:f>
        <x:v>3035.52</x:v>
      </x:c>
      <x:c r="H318" s="32" t="n">
        <x:v>0.85</x:v>
      </x:c>
      <x:c r="I318" s="32" t="n">
        <x:v>0.93</x:v>
      </x:c>
      <x:c r="J318" s="27" t="str">
        <x:f>IF(G318&lt;650,"WATCH","OK")</x:f>
        <x:v>OK</x:v>
      </x:c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</x:row>
    <x:row r="319">
      <x:c r="A319" s="27" t="str">
        <x:v>L9</x:v>
      </x:c>
      <x:c r="B319" s="27" t="str">
        <x:v>cuciture tasche</x:v>
      </x:c>
      <x:c r="C319" s="27" t="str">
        <x:v>sewing</x:v>
      </x:c>
      <x:c r="D319" s="27" t="n">
        <x:v>9</x:v>
      </x:c>
      <x:c r="E319" s="27" t="n">
        <x:v>9</x:v>
      </x:c>
      <x:c r="F319" s="27" t="n">
        <x:v>8</x:v>
      </x:c>
      <x:c r="G319" s="36" t="n">
        <x:f>E319*8*60*H319*I319</x:f>
        <x:v>3414.96</x:v>
      </x:c>
      <x:c r="H319" s="32" t="n">
        <x:v>0.85</x:v>
      </x:c>
      <x:c r="I319" s="32" t="n">
        <x:v>0.93</x:v>
      </x:c>
      <x:c r="J319" s="27" t="str">
        <x:f>IF(G319&lt;650,"WATCH","OK")</x:f>
        <x:v>OK</x:v>
      </x:c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</x:row>
    <x:row r="320">
      <x:c r="A320" s="27" t="str">
        <x:v>L9</x:v>
      </x:c>
      <x:c r="B320" s="27" t="str">
        <x:v>elastici</x:v>
      </x:c>
      <x:c r="C320" s="27" t="str">
        <x:v>sewing</x:v>
      </x:c>
      <x:c r="D320" s="27" t="n">
        <x:v>10</x:v>
      </x:c>
      <x:c r="E320" s="27" t="n">
        <x:v>5</x:v>
      </x:c>
      <x:c r="F320" s="27" t="n">
        <x:v>4</x:v>
      </x:c>
      <x:c r="G320" s="36" t="n">
        <x:f>E320*8*60*H320*I320</x:f>
        <x:v>1897.2</x:v>
      </x:c>
      <x:c r="H320" s="32" t="n">
        <x:v>0.85</x:v>
      </x:c>
      <x:c r="I320" s="32" t="n">
        <x:v>0.93</x:v>
      </x:c>
      <x:c r="J320" s="27" t="str">
        <x:f>IF(G320&lt;650,"WATCH","OK")</x:f>
        <x:v>OK</x:v>
      </x:c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</x:row>
    <x:row r="321">
      <x:c r="A321" s="27" t="str">
        <x:v>L9</x:v>
      </x:c>
      <x:c r="B321" s="27" t="str">
        <x:v>elastici e spalline</x:v>
      </x:c>
      <x:c r="C321" s="27" t="str">
        <x:v>sewing</x:v>
      </x:c>
      <x:c r="D321" s="27" t="n">
        <x:v>11</x:v>
      </x:c>
      <x:c r="E321" s="27" t="n">
        <x:v>6</x:v>
      </x:c>
      <x:c r="F321" s="27" t="n">
        <x:v>5</x:v>
      </x:c>
      <x:c r="G321" s="36" t="n">
        <x:f>E321*8*60*H321*I321</x:f>
        <x:v>2276.6400000000003</x:v>
      </x:c>
      <x:c r="H321" s="32" t="n">
        <x:v>0.85</x:v>
      </x:c>
      <x:c r="I321" s="32" t="n">
        <x:v>0.93</x:v>
      </x:c>
      <x:c r="J321" s="27" t="str">
        <x:f>IF(G321&lt;650,"WATCH","OK")</x:f>
        <x:v>OK</x:v>
      </x:c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</x:row>
    <x:row r="322">
      <x:c r="A322" s="27" t="str">
        <x:v>L9</x:v>
      </x:c>
      <x:c r="B322" s="27" t="str">
        <x:v>elastici/finizioni</x:v>
      </x:c>
      <x:c r="C322" s="27" t="str">
        <x:v>sewing</x:v>
      </x:c>
      <x:c r="D322" s="27" t="n">
        <x:v>12</x:v>
      </x:c>
      <x:c r="E322" s="27" t="n">
        <x:v>7</x:v>
      </x:c>
      <x:c r="F322" s="27" t="n">
        <x:v>6</x:v>
      </x:c>
      <x:c r="G322" s="36" t="n">
        <x:f>E322*8*60*H322*I322</x:f>
        <x:v>2656.08</x:v>
      </x:c>
      <x:c r="H322" s="32" t="n">
        <x:v>0.85</x:v>
      </x:c>
      <x:c r="I322" s="32" t="n">
        <x:v>0.93</x:v>
      </x:c>
      <x:c r="J322" s="27" t="str">
        <x:f>IF(G322&lt;650,"WATCH","OK")</x:f>
        <x:v>OK</x:v>
      </x:c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</x:row>
    <x:row r="323">
      <x:c r="A323" s="27" t="str">
        <x:v>L9</x:v>
      </x:c>
      <x:c r="B323" s="27" t="str">
        <x:v>elastico vita</x:v>
      </x:c>
      <x:c r="C323" s="27" t="str">
        <x:v>sewing</x:v>
      </x:c>
      <x:c r="D323" s="27" t="n">
        <x:v>13</x:v>
      </x:c>
      <x:c r="E323" s="27" t="n">
        <x:v>8</x:v>
      </x:c>
      <x:c r="F323" s="27" t="n">
        <x:v>7</x:v>
      </x:c>
      <x:c r="G323" s="36" t="n">
        <x:f>E323*8*60*H323*I323</x:f>
        <x:v>3035.52</x:v>
      </x:c>
      <x:c r="H323" s="32" t="n">
        <x:v>0.85</x:v>
      </x:c>
      <x:c r="I323" s="32" t="n">
        <x:v>0.93</x:v>
      </x:c>
      <x:c r="J323" s="27" t="str">
        <x:f>IF(G323&lt;650,"WATCH","OK")</x:f>
        <x:v>OK</x:v>
      </x:c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</x:row>
    <x:row r="324">
      <x:c r="A324" s="27" t="str">
        <x:v>L9</x:v>
      </x:c>
      <x:c r="B324" s="27" t="str">
        <x:v>ganci e rifiniture</x:v>
      </x:c>
      <x:c r="C324" s="27" t="str">
        <x:v>sewing</x:v>
      </x:c>
      <x:c r="D324" s="27" t="n">
        <x:v>7</x:v>
      </x:c>
      <x:c r="E324" s="27" t="n">
        <x:v>7</x:v>
      </x:c>
      <x:c r="F324" s="27" t="n">
        <x:v>6</x:v>
      </x:c>
      <x:c r="G324" s="36" t="n">
        <x:f>E324*8*60*H324*I324</x:f>
        <x:v>2656.08</x:v>
      </x:c>
      <x:c r="H324" s="32" t="n">
        <x:v>0.85</x:v>
      </x:c>
      <x:c r="I324" s="32" t="n">
        <x:v>0.93</x:v>
      </x:c>
      <x:c r="J324" s="27" t="str">
        <x:f>IF(G324&lt;650,"WATCH","OK")</x:f>
        <x:v>OK</x:v>
      </x:c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</x:row>
    <x:row r="325">
      <x:c r="A325" s="27" t="str">
        <x:v>L9</x:v>
      </x:c>
      <x:c r="B325" s="27" t="str">
        <x:v>imbastitura</x:v>
      </x:c>
      <x:c r="C325" s="27" t="str">
        <x:v>sewing</x:v>
      </x:c>
      <x:c r="D325" s="27" t="n">
        <x:v>8</x:v>
      </x:c>
      <x:c r="E325" s="27" t="n">
        <x:v>8</x:v>
      </x:c>
      <x:c r="F325" s="27" t="n">
        <x:v>7</x:v>
      </x:c>
      <x:c r="G325" s="36" t="n">
        <x:f>E325*8*60*H325*I325</x:f>
        <x:v>3035.52</x:v>
      </x:c>
      <x:c r="H325" s="32" t="n">
        <x:v>0.85</x:v>
      </x:c>
      <x:c r="I325" s="32" t="n">
        <x:v>0.93</x:v>
      </x:c>
      <x:c r="J325" s="27" t="str">
        <x:f>IF(G325&lt;650,"WATCH","OK")</x:f>
        <x:v>OK</x:v>
      </x:c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</x:row>
    <x:row r="326">
      <x:c r="A326" s="27" t="str">
        <x:v>L9</x:v>
      </x:c>
      <x:c r="B326" s="27" t="str">
        <x:v>lavaggio/trattamenti</x:v>
      </x:c>
      <x:c r="C326" s="27" t="str">
        <x:v>washing</x:v>
      </x:c>
      <x:c r="D326" s="27" t="n">
        <x:v>4</x:v>
      </x:c>
      <x:c r="E326" s="27" t="n">
        <x:v>3</x:v>
      </x:c>
      <x:c r="F326" s="27" t="n">
        <x:v>1</x:v>
      </x:c>
      <x:c r="G326" s="36" t="n">
        <x:f>E326*8*60*H326*I326</x:f>
        <x:v>1138.3200000000002</x:v>
      </x:c>
      <x:c r="H326" s="32" t="n">
        <x:v>0.85</x:v>
      </x:c>
      <x:c r="I326" s="32" t="n">
        <x:v>0.93</x:v>
      </x:c>
      <x:c r="J326" s="27" t="str">
        <x:f>IF(G326&lt;650,"WATCH","OK")</x:f>
        <x:v>OK</x:v>
      </x:c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</x:row>
    <x:row r="327">
      <x:c r="A327" s="27" t="str">
        <x:v>L9</x:v>
      </x:c>
      <x:c r="B327" s="27" t="str">
        <x:v>maniche</x:v>
      </x:c>
      <x:c r="C327" s="27" t="str">
        <x:v>sewing</x:v>
      </x:c>
      <x:c r="D327" s="27" t="n">
        <x:v>10</x:v>
      </x:c>
      <x:c r="E327" s="27" t="n">
        <x:v>6</x:v>
      </x:c>
      <x:c r="F327" s="27" t="n">
        <x:v>5</x:v>
      </x:c>
      <x:c r="G327" s="36" t="n">
        <x:f>E327*8*60*H327*I327</x:f>
        <x:v>2276.6400000000003</x:v>
      </x:c>
      <x:c r="H327" s="32" t="n">
        <x:v>0.85</x:v>
      </x:c>
      <x:c r="I327" s="32" t="n">
        <x:v>0.93</x:v>
      </x:c>
      <x:c r="J327" s="27" t="str">
        <x:f>IF(G327&lt;650,"WATCH","OK")</x:f>
        <x:v>OK</x:v>
      </x:c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</x:row>
    <x:row r="328">
      <x:c r="A328" s="27" t="str">
        <x:v>L9</x:v>
      </x:c>
      <x:c r="B328" s="27" t="str">
        <x:v>orlo</x:v>
      </x:c>
      <x:c r="C328" s="27" t="str">
        <x:v>sewing</x:v>
      </x:c>
      <x:c r="D328" s="27" t="n">
        <x:v>11</x:v>
      </x:c>
      <x:c r="E328" s="27" t="n">
        <x:v>7</x:v>
      </x:c>
      <x:c r="F328" s="27" t="n">
        <x:v>6</x:v>
      </x:c>
      <x:c r="G328" s="36" t="n">
        <x:f>E328*8*60*H328*I328</x:f>
        <x:v>2656.08</x:v>
      </x:c>
      <x:c r="H328" s="32" t="n">
        <x:v>0.85</x:v>
      </x:c>
      <x:c r="I328" s="32" t="n">
        <x:v>0.93</x:v>
      </x:c>
      <x:c r="J328" s="27" t="str">
        <x:f>IF(G328&lt;650,"WATCH","OK")</x:f>
        <x:v>OK</x:v>
      </x:c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</x:row>
    <x:row r="329">
      <x:c r="A329" s="27" t="str">
        <x:v>L9</x:v>
      </x:c>
      <x:c r="B329" s="27" t="str">
        <x:v>orlo e rifiniture</x:v>
      </x:c>
      <x:c r="C329" s="27" t="str">
        <x:v>sewing</x:v>
      </x:c>
      <x:c r="D329" s="27" t="n">
        <x:v>12</x:v>
      </x:c>
      <x:c r="E329" s="27" t="n">
        <x:v>8</x:v>
      </x:c>
      <x:c r="F329" s="27" t="n">
        <x:v>7</x:v>
      </x:c>
      <x:c r="G329" s="36" t="n">
        <x:f>E329*8*60*H329*I329</x:f>
        <x:v>3035.52</x:v>
      </x:c>
      <x:c r="H329" s="32" t="n">
        <x:v>0.85</x:v>
      </x:c>
      <x:c r="I329" s="32" t="n">
        <x:v>0.93</x:v>
      </x:c>
      <x:c r="J329" s="27" t="str">
        <x:f>IF(G329&lt;650,"WATCH","OK")</x:f>
        <x:v>OK</x:v>
      </x:c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</x:row>
    <x:row r="330">
      <x:c r="A330" s="27" t="str">
        <x:v>L9</x:v>
      </x:c>
      <x:c r="B330" s="27" t="str">
        <x:v>packing</x:v>
      </x:c>
      <x:c r="C330" s="27" t="str">
        <x:v>finishing</x:v>
      </x:c>
      <x:c r="D330" s="27" t="n">
        <x:v>9</x:v>
      </x:c>
      <x:c r="E330" s="27" t="n">
        <x:v>4</x:v>
      </x:c>
      <x:c r="F330" s="27" t="n">
        <x:v>2</x:v>
      </x:c>
      <x:c r="G330" s="36" t="n">
        <x:f>E330*8*60*H330*I330</x:f>
        <x:v>1517.76</x:v>
      </x:c>
      <x:c r="H330" s="32" t="n">
        <x:v>0.85</x:v>
      </x:c>
      <x:c r="I330" s="32" t="n">
        <x:v>0.93</x:v>
      </x:c>
      <x:c r="J330" s="27" t="str">
        <x:f>IF(G330&lt;650,"WATCH","OK")</x:f>
        <x:v>OK</x:v>
      </x:c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</x:row>
    <x:row r="331">
      <x:c r="A331" s="27" t="str">
        <x:v>L9</x:v>
      </x:c>
      <x:c r="B331" s="27" t="str">
        <x:v>polsi e fondo</x:v>
      </x:c>
      <x:c r="C331" s="27" t="str">
        <x:v>sewing</x:v>
      </x:c>
      <x:c r="D331" s="27" t="n">
        <x:v>7</x:v>
      </x:c>
      <x:c r="E331" s="27" t="n">
        <x:v>7</x:v>
      </x:c>
      <x:c r="F331" s="27" t="n">
        <x:v>6</x:v>
      </x:c>
      <x:c r="G331" s="36" t="n">
        <x:f>E331*8*60*H331*I331</x:f>
        <x:v>2656.08</x:v>
      </x:c>
      <x:c r="H331" s="32" t="n">
        <x:v>0.85</x:v>
      </x:c>
      <x:c r="I331" s="32" t="n">
        <x:v>0.93</x:v>
      </x:c>
      <x:c r="J331" s="27" t="str">
        <x:f>IF(G331&lt;650,"WATCH","OK")</x:f>
        <x:v>OK</x:v>
      </x:c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</x:row>
    <x:row r="332">
      <x:c r="A332" s="27" t="str">
        <x:v>L9</x:v>
      </x:c>
      <x:c r="B332" s="27" t="str">
        <x:v>spalle e fianchi</x:v>
      </x:c>
      <x:c r="C332" s="27" t="str">
        <x:v>sewing</x:v>
      </x:c>
      <x:c r="D332" s="27" t="n">
        <x:v>8</x:v>
      </x:c>
      <x:c r="E332" s="27" t="n">
        <x:v>5</x:v>
      </x:c>
      <x:c r="F332" s="27" t="n">
        <x:v>4</x:v>
      </x:c>
      <x:c r="G332" s="36" t="n">
        <x:f>E332*8*60*H332*I332</x:f>
        <x:v>1897.2</x:v>
      </x:c>
      <x:c r="H332" s="32" t="n">
        <x:v>0.85</x:v>
      </x:c>
      <x:c r="I332" s="32" t="n">
        <x:v>0.93</x:v>
      </x:c>
      <x:c r="J332" s="27" t="str">
        <x:f>IF(G332&lt;650,"WATCH","OK")</x:f>
        <x:v>OK</x:v>
      </x:c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</x:row>
    <x:row r="333">
      <x:c r="A333" s="27" t="str">
        <x:v>L9</x:v>
      </x:c>
      <x:c r="B333" s="27" t="str">
        <x:v>stiro finale</x:v>
      </x:c>
      <x:c r="C333" s="27" t="str">
        <x:v>finishing</x:v>
      </x:c>
      <x:c r="D333" s="27" t="n">
        <x:v>7</x:v>
      </x:c>
      <x:c r="E333" s="27" t="n">
        <x:v>7</x:v>
      </x:c>
      <x:c r="F333" s="27" t="n">
        <x:v>5</x:v>
      </x:c>
      <x:c r="G333" s="36" t="n">
        <x:f>E333*8*60*H333*I333</x:f>
        <x:v>2656.08</x:v>
      </x:c>
      <x:c r="H333" s="32" t="n">
        <x:v>0.85</x:v>
      </x:c>
      <x:c r="I333" s="32" t="n">
        <x:v>0.93</x:v>
      </x:c>
      <x:c r="J333" s="27" t="str">
        <x:f>IF(G333&lt;650,"WATCH","OK")</x:f>
        <x:v>OK</x:v>
      </x:c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</x:row>
    <x:row r="334">
      <x:c r="A334" s="27" t="str">
        <x:v>L9</x:v>
      </x:c>
      <x:c r="B334" s="27" t="str">
        <x:v>stiro intermedio</x:v>
      </x:c>
      <x:c r="C334" s="27" t="str">
        <x:v>finishing</x:v>
      </x:c>
      <x:c r="D334" s="27" t="n">
        <x:v>8</x:v>
      </x:c>
      <x:c r="E334" s="27" t="n">
        <x:v>4</x:v>
      </x:c>
      <x:c r="F334" s="27" t="n">
        <x:v>2</x:v>
      </x:c>
      <x:c r="G334" s="36" t="n">
        <x:f>E334*8*60*H334*I334</x:f>
        <x:v>1517.76</x:v>
      </x:c>
      <x:c r="H334" s="32" t="n">
        <x:v>0.85</x:v>
      </x:c>
      <x:c r="I334" s="32" t="n">
        <x:v>0.93</x:v>
      </x:c>
      <x:c r="J334" s="27" t="str">
        <x:f>IF(G334&lt;650,"WATCH","OK")</x:f>
        <x:v>OK</x:v>
      </x:c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</x:row>
    <x:row r="335">
      <x:c r="A335" s="27" t="str">
        <x:v>L9</x:v>
      </x:c>
      <x:c r="B335" s="27" t="str">
        <x:v>stiro/packing</x:v>
      </x:c>
      <x:c r="C335" s="27" t="str">
        <x:v>finishing</x:v>
      </x:c>
      <x:c r="D335" s="27" t="n">
        <x:v>9</x:v>
      </x:c>
      <x:c r="E335" s="27" t="n">
        <x:v>5</x:v>
      </x:c>
      <x:c r="F335" s="27" t="n">
        <x:v>3</x:v>
      </x:c>
      <x:c r="G335" s="36" t="n">
        <x:f>E335*8*60*H335*I335</x:f>
        <x:v>1897.2</x:v>
      </x:c>
      <x:c r="H335" s="32" t="n">
        <x:v>0.85</x:v>
      </x:c>
      <x:c r="I335" s="32" t="n">
        <x:v>0.93</x:v>
      </x:c>
      <x:c r="J335" s="27" t="str">
        <x:f>IF(G335&lt;650,"WATCH","OK")</x:f>
        <x:v>OK</x:v>
      </x:c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</x:row>
    <x:row r="336">
      <x:c r="A336" s="27" t="str">
        <x:v>L9</x:v>
      </x:c>
      <x:c r="B336" s="27" t="str">
        <x:v>taglio tessuto</x:v>
      </x:c>
      <x:c r="C336" s="27" t="str">
        <x:v>cutting</x:v>
      </x:c>
      <x:c r="D336" s="27" t="n">
        <x:v>7</x:v>
      </x:c>
      <x:c r="E336" s="27" t="n">
        <x:v>5</x:v>
      </x:c>
      <x:c r="F336" s="27" t="n">
        <x:v>3</x:v>
      </x:c>
      <x:c r="G336" s="36" t="n">
        <x:f>E336*8*60*H336*I336</x:f>
        <x:v>1897.2</x:v>
      </x:c>
      <x:c r="H336" s="32" t="n">
        <x:v>0.85</x:v>
      </x:c>
      <x:c r="I336" s="32" t="n">
        <x:v>0.93</x:v>
      </x:c>
      <x:c r="J336" s="27" t="str">
        <x:f>IF(G336&lt;650,"WATCH","OK")</x:f>
        <x:v>OK</x:v>
      </x:c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</x:row>
    <x:row r="337">
      <x:c r="A337" s="27" t="str">
        <x:v>L9</x:v>
      </x:c>
      <x:c r="B337" s="27" t="str">
        <x:v>tasche</x:v>
      </x:c>
      <x:c r="C337" s="27" t="str">
        <x:v>sewing</x:v>
      </x:c>
      <x:c r="D337" s="27" t="n">
        <x:v>13</x:v>
      </x:c>
      <x:c r="E337" s="27" t="n">
        <x:v>10</x:v>
      </x:c>
      <x:c r="F337" s="27" t="n">
        <x:v>9</x:v>
      </x:c>
      <x:c r="G337" s="36" t="n">
        <x:f>E337*8*60*H337*I337</x:f>
        <x:v>3794.4</x:v>
      </x:c>
      <x:c r="H337" s="32" t="n">
        <x:v>0.85</x:v>
      </x:c>
      <x:c r="I337" s="32" t="n">
        <x:v>0.93</x:v>
      </x:c>
      <x:c r="J337" s="27" t="str">
        <x:f>IF(G337&lt;650,"WATCH","OK")</x:f>
        <x:v>OK</x:v>
      </x:c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</x:row>
    <x:row r="338">
      <x:c r="A338" s="27" t="str">
        <x:v>L10</x:v>
      </x:c>
      <x:c r="B338" s="27" t="str">
        <x:v>adesivazione</x:v>
      </x:c>
      <x:c r="C338" s="27" t="str">
        <x:v>cutting</x:v>
      </x:c>
      <x:c r="D338" s="27" t="n">
        <x:v>5</x:v>
      </x:c>
      <x:c r="E338" s="27" t="n">
        <x:v>4</x:v>
      </x:c>
      <x:c r="F338" s="27" t="n">
        <x:v>2</x:v>
      </x:c>
      <x:c r="G338" s="36" t="n">
        <x:f>E338*8*60*H338*I338</x:f>
        <x:v>1499.904</x:v>
      </x:c>
      <x:c r="H338" s="32" t="n">
        <x:v>0.84</x:v>
      </x:c>
      <x:c r="I338" s="32" t="n">
        <x:v>0.93</x:v>
      </x:c>
      <x:c r="J338" s="27" t="str">
        <x:f>IF(G338&lt;650,"WATCH","OK")</x:f>
        <x:v>OK</x:v>
      </x:c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</x:row>
    <x:row r="339">
      <x:c r="A339" s="27" t="str">
        <x:v>L10</x:v>
      </x:c>
      <x:c r="B339" s="27" t="str">
        <x:v>applicazione elastici</x:v>
      </x:c>
      <x:c r="C339" s="27" t="str">
        <x:v>sewing</x:v>
      </x:c>
      <x:c r="D339" s="27" t="n">
        <x:v>8</x:v>
      </x:c>
      <x:c r="E339" s="27" t="n">
        <x:v>6</x:v>
      </x:c>
      <x:c r="F339" s="27" t="n">
        <x:v>5</x:v>
      </x:c>
      <x:c r="G339" s="36" t="n">
        <x:f>E339*8*60*H339*I339</x:f>
        <x:v>2249.8559999999998</x:v>
      </x:c>
      <x:c r="H339" s="32" t="n">
        <x:v>0.84</x:v>
      </x:c>
      <x:c r="I339" s="32" t="n">
        <x:v>0.93</x:v>
      </x:c>
      <x:c r="J339" s="27" t="str">
        <x:f>IF(G339&lt;650,"WATCH","OK")</x:f>
        <x:v>OK</x:v>
      </x:c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</x:row>
    <x:row r="340">
      <x:c r="A340" s="27" t="str">
        <x:v>L10</x:v>
      </x:c>
      <x:c r="B340" s="27" t="str">
        <x:v>applicazione fodera</x:v>
      </x:c>
      <x:c r="C340" s="27" t="str">
        <x:v>sewing</x:v>
      </x:c>
      <x:c r="D340" s="27" t="n">
        <x:v>9</x:v>
      </x:c>
      <x:c r="E340" s="27" t="n">
        <x:v>7</x:v>
      </x:c>
      <x:c r="F340" s="27" t="n">
        <x:v>6</x:v>
      </x:c>
      <x:c r="G340" s="36" t="n">
        <x:f>E340*8*60*H340*I340</x:f>
        <x:v>2624.8320000000003</x:v>
      </x:c>
      <x:c r="H340" s="32" t="n">
        <x:v>0.84</x:v>
      </x:c>
      <x:c r="I340" s="32" t="n">
        <x:v>0.93</x:v>
      </x:c>
      <x:c r="J340" s="27" t="str">
        <x:f>IF(G340&lt;650,"WATCH","OK")</x:f>
        <x:v>OK</x:v>
      </x:c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</x:row>
    <x:row r="341">
      <x:c r="A341" s="27" t="str">
        <x:v>L10</x:v>
      </x:c>
      <x:c r="B341" s="27" t="str">
        <x:v>applicazione zip</x:v>
      </x:c>
      <x:c r="C341" s="27" t="str">
        <x:v>sewing</x:v>
      </x:c>
      <x:c r="D341" s="27" t="n">
        <x:v>10</x:v>
      </x:c>
      <x:c r="E341" s="27" t="n">
        <x:v>8</x:v>
      </x:c>
      <x:c r="F341" s="27" t="n">
        <x:v>7</x:v>
      </x:c>
      <x:c r="G341" s="36" t="n">
        <x:f>E341*8*60*H341*I341</x:f>
        <x:v>2999.808</x:v>
      </x:c>
      <x:c r="H341" s="32" t="n">
        <x:v>0.84</x:v>
      </x:c>
      <x:c r="I341" s="32" t="n">
        <x:v>0.93</x:v>
      </x:c>
      <x:c r="J341" s="27" t="str">
        <x:f>IF(G341&lt;650,"WATCH","OK")</x:f>
        <x:v>OK</x:v>
      </x:c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</x:row>
    <x:row r="342">
      <x:c r="A342" s="27" t="str">
        <x:v>L10</x:v>
      </x:c>
      <x:c r="B342" s="27" t="str">
        <x:v>asolatura/bottoni</x:v>
      </x:c>
      <x:c r="C342" s="27" t="str">
        <x:v>sewing</x:v>
      </x:c>
      <x:c r="D342" s="27" t="n">
        <x:v>11</x:v>
      </x:c>
      <x:c r="E342" s="27" t="n">
        <x:v>9</x:v>
      </x:c>
      <x:c r="F342" s="27" t="n">
        <x:v>8</x:v>
      </x:c>
      <x:c r="G342" s="36" t="n">
        <x:f>E342*8*60*H342*I342</x:f>
        <x:v>3374.784</x:v>
      </x:c>
      <x:c r="H342" s="32" t="n">
        <x:v>0.84</x:v>
      </x:c>
      <x:c r="I342" s="32" t="n">
        <x:v>0.93</x:v>
      </x:c>
      <x:c r="J342" s="27" t="str">
        <x:f>IF(G342&lt;650,"WATCH","OK")</x:f>
        <x:v>OK</x:v>
      </x:c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</x:row>
    <x:row r="343">
      <x:c r="A343" s="27" t="str">
        <x:v>L10</x:v>
      </x:c>
      <x:c r="B343" s="27" t="str">
        <x:v>assemblaggio</x:v>
      </x:c>
      <x:c r="C343" s="27" t="str">
        <x:v>sewing</x:v>
      </x:c>
      <x:c r="D343" s="27" t="n">
        <x:v>12</x:v>
      </x:c>
      <x:c r="E343" s="27" t="n">
        <x:v>10</x:v>
      </x:c>
      <x:c r="F343" s="27" t="n">
        <x:v>9</x:v>
      </x:c>
      <x:c r="G343" s="36" t="n">
        <x:f>E343*8*60*H343*I343</x:f>
        <x:v>3749.76</x:v>
      </x:c>
      <x:c r="H343" s="32" t="n">
        <x:v>0.84</x:v>
      </x:c>
      <x:c r="I343" s="32" t="n">
        <x:v>0.93</x:v>
      </x:c>
      <x:c r="J343" s="27" t="str">
        <x:f>IF(G343&lt;650,"WATCH","OK")</x:f>
        <x:v>OK</x:v>
      </x:c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</x:row>
    <x:row r="344">
      <x:c r="A344" s="27" t="str">
        <x:v>L10</x:v>
      </x:c>
      <x:c r="B344" s="27" t="str">
        <x:v>assemblaggio busto</x:v>
      </x:c>
      <x:c r="C344" s="27" t="str">
        <x:v>sewing</x:v>
      </x:c>
      <x:c r="D344" s="27" t="n">
        <x:v>13</x:v>
      </x:c>
      <x:c r="E344" s="27" t="n">
        <x:v>5</x:v>
      </x:c>
      <x:c r="F344" s="27" t="n">
        <x:v>4</x:v>
      </x:c>
      <x:c r="G344" s="36" t="n">
        <x:f>E344*8*60*H344*I344</x:f>
        <x:v>1874.88</x:v>
      </x:c>
      <x:c r="H344" s="32" t="n">
        <x:v>0.84</x:v>
      </x:c>
      <x:c r="I344" s="32" t="n">
        <x:v>0.93</x:v>
      </x:c>
      <x:c r="J344" s="27" t="str">
        <x:f>IF(G344&lt;650,"WATCH","OK")</x:f>
        <x:v>OK</x:v>
      </x:c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</x:row>
    <x:row r="345">
      <x:c r="A345" s="27" t="str">
        <x:v>L10</x:v>
      </x:c>
      <x:c r="B345" s="27" t="str">
        <x:v>bottoni automatici</x:v>
      </x:c>
      <x:c r="C345" s="27" t="str">
        <x:v>sewing</x:v>
      </x:c>
      <x:c r="D345" s="27" t="n">
        <x:v>7</x:v>
      </x:c>
      <x:c r="E345" s="27" t="n">
        <x:v>6</x:v>
      </x:c>
      <x:c r="F345" s="27" t="n">
        <x:v>5</x:v>
      </x:c>
      <x:c r="G345" s="36" t="n">
        <x:f>E345*8*60*H345*I345</x:f>
        <x:v>2249.8559999999998</x:v>
      </x:c>
      <x:c r="H345" s="32" t="n">
        <x:v>0.84</x:v>
      </x:c>
      <x:c r="I345" s="32" t="n">
        <x:v>0.93</x:v>
      </x:c>
      <x:c r="J345" s="27" t="str">
        <x:f>IF(G345&lt;650,"WATCH","OK")</x:f>
        <x:v>OK</x:v>
      </x:c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</x:row>
    <x:row r="346">
      <x:c r="A346" s="27" t="str">
        <x:v>L10</x:v>
      </x:c>
      <x:c r="B346" s="27" t="str">
        <x:v>cappuccio/collo</x:v>
      </x:c>
      <x:c r="C346" s="27" t="str">
        <x:v>sewing</x:v>
      </x:c>
      <x:c r="D346" s="27" t="n">
        <x:v>8</x:v>
      </x:c>
      <x:c r="E346" s="27" t="n">
        <x:v>7</x:v>
      </x:c>
      <x:c r="F346" s="27" t="n">
        <x:v>6</x:v>
      </x:c>
      <x:c r="G346" s="36" t="n">
        <x:f>E346*8*60*H346*I346</x:f>
        <x:v>2624.8320000000003</x:v>
      </x:c>
      <x:c r="H346" s="32" t="n">
        <x:v>0.84</x:v>
      </x:c>
      <x:c r="I346" s="32" t="n">
        <x:v>0.93</x:v>
      </x:c>
      <x:c r="J346" s="27" t="str">
        <x:f>IF(G346&lt;650,"WATCH","OK")</x:f>
        <x:v>OK</x:v>
      </x:c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</x:row>
    <x:row r="347">
      <x:c r="A347" s="27" t="str">
        <x:v>L10</x:v>
      </x:c>
      <x:c r="B347" s="27" t="str">
        <x:v>cintura</x:v>
      </x:c>
      <x:c r="C347" s="27" t="str">
        <x:v>sewing</x:v>
      </x:c>
      <x:c r="D347" s="27" t="n">
        <x:v>9</x:v>
      </x:c>
      <x:c r="E347" s="27" t="n">
        <x:v>8</x:v>
      </x:c>
      <x:c r="F347" s="27" t="n">
        <x:v>7</x:v>
      </x:c>
      <x:c r="G347" s="36" t="n">
        <x:f>E347*8*60*H347*I347</x:f>
        <x:v>2999.808</x:v>
      </x:c>
      <x:c r="H347" s="32" t="n">
        <x:v>0.84</x:v>
      </x:c>
      <x:c r="I347" s="32" t="n">
        <x:v>0.93</x:v>
      </x:c>
      <x:c r="J347" s="27" t="str">
        <x:f>IF(G347&lt;650,"WATCH","OK")</x:f>
        <x:v>OK</x:v>
      </x:c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</x:row>
    <x:row r="348">
      <x:c r="A348" s="27" t="str">
        <x:v>L10</x:v>
      </x:c>
      <x:c r="B348" s="27" t="str">
        <x:v>collo</x:v>
      </x:c>
      <x:c r="C348" s="27" t="str">
        <x:v>sewing</x:v>
      </x:c>
      <x:c r="D348" s="27" t="n">
        <x:v>10</x:v>
      </x:c>
      <x:c r="E348" s="27" t="n">
        <x:v>9</x:v>
      </x:c>
      <x:c r="F348" s="27" t="n">
        <x:v>8</x:v>
      </x:c>
      <x:c r="G348" s="36" t="n">
        <x:f>E348*8*60*H348*I348</x:f>
        <x:v>3374.784</x:v>
      </x:c>
      <x:c r="H348" s="32" t="n">
        <x:v>0.84</x:v>
      </x:c>
      <x:c r="I348" s="32" t="n">
        <x:v>0.93</x:v>
      </x:c>
      <x:c r="J348" s="27" t="str">
        <x:f>IF(G348&lt;650,"WATCH","OK")</x:f>
        <x:v>OK</x:v>
      </x:c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</x:row>
    <x:row r="349">
      <x:c r="A349" s="27" t="str">
        <x:v>L10</x:v>
      </x:c>
      <x:c r="B349" s="27" t="str">
        <x:v>collo e polsi</x:v>
      </x:c>
      <x:c r="C349" s="27" t="str">
        <x:v>sewing</x:v>
      </x:c>
      <x:c r="D349" s="27" t="n">
        <x:v>11</x:v>
      </x:c>
      <x:c r="E349" s="27" t="n">
        <x:v>10</x:v>
      </x:c>
      <x:c r="F349" s="27" t="n">
        <x:v>9</x:v>
      </x:c>
      <x:c r="G349" s="36" t="n">
        <x:f>E349*8*60*H349*I349</x:f>
        <x:v>3749.76</x:v>
      </x:c>
      <x:c r="H349" s="32" t="n">
        <x:v>0.84</x:v>
      </x:c>
      <x:c r="I349" s="32" t="n">
        <x:v>0.93</x:v>
      </x:c>
      <x:c r="J349" s="27" t="str">
        <x:f>IF(G349&lt;650,"WATCH","OK")</x:f>
        <x:v>OK</x:v>
      </x:c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</x:row>
    <x:row r="350">
      <x:c r="A350" s="27" t="str">
        <x:v>L10</x:v>
      </x:c>
      <x:c r="B350" s="27" t="str">
        <x:v>confezione capo</x:v>
      </x:c>
      <x:c r="C350" s="27" t="str">
        <x:v>sewing</x:v>
      </x:c>
      <x:c r="D350" s="27" t="n">
        <x:v>12</x:v>
      </x:c>
      <x:c r="E350" s="27" t="n">
        <x:v>5</x:v>
      </x:c>
      <x:c r="F350" s="27" t="n">
        <x:v>4</x:v>
      </x:c>
      <x:c r="G350" s="36" t="n">
        <x:f>E350*8*60*H350*I350</x:f>
        <x:v>1874.88</x:v>
      </x:c>
      <x:c r="H350" s="32" t="n">
        <x:v>0.84</x:v>
      </x:c>
      <x:c r="I350" s="32" t="n">
        <x:v>0.93</x:v>
      </x:c>
      <x:c r="J350" s="27" t="str">
        <x:f>IF(G350&lt;650,"WATCH","OK")</x:f>
        <x:v>OK</x:v>
      </x:c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</x:row>
    <x:row r="351">
      <x:c r="A351" s="27" t="str">
        <x:v>L10</x:v>
      </x:c>
      <x:c r="B351" s="27" t="str">
        <x:v>confezione corpino</x:v>
      </x:c>
      <x:c r="C351" s="27" t="str">
        <x:v>sewing</x:v>
      </x:c>
      <x:c r="D351" s="27" t="n">
        <x:v>13</x:v>
      </x:c>
      <x:c r="E351" s="27" t="n">
        <x:v>6</x:v>
      </x:c>
      <x:c r="F351" s="27" t="n">
        <x:v>5</x:v>
      </x:c>
      <x:c r="G351" s="36" t="n">
        <x:f>E351*8*60*H351*I351</x:f>
        <x:v>2249.8559999999998</x:v>
      </x:c>
      <x:c r="H351" s="32" t="n">
        <x:v>0.84</x:v>
      </x:c>
      <x:c r="I351" s="32" t="n">
        <x:v>0.93</x:v>
      </x:c>
      <x:c r="J351" s="27" t="str">
        <x:f>IF(G351&lt;650,"WATCH","OK")</x:f>
        <x:v>OK</x:v>
      </x:c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</x:row>
    <x:row r="352">
      <x:c r="A352" s="27" t="str">
        <x:v>L10</x:v>
      </x:c>
      <x:c r="B352" s="27" t="str">
        <x:v>confezione gonna</x:v>
      </x:c>
      <x:c r="C352" s="27" t="str">
        <x:v>sewing</x:v>
      </x:c>
      <x:c r="D352" s="27" t="n">
        <x:v>7</x:v>
      </x:c>
      <x:c r="E352" s="27" t="n">
        <x:v>7</x:v>
      </x:c>
      <x:c r="F352" s="27" t="n">
        <x:v>6</x:v>
      </x:c>
      <x:c r="G352" s="36" t="n">
        <x:f>E352*8*60*H352*I352</x:f>
        <x:v>2624.8320000000003</x:v>
      </x:c>
      <x:c r="H352" s="32" t="n">
        <x:v>0.84</x:v>
      </x:c>
      <x:c r="I352" s="32" t="n">
        <x:v>0.93</x:v>
      </x:c>
      <x:c r="J352" s="27" t="str">
        <x:f>IF(G352&lt;650,"WATCH","OK")</x:f>
        <x:v>OK</x:v>
      </x:c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</x:row>
    <x:row r="353">
      <x:c r="A353" s="27" t="str">
        <x:v>L10</x:v>
      </x:c>
      <x:c r="B353" s="27" t="str">
        <x:v>controllo qualità</x:v>
      </x:c>
      <x:c r="C353" s="27" t="str">
        <x:v>quality_control</x:v>
      </x:c>
      <x:c r="D353" s="27" t="n">
        <x:v>7</x:v>
      </x:c>
      <x:c r="E353" s="27" t="n">
        <x:v>3</x:v>
      </x:c>
      <x:c r="F353" s="27" t="n">
        <x:v>0</x:v>
      </x:c>
      <x:c r="G353" s="36" t="n">
        <x:f>E353*8*60*H353*I353</x:f>
        <x:v>1124.9279999999999</x:v>
      </x:c>
      <x:c r="H353" s="32" t="n">
        <x:v>0.84</x:v>
      </x:c>
      <x:c r="I353" s="32" t="n">
        <x:v>0.93</x:v>
      </x:c>
      <x:c r="J353" s="27" t="str">
        <x:f>IF(G353&lt;650,"WATCH","OK")</x:f>
        <x:v>OK</x:v>
      </x:c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</x:row>
    <x:row r="354">
      <x:c r="A354" s="27" t="str">
        <x:v>L10</x:v>
      </x:c>
      <x:c r="B354" s="27" t="str">
        <x:v>coppe</x:v>
      </x:c>
      <x:c r="C354" s="27" t="str">
        <x:v>sewing</x:v>
      </x:c>
      <x:c r="D354" s="27" t="n">
        <x:v>9</x:v>
      </x:c>
      <x:c r="E354" s="27" t="n">
        <x:v>9</x:v>
      </x:c>
      <x:c r="F354" s="27" t="n">
        <x:v>8</x:v>
      </x:c>
      <x:c r="G354" s="36" t="n">
        <x:f>E354*8*60*H354*I354</x:f>
        <x:v>3374.784</x:v>
      </x:c>
      <x:c r="H354" s="32" t="n">
        <x:v>0.84</x:v>
      </x:c>
      <x:c r="I354" s="32" t="n">
        <x:v>0.93</x:v>
      </x:c>
      <x:c r="J354" s="27" t="str">
        <x:f>IF(G354&lt;650,"WATCH","OK")</x:f>
        <x:v>OK</x:v>
      </x:c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</x:row>
    <x:row r="355">
      <x:c r="A355" s="27" t="str">
        <x:v>L10</x:v>
      </x:c>
      <x:c r="B355" s="27" t="str">
        <x:v>costruzione davanti</x:v>
      </x:c>
      <x:c r="C355" s="27" t="str">
        <x:v>sewing</x:v>
      </x:c>
      <x:c r="D355" s="27" t="n">
        <x:v>10</x:v>
      </x:c>
      <x:c r="E355" s="27" t="n">
        <x:v>10</x:v>
      </x:c>
      <x:c r="F355" s="27" t="n">
        <x:v>9</x:v>
      </x:c>
      <x:c r="G355" s="36" t="n">
        <x:f>E355*8*60*H355*I355</x:f>
        <x:v>3749.76</x:v>
      </x:c>
      <x:c r="H355" s="32" t="n">
        <x:v>0.84</x:v>
      </x:c>
      <x:c r="I355" s="32" t="n">
        <x:v>0.93</x:v>
      </x:c>
      <x:c r="J355" s="27" t="str">
        <x:f>IF(G355&lt;650,"WATCH","OK")</x:f>
        <x:v>OK</x:v>
      </x:c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</x:row>
    <x:row r="356">
      <x:c r="A356" s="27" t="str">
        <x:v>L10</x:v>
      </x:c>
      <x:c r="B356" s="27" t="str">
        <x:v>cuciture spalle</x:v>
      </x:c>
      <x:c r="C356" s="27" t="str">
        <x:v>sewing</x:v>
      </x:c>
      <x:c r="D356" s="27" t="n">
        <x:v>11</x:v>
      </x:c>
      <x:c r="E356" s="27" t="n">
        <x:v>5</x:v>
      </x:c>
      <x:c r="F356" s="27" t="n">
        <x:v>4</x:v>
      </x:c>
      <x:c r="G356" s="36" t="n">
        <x:f>E356*8*60*H356*I356</x:f>
        <x:v>1874.88</x:v>
      </x:c>
      <x:c r="H356" s="32" t="n">
        <x:v>0.84</x:v>
      </x:c>
      <x:c r="I356" s="32" t="n">
        <x:v>0.93</x:v>
      </x:c>
      <x:c r="J356" s="27" t="str">
        <x:f>IF(G356&lt;650,"WATCH","OK")</x:f>
        <x:v>OK</x:v>
      </x:c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</x:row>
    <x:row r="357">
      <x:c r="A357" s="27" t="str">
        <x:v>L10</x:v>
      </x:c>
      <x:c r="B357" s="27" t="str">
        <x:v>cuciture tasche</x:v>
      </x:c>
      <x:c r="C357" s="27" t="str">
        <x:v>sewing</x:v>
      </x:c>
      <x:c r="D357" s="27" t="n">
        <x:v>12</x:v>
      </x:c>
      <x:c r="E357" s="27" t="n">
        <x:v>6</x:v>
      </x:c>
      <x:c r="F357" s="27" t="n">
        <x:v>5</x:v>
      </x:c>
      <x:c r="G357" s="36" t="n">
        <x:f>E357*8*60*H357*I357</x:f>
        <x:v>2249.8559999999998</x:v>
      </x:c>
      <x:c r="H357" s="32" t="n">
        <x:v>0.84</x:v>
      </x:c>
      <x:c r="I357" s="32" t="n">
        <x:v>0.93</x:v>
      </x:c>
      <x:c r="J357" s="27" t="str">
        <x:f>IF(G357&lt;650,"WATCH","OK")</x:f>
        <x:v>OK</x:v>
      </x:c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</x:row>
    <x:row r="358">
      <x:c r="A358" s="27" t="str">
        <x:v>L10</x:v>
      </x:c>
      <x:c r="B358" s="27" t="str">
        <x:v>elastici</x:v>
      </x:c>
      <x:c r="C358" s="27" t="str">
        <x:v>sewing</x:v>
      </x:c>
      <x:c r="D358" s="27" t="n">
        <x:v>13</x:v>
      </x:c>
      <x:c r="E358" s="27" t="n">
        <x:v>7</x:v>
      </x:c>
      <x:c r="F358" s="27" t="n">
        <x:v>6</x:v>
      </x:c>
      <x:c r="G358" s="36" t="n">
        <x:f>E358*8*60*H358*I358</x:f>
        <x:v>2624.8320000000003</x:v>
      </x:c>
      <x:c r="H358" s="32" t="n">
        <x:v>0.84</x:v>
      </x:c>
      <x:c r="I358" s="32" t="n">
        <x:v>0.93</x:v>
      </x:c>
      <x:c r="J358" s="27" t="str">
        <x:f>IF(G358&lt;650,"WATCH","OK")</x:f>
        <x:v>OK</x:v>
      </x:c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</x:row>
    <x:row r="359">
      <x:c r="A359" s="27" t="str">
        <x:v>L10</x:v>
      </x:c>
      <x:c r="B359" s="27" t="str">
        <x:v>elastici e spalline</x:v>
      </x:c>
      <x:c r="C359" s="27" t="str">
        <x:v>sewing</x:v>
      </x:c>
      <x:c r="D359" s="27" t="n">
        <x:v>7</x:v>
      </x:c>
      <x:c r="E359" s="27" t="n">
        <x:v>7</x:v>
      </x:c>
      <x:c r="F359" s="27" t="n">
        <x:v>6</x:v>
      </x:c>
      <x:c r="G359" s="36" t="n">
        <x:f>E359*8*60*H359*I359</x:f>
        <x:v>2624.8320000000003</x:v>
      </x:c>
      <x:c r="H359" s="32" t="n">
        <x:v>0.84</x:v>
      </x:c>
      <x:c r="I359" s="32" t="n">
        <x:v>0.93</x:v>
      </x:c>
      <x:c r="J359" s="27" t="str">
        <x:f>IF(G359&lt;650,"WATCH","OK")</x:f>
        <x:v>OK</x:v>
      </x:c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</x:row>
    <x:row r="360">
      <x:c r="A360" s="27" t="str">
        <x:v>L10</x:v>
      </x:c>
      <x:c r="B360" s="27" t="str">
        <x:v>elastici/finizioni</x:v>
      </x:c>
      <x:c r="C360" s="27" t="str">
        <x:v>sewing</x:v>
      </x:c>
      <x:c r="D360" s="27" t="n">
        <x:v>8</x:v>
      </x:c>
      <x:c r="E360" s="27" t="n">
        <x:v>8</x:v>
      </x:c>
      <x:c r="F360" s="27" t="n">
        <x:v>7</x:v>
      </x:c>
      <x:c r="G360" s="36" t="n">
        <x:f>E360*8*60*H360*I360</x:f>
        <x:v>2999.808</x:v>
      </x:c>
      <x:c r="H360" s="32" t="n">
        <x:v>0.84</x:v>
      </x:c>
      <x:c r="I360" s="32" t="n">
        <x:v>0.93</x:v>
      </x:c>
      <x:c r="J360" s="27" t="str">
        <x:f>IF(G360&lt;650,"WATCH","OK")</x:f>
        <x:v>OK</x:v>
      </x:c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</x:row>
    <x:row r="361">
      <x:c r="A361" s="27" t="str">
        <x:v>L10</x:v>
      </x:c>
      <x:c r="B361" s="27" t="str">
        <x:v>elastico vita</x:v>
      </x:c>
      <x:c r="C361" s="27" t="str">
        <x:v>sewing</x:v>
      </x:c>
      <x:c r="D361" s="27" t="n">
        <x:v>9</x:v>
      </x:c>
      <x:c r="E361" s="27" t="n">
        <x:v>9</x:v>
      </x:c>
      <x:c r="F361" s="27" t="n">
        <x:v>8</x:v>
      </x:c>
      <x:c r="G361" s="36" t="n">
        <x:f>E361*8*60*H361*I361</x:f>
        <x:v>3374.784</x:v>
      </x:c>
      <x:c r="H361" s="32" t="n">
        <x:v>0.84</x:v>
      </x:c>
      <x:c r="I361" s="32" t="n">
        <x:v>0.93</x:v>
      </x:c>
      <x:c r="J361" s="27" t="str">
        <x:f>IF(G361&lt;650,"WATCH","OK")</x:f>
        <x:v>OK</x:v>
      </x:c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</x:row>
    <x:row r="362">
      <x:c r="A362" s="27" t="str">
        <x:v>L10</x:v>
      </x:c>
      <x:c r="B362" s="27" t="str">
        <x:v>ganci e rifiniture</x:v>
      </x:c>
      <x:c r="C362" s="27" t="str">
        <x:v>sewing</x:v>
      </x:c>
      <x:c r="D362" s="27" t="n">
        <x:v>10</x:v>
      </x:c>
      <x:c r="E362" s="27" t="n">
        <x:v>5</x:v>
      </x:c>
      <x:c r="F362" s="27" t="n">
        <x:v>4</x:v>
      </x:c>
      <x:c r="G362" s="36" t="n">
        <x:f>E362*8*60*H362*I362</x:f>
        <x:v>1874.88</x:v>
      </x:c>
      <x:c r="H362" s="32" t="n">
        <x:v>0.84</x:v>
      </x:c>
      <x:c r="I362" s="32" t="n">
        <x:v>0.93</x:v>
      </x:c>
      <x:c r="J362" s="27" t="str">
        <x:f>IF(G362&lt;650,"WATCH","OK")</x:f>
        <x:v>OK</x:v>
      </x:c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</x:row>
    <x:row r="363">
      <x:c r="A363" s="27" t="str">
        <x:v>L10</x:v>
      </x:c>
      <x:c r="B363" s="27" t="str">
        <x:v>imbastitura</x:v>
      </x:c>
      <x:c r="C363" s="27" t="str">
        <x:v>sewing</x:v>
      </x:c>
      <x:c r="D363" s="27" t="n">
        <x:v>11</x:v>
      </x:c>
      <x:c r="E363" s="27" t="n">
        <x:v>6</x:v>
      </x:c>
      <x:c r="F363" s="27" t="n">
        <x:v>5</x:v>
      </x:c>
      <x:c r="G363" s="36" t="n">
        <x:f>E363*8*60*H363*I363</x:f>
        <x:v>2249.8559999999998</x:v>
      </x:c>
      <x:c r="H363" s="32" t="n">
        <x:v>0.84</x:v>
      </x:c>
      <x:c r="I363" s="32" t="n">
        <x:v>0.93</x:v>
      </x:c>
      <x:c r="J363" s="27" t="str">
        <x:f>IF(G363&lt;650,"WATCH","OK")</x:f>
        <x:v>OK</x:v>
      </x:c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</x:row>
    <x:row r="364">
      <x:c r="A364" s="27" t="str">
        <x:v>L10</x:v>
      </x:c>
      <x:c r="B364" s="27" t="str">
        <x:v>maniche</x:v>
      </x:c>
      <x:c r="C364" s="27" t="str">
        <x:v>sewing</x:v>
      </x:c>
      <x:c r="D364" s="27" t="n">
        <x:v>12</x:v>
      </x:c>
      <x:c r="E364" s="27" t="n">
        <x:v>7</x:v>
      </x:c>
      <x:c r="F364" s="27" t="n">
        <x:v>6</x:v>
      </x:c>
      <x:c r="G364" s="36" t="n">
        <x:f>E364*8*60*H364*I364</x:f>
        <x:v>2624.8320000000003</x:v>
      </x:c>
      <x:c r="H364" s="32" t="n">
        <x:v>0.84</x:v>
      </x:c>
      <x:c r="I364" s="32" t="n">
        <x:v>0.93</x:v>
      </x:c>
      <x:c r="J364" s="27" t="str">
        <x:f>IF(G364&lt;650,"WATCH","OK")</x:f>
        <x:v>OK</x:v>
      </x:c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</x:row>
    <x:row r="365">
      <x:c r="A365" s="27" t="str">
        <x:v>L10</x:v>
      </x:c>
      <x:c r="B365" s="27" t="str">
        <x:v>orlo</x:v>
      </x:c>
      <x:c r="C365" s="27" t="str">
        <x:v>sewing</x:v>
      </x:c>
      <x:c r="D365" s="27" t="n">
        <x:v>13</x:v>
      </x:c>
      <x:c r="E365" s="27" t="n">
        <x:v>8</x:v>
      </x:c>
      <x:c r="F365" s="27" t="n">
        <x:v>7</x:v>
      </x:c>
      <x:c r="G365" s="36" t="n">
        <x:f>E365*8*60*H365*I365</x:f>
        <x:v>2999.808</x:v>
      </x:c>
      <x:c r="H365" s="32" t="n">
        <x:v>0.84</x:v>
      </x:c>
      <x:c r="I365" s="32" t="n">
        <x:v>0.93</x:v>
      </x:c>
      <x:c r="J365" s="27" t="str">
        <x:f>IF(G365&lt;650,"WATCH","OK")</x:f>
        <x:v>OK</x:v>
      </x:c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</x:row>
    <x:row r="366">
      <x:c r="A366" s="27" t="str">
        <x:v>L10</x:v>
      </x:c>
      <x:c r="B366" s="27" t="str">
        <x:v>orlo e rifiniture</x:v>
      </x:c>
      <x:c r="C366" s="27" t="str">
        <x:v>sewing</x:v>
      </x:c>
      <x:c r="D366" s="27" t="n">
        <x:v>7</x:v>
      </x:c>
      <x:c r="E366" s="27" t="n">
        <x:v>7</x:v>
      </x:c>
      <x:c r="F366" s="27" t="n">
        <x:v>6</x:v>
      </x:c>
      <x:c r="G366" s="36" t="n">
        <x:f>E366*8*60*H366*I366</x:f>
        <x:v>2624.8320000000003</x:v>
      </x:c>
      <x:c r="H366" s="32" t="n">
        <x:v>0.84</x:v>
      </x:c>
      <x:c r="I366" s="32" t="n">
        <x:v>0.93</x:v>
      </x:c>
      <x:c r="J366" s="27" t="str">
        <x:f>IF(G366&lt;650,"WATCH","OK")</x:f>
        <x:v>OK</x:v>
      </x:c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</x:row>
    <x:row r="367">
      <x:c r="A367" s="27" t="str">
        <x:v>L10</x:v>
      </x:c>
      <x:c r="B367" s="27" t="str">
        <x:v>packing</x:v>
      </x:c>
      <x:c r="C367" s="27" t="str">
        <x:v>finishing</x:v>
      </x:c>
      <x:c r="D367" s="27" t="n">
        <x:v>6</x:v>
      </x:c>
      <x:c r="E367" s="27" t="n">
        <x:v>5</x:v>
      </x:c>
      <x:c r="F367" s="27" t="n">
        <x:v>3</x:v>
      </x:c>
      <x:c r="G367" s="36" t="n">
        <x:f>E367*8*60*H367*I367</x:f>
        <x:v>1874.88</x:v>
      </x:c>
      <x:c r="H367" s="32" t="n">
        <x:v>0.84</x:v>
      </x:c>
      <x:c r="I367" s="32" t="n">
        <x:v>0.93</x:v>
      </x:c>
      <x:c r="J367" s="27" t="str">
        <x:f>IF(G367&lt;650,"WATCH","OK")</x:f>
        <x:v>OK</x:v>
      </x:c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</x:row>
    <x:row r="368">
      <x:c r="A368" s="27" t="str">
        <x:v>L10</x:v>
      </x:c>
      <x:c r="B368" s="27" t="str">
        <x:v>polsi e fondo</x:v>
      </x:c>
      <x:c r="C368" s="27" t="str">
        <x:v>sewing</x:v>
      </x:c>
      <x:c r="D368" s="27" t="n">
        <x:v>9</x:v>
      </x:c>
      <x:c r="E368" s="27" t="n">
        <x:v>5</x:v>
      </x:c>
      <x:c r="F368" s="27" t="n">
        <x:v>4</x:v>
      </x:c>
      <x:c r="G368" s="36" t="n">
        <x:f>E368*8*60*H368*I368</x:f>
        <x:v>1874.88</x:v>
      </x:c>
      <x:c r="H368" s="32" t="n">
        <x:v>0.84</x:v>
      </x:c>
      <x:c r="I368" s="32" t="n">
        <x:v>0.93</x:v>
      </x:c>
      <x:c r="J368" s="27" t="str">
        <x:f>IF(G368&lt;650,"WATCH","OK")</x:f>
        <x:v>OK</x:v>
      </x:c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</x:row>
    <x:row r="369">
      <x:c r="A369" s="27" t="str">
        <x:v>L10</x:v>
      </x:c>
      <x:c r="B369" s="27" t="str">
        <x:v>spalle e fianchi</x:v>
      </x:c>
      <x:c r="C369" s="27" t="str">
        <x:v>sewing</x:v>
      </x:c>
      <x:c r="D369" s="27" t="n">
        <x:v>10</x:v>
      </x:c>
      <x:c r="E369" s="27" t="n">
        <x:v>6</x:v>
      </x:c>
      <x:c r="F369" s="27" t="n">
        <x:v>5</x:v>
      </x:c>
      <x:c r="G369" s="36" t="n">
        <x:f>E369*8*60*H369*I369</x:f>
        <x:v>2249.8559999999998</x:v>
      </x:c>
      <x:c r="H369" s="32" t="n">
        <x:v>0.84</x:v>
      </x:c>
      <x:c r="I369" s="32" t="n">
        <x:v>0.93</x:v>
      </x:c>
      <x:c r="J369" s="27" t="str">
        <x:f>IF(G369&lt;650,"WATCH","OK")</x:f>
        <x:v>OK</x:v>
      </x:c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</x:row>
    <x:row r="370">
      <x:c r="A370" s="27" t="str">
        <x:v>L10</x:v>
      </x:c>
      <x:c r="B370" s="27" t="str">
        <x:v>stiro finale</x:v>
      </x:c>
      <x:c r="C370" s="27" t="str">
        <x:v>finishing</x:v>
      </x:c>
      <x:c r="D370" s="27" t="n">
        <x:v>9</x:v>
      </x:c>
      <x:c r="E370" s="27" t="n">
        <x:v>4</x:v>
      </x:c>
      <x:c r="F370" s="27" t="n">
        <x:v>2</x:v>
      </x:c>
      <x:c r="G370" s="36" t="n">
        <x:f>E370*8*60*H370*I370</x:f>
        <x:v>1499.904</x:v>
      </x:c>
      <x:c r="H370" s="32" t="n">
        <x:v>0.84</x:v>
      </x:c>
      <x:c r="I370" s="32" t="n">
        <x:v>0.93</x:v>
      </x:c>
      <x:c r="J370" s="27" t="str">
        <x:f>IF(G370&lt;650,"WATCH","OK")</x:f>
        <x:v>OK</x:v>
      </x:c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</x:row>
    <x:row r="371">
      <x:c r="A371" s="27" t="str">
        <x:v>L10</x:v>
      </x:c>
      <x:c r="B371" s="27" t="str">
        <x:v>stiro intermedio</x:v>
      </x:c>
      <x:c r="C371" s="27" t="str">
        <x:v>finishing</x:v>
      </x:c>
      <x:c r="D371" s="27" t="n">
        <x:v>10</x:v>
      </x:c>
      <x:c r="E371" s="27" t="n">
        <x:v>5</x:v>
      </x:c>
      <x:c r="F371" s="27" t="n">
        <x:v>3</x:v>
      </x:c>
      <x:c r="G371" s="36" t="n">
        <x:f>E371*8*60*H371*I371</x:f>
        <x:v>1874.88</x:v>
      </x:c>
      <x:c r="H371" s="32" t="n">
        <x:v>0.84</x:v>
      </x:c>
      <x:c r="I371" s="32" t="n">
        <x:v>0.93</x:v>
      </x:c>
      <x:c r="J371" s="27" t="str">
        <x:f>IF(G371&lt;650,"WATCH","OK")</x:f>
        <x:v>OK</x:v>
      </x:c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</x:row>
    <x:row r="372">
      <x:c r="A372" s="27" t="str">
        <x:v>L10</x:v>
      </x:c>
      <x:c r="B372" s="27" t="str">
        <x:v>stiro/packing</x:v>
      </x:c>
      <x:c r="C372" s="27" t="str">
        <x:v>finishing</x:v>
      </x:c>
      <x:c r="D372" s="27" t="n">
        <x:v>6</x:v>
      </x:c>
      <x:c r="E372" s="27" t="n">
        <x:v>6</x:v>
      </x:c>
      <x:c r="F372" s="27" t="n">
        <x:v>4</x:v>
      </x:c>
      <x:c r="G372" s="36" t="n">
        <x:f>E372*8*60*H372*I372</x:f>
        <x:v>2249.8559999999998</x:v>
      </x:c>
      <x:c r="H372" s="32" t="n">
        <x:v>0.84</x:v>
      </x:c>
      <x:c r="I372" s="32" t="n">
        <x:v>0.93</x:v>
      </x:c>
      <x:c r="J372" s="27" t="str">
        <x:f>IF(G372&lt;650,"WATCH","OK")</x:f>
        <x:v>OK</x:v>
      </x:c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</x:row>
    <x:row r="373">
      <x:c r="A373" s="27" t="str">
        <x:v>L10</x:v>
      </x:c>
      <x:c r="B373" s="27" t="str">
        <x:v>taglio tessuto</x:v>
      </x:c>
      <x:c r="C373" s="27" t="str">
        <x:v>cutting</x:v>
      </x:c>
      <x:c r="D373" s="27" t="n">
        <x:v>8</x:v>
      </x:c>
      <x:c r="E373" s="27" t="n">
        <x:v>6</x:v>
      </x:c>
      <x:c r="F373" s="27" t="n">
        <x:v>4</x:v>
      </x:c>
      <x:c r="G373" s="36" t="n">
        <x:f>E373*8*60*H373*I373</x:f>
        <x:v>2249.8559999999998</x:v>
      </x:c>
      <x:c r="H373" s="32" t="n">
        <x:v>0.84</x:v>
      </x:c>
      <x:c r="I373" s="32" t="n">
        <x:v>0.93</x:v>
      </x:c>
      <x:c r="J373" s="27" t="str">
        <x:f>IF(G373&lt;650,"WATCH","OK")</x:f>
        <x:v>OK</x:v>
      </x:c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</x:row>
    <x:row r="374">
      <x:c r="A374" s="27" t="str">
        <x:v>L10</x:v>
      </x:c>
      <x:c r="B374" s="27" t="str">
        <x:v>tasche</x:v>
      </x:c>
      <x:c r="C374" s="27" t="str">
        <x:v>sewing</x:v>
      </x:c>
      <x:c r="D374" s="27" t="n">
        <x:v>8</x:v>
      </x:c>
      <x:c r="E374" s="27" t="n">
        <x:v>5</x:v>
      </x:c>
      <x:c r="F374" s="27" t="n">
        <x:v>4</x:v>
      </x:c>
      <x:c r="G374" s="36" t="n">
        <x:f>E374*8*60*H374*I374</x:f>
        <x:v>1874.88</x:v>
      </x:c>
      <x:c r="H374" s="32" t="n">
        <x:v>0.84</x:v>
      </x:c>
      <x:c r="I374" s="32" t="n">
        <x:v>0.93</x:v>
      </x:c>
      <x:c r="J374" s="27" t="str">
        <x:f>IF(G374&lt;650,"WATCH","OK")</x:f>
        <x:v>OK</x:v>
      </x:c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</x:row>
  </x:sheetData>
  <x:conditionalFormatting sqref="J2:J374">
    <x:cfRule type="expression" dxfId="2" priority="1">
      <x:formula>J2="Potential bottleneck"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0c265c450a4dc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9.6899995803833" hidden="0" customWidth="1"/>
    <x:col min="3" max="3" width="24" hidden="0" customWidth="1"/>
    <x:col min="4" max="4" width="14" hidden="0" customWidth="1"/>
    <x:col min="5" max="5" width="12.25" hidden="0" customWidth="1"/>
    <x:col min="6" max="6" width="11.710000038146973" hidden="0" customWidth="1"/>
    <x:col min="7" max="7" width="7.539999961853027" hidden="0" customWidth="1"/>
    <x:col min="8" max="8" width="12.789999961853027" hidden="0" customWidth="1"/>
  </x:cols>
  <x:sheetData>
    <x:row r="1" ht="28" customHeight="1">
      <x:c r="A1" s="26" t="str">
        <x:v>tna_id</x:v>
      </x:c>
      <x:c r="B1" s="26" t="str">
        <x:v>order_id</x:v>
      </x:c>
      <x:c r="C1" s="26" t="str">
        <x:v>milestone</x:v>
      </x:c>
      <x:c r="D1" s="26" t="str">
        <x:v>planned_date</x:v>
      </x:c>
      <x:c r="E1" s="26" t="str">
        <x:v>actual_date</x:v>
      </x:c>
      <x:c r="F1" s="26" t="str">
        <x:v>delay_days</x:v>
      </x:c>
      <x:c r="G1" s="26" t="str">
        <x:v>status</x:v>
      </x:c>
      <x:c r="H1" s="26" t="str">
        <x:v>critical_path</x:v>
      </x:c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</x:row>
    <x:row r="2">
      <x:c r="A2" s="27" t="str">
        <x:v>TNA-001-01</x:v>
      </x:c>
      <x:c r="B2" s="27" t="str">
        <x:v>ORD-1010</x:v>
      </x:c>
      <x:c r="C2" s="27" t="str">
        <x:v>tech pack freeze</x:v>
      </x:c>
      <x:c r="D2" s="30" t="n">
        <x:v>46151</x:v>
      </x:c>
      <x:c r="E2" s="30" t="n">
        <x:v>46151</x:v>
      </x:c>
      <x:c r="F2" s="34" t="n">
        <x:f>IF(E2="","",E2-D2)</x:f>
        <x:v>0</x:v>
      </x:c>
      <x:c r="G2" s="27" t="str">
        <x:v>Done</x:v>
      </x:c>
      <x:c r="H2" s="27" t="str">
        <x:v>No</x:v>
      </x:c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</x:row>
    <x:row r="3">
      <x:c r="A3" s="27" t="str">
        <x:v>TNA-001-02</x:v>
      </x:c>
      <x:c r="B3" s="27" t="str">
        <x:v>ORD-1010</x:v>
      </x:c>
      <x:c r="C3" s="27" t="str">
        <x:v>line booking</x:v>
      </x:c>
      <x:c r="D3" s="30" t="n">
        <x:v>46155</x:v>
      </x:c>
      <x:c r="E3" s="30" t="n">
        <x:v>46155</x:v>
      </x:c>
      <x:c r="F3" s="34" t="n">
        <x:f>IF(E3="","",E3-D3)</x:f>
        <x:v>0</x:v>
      </x:c>
      <x:c r="G3" s="27" t="str">
        <x:v>Done</x:v>
      </x:c>
      <x:c r="H3" s="27" t="str">
        <x:v>No</x:v>
      </x:c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</x:row>
    <x:row r="4">
      <x:c r="A4" s="27" t="str">
        <x:v>TNA-001-03</x:v>
      </x:c>
      <x:c r="B4" s="27" t="str">
        <x:v>ORD-1010</x:v>
      </x:c>
      <x:c r="C4" s="27" t="str">
        <x:v>fabric/trim confirmation</x:v>
      </x:c>
      <x:c r="D4" s="30" t="n">
        <x:v>46159</x:v>
      </x:c>
      <x:c r="E4" s="30" t="n">
        <x:v>46159</x:v>
      </x:c>
      <x:c r="F4" s="34" t="n">
        <x:f>IF(E4="","",E4-D4)</x:f>
        <x:v>0</x:v>
      </x:c>
      <x:c r="G4" s="27" t="str">
        <x:v>Done</x:v>
      </x:c>
      <x:c r="H4" s="27" t="str">
        <x:v>No</x:v>
      </x:c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</x:row>
    <x:row r="5">
      <x:c r="A5" s="27" t="str">
        <x:v>TNA-001-04</x:v>
      </x:c>
      <x:c r="B5" s="27" t="str">
        <x:v>ORD-1010</x:v>
      </x:c>
      <x:c r="C5" s="27" t="str">
        <x:v>fit sample sent</x:v>
      </x:c>
      <x:c r="D5" s="30" t="n">
        <x:v>46163</x:v>
      </x:c>
      <x:c r="E5" s="30" t="n">
        <x:v>46162</x:v>
      </x:c>
      <x:c r="F5" s="34" t="n">
        <x:f>IF(E5="","",E5-D5)</x:f>
        <x:v>-1</x:v>
      </x:c>
      <x:c r="G5" s="27" t="str">
        <x:v>Done</x:v>
      </x:c>
      <x:c r="H5" s="27" t="str">
        <x:v>No</x:v>
      </x:c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</x:row>
    <x:row r="6">
      <x:c r="A6" s="27" t="str">
        <x:v>TNA-001-05</x:v>
      </x:c>
      <x:c r="B6" s="27" t="str">
        <x:v>ORD-1010</x:v>
      </x:c>
      <x:c r="C6" s="27" t="str">
        <x:v>fit approval</x:v>
      </x:c>
      <x:c r="D6" s="30" t="n">
        <x:v>46167</x:v>
      </x:c>
      <x:c r="E6" s="30" t="n">
        <x:v>46167</x:v>
      </x:c>
      <x:c r="F6" s="34" t="n">
        <x:f>IF(E6="","",E6-D6)</x:f>
        <x:v>0</x:v>
      </x:c>
      <x:c r="G6" s="27" t="str">
        <x:v>Done</x:v>
      </x:c>
      <x:c r="H6" s="27" t="str">
        <x:v>No</x:v>
      </x:c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</x:row>
    <x:row r="7">
      <x:c r="A7" s="27" t="str">
        <x:v>TNA-001-06</x:v>
      </x:c>
      <x:c r="B7" s="27" t="str">
        <x:v>ORD-1010</x:v>
      </x:c>
      <x:c r="C7" s="27" t="str">
        <x:v>size set sample</x:v>
      </x:c>
      <x:c r="D7" s="30" t="n">
        <x:v>46171</x:v>
      </x:c>
      <x:c r="E7" s="30"/>
      <x:c r="F7" s="34" t="str">
        <x:f>IF(E7="","",E7-D7)</x:f>
      </x:c>
      <x:c r="G7" s="27" t="str">
        <x:v>Open</x:v>
      </x:c>
      <x:c r="H7" s="27" t="str">
        <x:v>No</x:v>
      </x:c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</x:row>
    <x:row r="8">
      <x:c r="A8" s="27" t="str">
        <x:v>TNA-001-07</x:v>
      </x:c>
      <x:c r="B8" s="27" t="str">
        <x:v>ORD-1010</x:v>
      </x:c>
      <x:c r="C8" s="27" t="str">
        <x:v>PP sample approval</x:v>
      </x:c>
      <x:c r="D8" s="30" t="n">
        <x:v>46175</x:v>
      </x:c>
      <x:c r="E8" s="30"/>
      <x:c r="F8" s="34" t="str">
        <x:f>IF(E8="","",E8-D8)</x:f>
      </x:c>
      <x:c r="G8" s="27" t="str">
        <x:v>Open</x:v>
      </x:c>
      <x:c r="H8" s="27" t="str">
        <x:v>Yes</x:v>
      </x:c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</x:row>
    <x:row r="9">
      <x:c r="A9" s="27" t="str">
        <x:v>TNA-001-08</x:v>
      </x:c>
      <x:c r="B9" s="27" t="str">
        <x:v>ORD-1010</x:v>
      </x:c>
      <x:c r="C9" s="27" t="str">
        <x:v>cutting start</x:v>
      </x:c>
      <x:c r="D9" s="30" t="n">
        <x:v>46181</x:v>
      </x:c>
      <x:c r="E9" s="30"/>
      <x:c r="F9" s="34" t="str">
        <x:f>IF(E9="","",E9-D9)</x:f>
      </x:c>
      <x:c r="G9" s="27" t="str">
        <x:v>Open</x:v>
      </x:c>
      <x:c r="H9" s="27" t="str">
        <x:v>Yes</x:v>
      </x:c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</x:row>
    <x:row r="10">
      <x:c r="A10" s="27" t="str">
        <x:v>TNA-001-09</x:v>
      </x:c>
      <x:c r="B10" s="27" t="str">
        <x:v>ORD-1010</x:v>
      </x:c>
      <x:c r="C10" s="27" t="str">
        <x:v>sewing start</x:v>
      </x:c>
      <x:c r="D10" s="30" t="n">
        <x:v>46184</x:v>
      </x:c>
      <x:c r="E10" s="30"/>
      <x:c r="F10" s="34" t="str">
        <x:f>IF(E10="","",E10-D10)</x:f>
      </x:c>
      <x:c r="G10" s="27" t="str">
        <x:v>Open</x:v>
      </x:c>
      <x:c r="H10" s="27" t="str">
        <x:v>Yes</x:v>
      </x:c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</x:row>
    <x:row r="11">
      <x:c r="A11" s="27" t="str">
        <x:v>TNA-001-10</x:v>
      </x:c>
      <x:c r="B11" s="27" t="str">
        <x:v>ORD-1010</x:v>
      </x:c>
      <x:c r="C11" s="27" t="str">
        <x:v>final QC</x:v>
      </x:c>
      <x:c r="D11" s="30" t="n">
        <x:v>46194</x:v>
      </x:c>
      <x:c r="E11" s="30"/>
      <x:c r="F11" s="34" t="str">
        <x:f>IF(E11="","",E11-D11)</x:f>
      </x:c>
      <x:c r="G11" s="27" t="str">
        <x:v>Open</x:v>
      </x:c>
      <x:c r="H11" s="27" t="str">
        <x:v>Yes</x:v>
      </x:c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</x:row>
    <x:row r="12">
      <x:c r="A12" s="27" t="str">
        <x:v>TNA-001-11</x:v>
      </x:c>
      <x:c r="B12" s="27" t="str">
        <x:v>ORD-1010</x:v>
      </x:c>
      <x:c r="C12" s="27" t="str">
        <x:v>ex-factory handover</x:v>
      </x:c>
      <x:c r="D12" s="30" t="n">
        <x:v>46197</x:v>
      </x:c>
      <x:c r="E12" s="30"/>
      <x:c r="F12" s="34" t="str">
        <x:f>IF(E12="","",E12-D12)</x:f>
      </x:c>
      <x:c r="G12" s="27" t="str">
        <x:v>Open</x:v>
      </x:c>
      <x:c r="H12" s="27" t="str">
        <x:v>Yes</x:v>
      </x:c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</x:row>
    <x:row r="13">
      <x:c r="A13" s="27" t="str">
        <x:v>TNA-002-01</x:v>
      </x:c>
      <x:c r="B13" s="27" t="str">
        <x:v>ORD-1011</x:v>
      </x:c>
      <x:c r="C13" s="27" t="str">
        <x:v>tech pack freeze</x:v>
      </x:c>
      <x:c r="D13" s="30" t="n">
        <x:v>46153</x:v>
      </x:c>
      <x:c r="E13" s="30" t="n">
        <x:v>46152</x:v>
      </x:c>
      <x:c r="F13" s="34" t="n">
        <x:f>IF(E13="","",E13-D13)</x:f>
        <x:v>-1</x:v>
      </x:c>
      <x:c r="G13" s="27" t="str">
        <x:v>Done</x:v>
      </x:c>
      <x:c r="H13" s="27" t="str">
        <x:v>No</x:v>
      </x:c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</x:row>
    <x:row r="14">
      <x:c r="A14" s="27" t="str">
        <x:v>TNA-002-02</x:v>
      </x:c>
      <x:c r="B14" s="27" t="str">
        <x:v>ORD-1011</x:v>
      </x:c>
      <x:c r="C14" s="27" t="str">
        <x:v>line booking</x:v>
      </x:c>
      <x:c r="D14" s="30" t="n">
        <x:v>46157</x:v>
      </x:c>
      <x:c r="E14" s="30" t="n">
        <x:v>46157</x:v>
      </x:c>
      <x:c r="F14" s="34" t="n">
        <x:f>IF(E14="","",E14-D14)</x:f>
        <x:v>0</x:v>
      </x:c>
      <x:c r="G14" s="27" t="str">
        <x:v>Done</x:v>
      </x:c>
      <x:c r="H14" s="27" t="str">
        <x:v>No</x:v>
      </x:c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</x:row>
    <x:row r="15">
      <x:c r="A15" s="27" t="str">
        <x:v>TNA-002-03</x:v>
      </x:c>
      <x:c r="B15" s="27" t="str">
        <x:v>ORD-1011</x:v>
      </x:c>
      <x:c r="C15" s="27" t="str">
        <x:v>fabric/trim confirmation</x:v>
      </x:c>
      <x:c r="D15" s="30" t="n">
        <x:v>46161</x:v>
      </x:c>
      <x:c r="E15" s="30" t="n">
        <x:v>46161</x:v>
      </x:c>
      <x:c r="F15" s="34" t="n">
        <x:f>IF(E15="","",E15-D15)</x:f>
        <x:v>0</x:v>
      </x:c>
      <x:c r="G15" s="27" t="str">
        <x:v>Done</x:v>
      </x:c>
      <x:c r="H15" s="27" t="str">
        <x:v>No</x:v>
      </x:c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</x:row>
    <x:row r="16">
      <x:c r="A16" s="27" t="str">
        <x:v>TNA-002-04</x:v>
      </x:c>
      <x:c r="B16" s="27" t="str">
        <x:v>ORD-1011</x:v>
      </x:c>
      <x:c r="C16" s="27" t="str">
        <x:v>fit sample sent</x:v>
      </x:c>
      <x:c r="D16" s="30" t="n">
        <x:v>46165</x:v>
      </x:c>
      <x:c r="E16" s="30" t="n">
        <x:v>46165</x:v>
      </x:c>
      <x:c r="F16" s="34" t="n">
        <x:f>IF(E16="","",E16-D16)</x:f>
        <x:v>0</x:v>
      </x:c>
      <x:c r="G16" s="27" t="str">
        <x:v>Done</x:v>
      </x:c>
      <x:c r="H16" s="27" t="str">
        <x:v>No</x:v>
      </x:c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</x:row>
    <x:row r="17">
      <x:c r="A17" s="27" t="str">
        <x:v>TNA-002-05</x:v>
      </x:c>
      <x:c r="B17" s="27" t="str">
        <x:v>ORD-1011</x:v>
      </x:c>
      <x:c r="C17" s="27" t="str">
        <x:v>fit approval</x:v>
      </x:c>
      <x:c r="D17" s="30" t="n">
        <x:v>46169</x:v>
      </x:c>
      <x:c r="E17" s="30" t="n">
        <x:v>46168</x:v>
      </x:c>
      <x:c r="F17" s="34" t="n">
        <x:f>IF(E17="","",E17-D17)</x:f>
        <x:v>-1</x:v>
      </x:c>
      <x:c r="G17" s="27" t="str">
        <x:v>Done</x:v>
      </x:c>
      <x:c r="H17" s="27" t="str">
        <x:v>No</x:v>
      </x:c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</x:row>
    <x:row r="18">
      <x:c r="A18" s="27" t="str">
        <x:v>TNA-002-06</x:v>
      </x:c>
      <x:c r="B18" s="27" t="str">
        <x:v>ORD-1011</x:v>
      </x:c>
      <x:c r="C18" s="27" t="str">
        <x:v>size set sample</x:v>
      </x:c>
      <x:c r="D18" s="30" t="n">
        <x:v>46173</x:v>
      </x:c>
      <x:c r="E18" s="30"/>
      <x:c r="F18" s="34" t="str">
        <x:f>IF(E18="","",E18-D18)</x:f>
      </x:c>
      <x:c r="G18" s="27" t="str">
        <x:v>Open</x:v>
      </x:c>
      <x:c r="H18" s="27" t="str">
        <x:v>No</x:v>
      </x:c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</x:row>
    <x:row r="19">
      <x:c r="A19" s="27" t="str">
        <x:v>TNA-002-07</x:v>
      </x:c>
      <x:c r="B19" s="27" t="str">
        <x:v>ORD-1011</x:v>
      </x:c>
      <x:c r="C19" s="27" t="str">
        <x:v>PP sample approval</x:v>
      </x:c>
      <x:c r="D19" s="30" t="n">
        <x:v>46177</x:v>
      </x:c>
      <x:c r="E19" s="30"/>
      <x:c r="F19" s="34" t="str">
        <x:f>IF(E19="","",E19-D19)</x:f>
      </x:c>
      <x:c r="G19" s="27" t="str">
        <x:v>Open</x:v>
      </x:c>
      <x:c r="H19" s="27" t="str">
        <x:v>Yes</x:v>
      </x:c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</x:row>
    <x:row r="20">
      <x:c r="A20" s="27" t="str">
        <x:v>TNA-002-08</x:v>
      </x:c>
      <x:c r="B20" s="27" t="str">
        <x:v>ORD-1011</x:v>
      </x:c>
      <x:c r="C20" s="27" t="str">
        <x:v>cutting start</x:v>
      </x:c>
      <x:c r="D20" s="30" t="n">
        <x:v>46183</x:v>
      </x:c>
      <x:c r="E20" s="30"/>
      <x:c r="F20" s="34" t="str">
        <x:f>IF(E20="","",E20-D20)</x:f>
      </x:c>
      <x:c r="G20" s="27" t="str">
        <x:v>Open</x:v>
      </x:c>
      <x:c r="H20" s="27" t="str">
        <x:v>Yes</x:v>
      </x:c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</x:row>
    <x:row r="21">
      <x:c r="A21" s="27" t="str">
        <x:v>TNA-002-09</x:v>
      </x:c>
      <x:c r="B21" s="27" t="str">
        <x:v>ORD-1011</x:v>
      </x:c>
      <x:c r="C21" s="27" t="str">
        <x:v>sewing start</x:v>
      </x:c>
      <x:c r="D21" s="30" t="n">
        <x:v>46186</x:v>
      </x:c>
      <x:c r="E21" s="30"/>
      <x:c r="F21" s="34" t="str">
        <x:f>IF(E21="","",E21-D21)</x:f>
      </x:c>
      <x:c r="G21" s="27" t="str">
        <x:v>Open</x:v>
      </x:c>
      <x:c r="H21" s="27" t="str">
        <x:v>Yes</x:v>
      </x:c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</x:row>
    <x:row r="22">
      <x:c r="A22" s="27" t="str">
        <x:v>TNA-002-10</x:v>
      </x:c>
      <x:c r="B22" s="27" t="str">
        <x:v>ORD-1011</x:v>
      </x:c>
      <x:c r="C22" s="27" t="str">
        <x:v>final QC</x:v>
      </x:c>
      <x:c r="D22" s="30" t="n">
        <x:v>46198</x:v>
      </x:c>
      <x:c r="E22" s="30"/>
      <x:c r="F22" s="34" t="str">
        <x:f>IF(E22="","",E22-D22)</x:f>
      </x:c>
      <x:c r="G22" s="27" t="str">
        <x:v>Open</x:v>
      </x:c>
      <x:c r="H22" s="27" t="str">
        <x:v>Yes</x:v>
      </x:c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</x:row>
    <x:row r="23">
      <x:c r="A23" s="27" t="str">
        <x:v>TNA-002-11</x:v>
      </x:c>
      <x:c r="B23" s="27" t="str">
        <x:v>ORD-1011</x:v>
      </x:c>
      <x:c r="C23" s="27" t="str">
        <x:v>ex-factory handover</x:v>
      </x:c>
      <x:c r="D23" s="30" t="n">
        <x:v>46201</x:v>
      </x:c>
      <x:c r="E23" s="30"/>
      <x:c r="F23" s="34" t="str">
        <x:f>IF(E23="","",E23-D23)</x:f>
      </x:c>
      <x:c r="G23" s="27" t="str">
        <x:v>Open</x:v>
      </x:c>
      <x:c r="H23" s="27" t="str">
        <x:v>Yes</x:v>
      </x:c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</x:row>
    <x:row r="24">
      <x:c r="A24" s="27" t="str">
        <x:v>TNA-003-01</x:v>
      </x:c>
      <x:c r="B24" s="27" t="str">
        <x:v>ORD-1012</x:v>
      </x:c>
      <x:c r="C24" s="27" t="str">
        <x:v>tech pack freeze</x:v>
      </x:c>
      <x:c r="D24" s="30" t="n">
        <x:v>46155</x:v>
      </x:c>
      <x:c r="E24" s="30" t="n">
        <x:v>46155</x:v>
      </x:c>
      <x:c r="F24" s="34" t="n">
        <x:f>IF(E24="","",E24-D24)</x:f>
        <x:v>0</x:v>
      </x:c>
      <x:c r="G24" s="27" t="str">
        <x:v>Done</x:v>
      </x:c>
      <x:c r="H24" s="27" t="str">
        <x:v>No</x:v>
      </x:c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</x:row>
    <x:row r="25">
      <x:c r="A25" s="27" t="str">
        <x:v>TNA-003-02</x:v>
      </x:c>
      <x:c r="B25" s="27" t="str">
        <x:v>ORD-1012</x:v>
      </x:c>
      <x:c r="C25" s="27" t="str">
        <x:v>line booking</x:v>
      </x:c>
      <x:c r="D25" s="30" t="n">
        <x:v>46159</x:v>
      </x:c>
      <x:c r="E25" s="30" t="n">
        <x:v>46158</x:v>
      </x:c>
      <x:c r="F25" s="34" t="n">
        <x:f>IF(E25="","",E25-D25)</x:f>
        <x:v>-1</x:v>
      </x:c>
      <x:c r="G25" s="27" t="str">
        <x:v>Done</x:v>
      </x:c>
      <x:c r="H25" s="27" t="str">
        <x:v>No</x:v>
      </x:c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</x:row>
    <x:row r="26">
      <x:c r="A26" s="27" t="str">
        <x:v>TNA-003-03</x:v>
      </x:c>
      <x:c r="B26" s="27" t="str">
        <x:v>ORD-1012</x:v>
      </x:c>
      <x:c r="C26" s="27" t="str">
        <x:v>fabric/trim confirmation</x:v>
      </x:c>
      <x:c r="D26" s="30" t="n">
        <x:v>46163</x:v>
      </x:c>
      <x:c r="E26" s="30" t="n">
        <x:v>46163</x:v>
      </x:c>
      <x:c r="F26" s="34" t="n">
        <x:f>IF(E26="","",E26-D26)</x:f>
        <x:v>0</x:v>
      </x:c>
      <x:c r="G26" s="27" t="str">
        <x:v>Done</x:v>
      </x:c>
      <x:c r="H26" s="27" t="str">
        <x:v>No</x:v>
      </x:c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</x:row>
    <x:row r="27">
      <x:c r="A27" s="27" t="str">
        <x:v>TNA-003-04</x:v>
      </x:c>
      <x:c r="B27" s="27" t="str">
        <x:v>ORD-1012</x:v>
      </x:c>
      <x:c r="C27" s="27" t="str">
        <x:v>fit sample sent</x:v>
      </x:c>
      <x:c r="D27" s="30" t="n">
        <x:v>46167</x:v>
      </x:c>
      <x:c r="E27" s="30" t="n">
        <x:v>46167</x:v>
      </x:c>
      <x:c r="F27" s="34" t="n">
        <x:f>IF(E27="","",E27-D27)</x:f>
        <x:v>0</x:v>
      </x:c>
      <x:c r="G27" s="27" t="str">
        <x:v>Done</x:v>
      </x:c>
      <x:c r="H27" s="27" t="str">
        <x:v>No</x:v>
      </x:c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</x:row>
    <x:row r="28">
      <x:c r="A28" s="27" t="str">
        <x:v>TNA-003-05</x:v>
      </x:c>
      <x:c r="B28" s="27" t="str">
        <x:v>ORD-1012</x:v>
      </x:c>
      <x:c r="C28" s="27" t="str">
        <x:v>fit approval</x:v>
      </x:c>
      <x:c r="D28" s="30" t="n">
        <x:v>46171</x:v>
      </x:c>
      <x:c r="E28" s="30"/>
      <x:c r="F28" s="34" t="str">
        <x:f>IF(E28="","",E28-D28)</x:f>
      </x:c>
      <x:c r="G28" s="27" t="str">
        <x:v>Open</x:v>
      </x:c>
      <x:c r="H28" s="27" t="str">
        <x:v>No</x:v>
      </x:c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</x:row>
    <x:row r="29">
      <x:c r="A29" s="27" t="str">
        <x:v>TNA-003-06</x:v>
      </x:c>
      <x:c r="B29" s="27" t="str">
        <x:v>ORD-1012</x:v>
      </x:c>
      <x:c r="C29" s="27" t="str">
        <x:v>size set sample</x:v>
      </x:c>
      <x:c r="D29" s="30" t="n">
        <x:v>46175</x:v>
      </x:c>
      <x:c r="E29" s="30"/>
      <x:c r="F29" s="34" t="str">
        <x:f>IF(E29="","",E29-D29)</x:f>
      </x:c>
      <x:c r="G29" s="27" t="str">
        <x:v>Open</x:v>
      </x:c>
      <x:c r="H29" s="27" t="str">
        <x:v>No</x:v>
      </x:c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</x:row>
    <x:row r="30">
      <x:c r="A30" s="27" t="str">
        <x:v>TNA-003-07</x:v>
      </x:c>
      <x:c r="B30" s="27" t="str">
        <x:v>ORD-1012</x:v>
      </x:c>
      <x:c r="C30" s="27" t="str">
        <x:v>PP sample approval</x:v>
      </x:c>
      <x:c r="D30" s="30" t="n">
        <x:v>46179</x:v>
      </x:c>
      <x:c r="E30" s="30"/>
      <x:c r="F30" s="34" t="str">
        <x:f>IF(E30="","",E30-D30)</x:f>
      </x:c>
      <x:c r="G30" s="27" t="str">
        <x:v>Open</x:v>
      </x:c>
      <x:c r="H30" s="27" t="str">
        <x:v>Yes</x:v>
      </x:c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</x:row>
    <x:row r="31">
      <x:c r="A31" s="27" t="str">
        <x:v>TNA-003-08</x:v>
      </x:c>
      <x:c r="B31" s="27" t="str">
        <x:v>ORD-1012</x:v>
      </x:c>
      <x:c r="C31" s="27" t="str">
        <x:v>cutting start</x:v>
      </x:c>
      <x:c r="D31" s="30" t="n">
        <x:v>46185</x:v>
      </x:c>
      <x:c r="E31" s="30"/>
      <x:c r="F31" s="34" t="str">
        <x:f>IF(E31="","",E31-D31)</x:f>
      </x:c>
      <x:c r="G31" s="27" t="str">
        <x:v>Open</x:v>
      </x:c>
      <x:c r="H31" s="27" t="str">
        <x:v>Yes</x:v>
      </x:c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</x:row>
    <x:row r="32">
      <x:c r="A32" s="27" t="str">
        <x:v>TNA-003-09</x:v>
      </x:c>
      <x:c r="B32" s="27" t="str">
        <x:v>ORD-1012</x:v>
      </x:c>
      <x:c r="C32" s="27" t="str">
        <x:v>sewing start</x:v>
      </x:c>
      <x:c r="D32" s="30" t="n">
        <x:v>46188</x:v>
      </x:c>
      <x:c r="E32" s="30"/>
      <x:c r="F32" s="34" t="str">
        <x:f>IF(E32="","",E32-D32)</x:f>
      </x:c>
      <x:c r="G32" s="27" t="str">
        <x:v>Open</x:v>
      </x:c>
      <x:c r="H32" s="27" t="str">
        <x:v>Yes</x:v>
      </x:c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</x:row>
    <x:row r="33">
      <x:c r="A33" s="27" t="str">
        <x:v>TNA-003-10</x:v>
      </x:c>
      <x:c r="B33" s="27" t="str">
        <x:v>ORD-1012</x:v>
      </x:c>
      <x:c r="C33" s="27" t="str">
        <x:v>final QC</x:v>
      </x:c>
      <x:c r="D33" s="30" t="n">
        <x:v>46209</x:v>
      </x:c>
      <x:c r="E33" s="30"/>
      <x:c r="F33" s="34" t="str">
        <x:f>IF(E33="","",E33-D33)</x:f>
      </x:c>
      <x:c r="G33" s="27" t="str">
        <x:v>Open</x:v>
      </x:c>
      <x:c r="H33" s="27" t="str">
        <x:v>Yes</x:v>
      </x:c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</x:row>
    <x:row r="34">
      <x:c r="A34" s="27" t="str">
        <x:v>TNA-003-11</x:v>
      </x:c>
      <x:c r="B34" s="27" t="str">
        <x:v>ORD-1012</x:v>
      </x:c>
      <x:c r="C34" s="27" t="str">
        <x:v>ex-factory handover</x:v>
      </x:c>
      <x:c r="D34" s="30" t="n">
        <x:v>46212</x:v>
      </x:c>
      <x:c r="E34" s="30"/>
      <x:c r="F34" s="34" t="str">
        <x:f>IF(E34="","",E34-D34)</x:f>
      </x:c>
      <x:c r="G34" s="27" t="str">
        <x:v>Open</x:v>
      </x:c>
      <x:c r="H34" s="27" t="str">
        <x:v>Yes</x:v>
      </x:c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</x:row>
    <x:row r="35">
      <x:c r="A35" s="27" t="str">
        <x:v>TNA-004-01</x:v>
      </x:c>
      <x:c r="B35" s="27" t="str">
        <x:v>ORD-1013</x:v>
      </x:c>
      <x:c r="C35" s="27" t="str">
        <x:v>tech pack freeze</x:v>
      </x:c>
      <x:c r="D35" s="30" t="n">
        <x:v>46157</x:v>
      </x:c>
      <x:c r="E35" s="30" t="n">
        <x:v>46157</x:v>
      </x:c>
      <x:c r="F35" s="34" t="n">
        <x:f>IF(E35="","",E35-D35)</x:f>
        <x:v>0</x:v>
      </x:c>
      <x:c r="G35" s="27" t="str">
        <x:v>Done</x:v>
      </x:c>
      <x:c r="H35" s="27" t="str">
        <x:v>No</x:v>
      </x:c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</x:row>
    <x:row r="36">
      <x:c r="A36" s="27" t="str">
        <x:v>TNA-004-02</x:v>
      </x:c>
      <x:c r="B36" s="27" t="str">
        <x:v>ORD-1013</x:v>
      </x:c>
      <x:c r="C36" s="27" t="str">
        <x:v>line booking</x:v>
      </x:c>
      <x:c r="D36" s="30" t="n">
        <x:v>46161</x:v>
      </x:c>
      <x:c r="E36" s="30" t="n">
        <x:v>46161</x:v>
      </x:c>
      <x:c r="F36" s="34" t="n">
        <x:f>IF(E36="","",E36-D36)</x:f>
        <x:v>0</x:v>
      </x:c>
      <x:c r="G36" s="27" t="str">
        <x:v>Done</x:v>
      </x:c>
      <x:c r="H36" s="27" t="str">
        <x:v>No</x:v>
      </x:c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</x:row>
    <x:row r="37">
      <x:c r="A37" s="27" t="str">
        <x:v>TNA-004-03</x:v>
      </x:c>
      <x:c r="B37" s="27" t="str">
        <x:v>ORD-1013</x:v>
      </x:c>
      <x:c r="C37" s="27" t="str">
        <x:v>fabric/trim confirmation</x:v>
      </x:c>
      <x:c r="D37" s="30" t="n">
        <x:v>46165</x:v>
      </x:c>
      <x:c r="E37" s="30" t="n">
        <x:v>46164</x:v>
      </x:c>
      <x:c r="F37" s="34" t="n">
        <x:f>IF(E37="","",E37-D37)</x:f>
        <x:v>-1</x:v>
      </x:c>
      <x:c r="G37" s="27" t="str">
        <x:v>Done</x:v>
      </x:c>
      <x:c r="H37" s="27" t="str">
        <x:v>No</x:v>
      </x:c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</x:row>
    <x:row r="38">
      <x:c r="A38" s="27" t="str">
        <x:v>TNA-004-04</x:v>
      </x:c>
      <x:c r="B38" s="27" t="str">
        <x:v>ORD-1013</x:v>
      </x:c>
      <x:c r="C38" s="27" t="str">
        <x:v>fit sample sent</x:v>
      </x:c>
      <x:c r="D38" s="30" t="n">
        <x:v>46169</x:v>
      </x:c>
      <x:c r="E38" s="30" t="n">
        <x:v>46169</x:v>
      </x:c>
      <x:c r="F38" s="34" t="n">
        <x:f>IF(E38="","",E38-D38)</x:f>
        <x:v>0</x:v>
      </x:c>
      <x:c r="G38" s="27" t="str">
        <x:v>Done</x:v>
      </x:c>
      <x:c r="H38" s="27" t="str">
        <x:v>No</x:v>
      </x:c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</x:row>
    <x:row r="39">
      <x:c r="A39" s="27" t="str">
        <x:v>TNA-004-05</x:v>
      </x:c>
      <x:c r="B39" s="27" t="str">
        <x:v>ORD-1013</x:v>
      </x:c>
      <x:c r="C39" s="27" t="str">
        <x:v>fit approval</x:v>
      </x:c>
      <x:c r="D39" s="30" t="n">
        <x:v>46173</x:v>
      </x:c>
      <x:c r="E39" s="30"/>
      <x:c r="F39" s="34" t="str">
        <x:f>IF(E39="","",E39-D39)</x:f>
      </x:c>
      <x:c r="G39" s="27" t="str">
        <x:v>Open</x:v>
      </x:c>
      <x:c r="H39" s="27" t="str">
        <x:v>No</x:v>
      </x:c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</x:row>
    <x:row r="40">
      <x:c r="A40" s="27" t="str">
        <x:v>TNA-004-06</x:v>
      </x:c>
      <x:c r="B40" s="27" t="str">
        <x:v>ORD-1013</x:v>
      </x:c>
      <x:c r="C40" s="27" t="str">
        <x:v>size set sample</x:v>
      </x:c>
      <x:c r="D40" s="30" t="n">
        <x:v>46177</x:v>
      </x:c>
      <x:c r="E40" s="30"/>
      <x:c r="F40" s="34" t="str">
        <x:f>IF(E40="","",E40-D40)</x:f>
      </x:c>
      <x:c r="G40" s="27" t="str">
        <x:v>Open</x:v>
      </x:c>
      <x:c r="H40" s="27" t="str">
        <x:v>No</x:v>
      </x:c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</x:row>
    <x:row r="41">
      <x:c r="A41" s="27" t="str">
        <x:v>TNA-004-07</x:v>
      </x:c>
      <x:c r="B41" s="27" t="str">
        <x:v>ORD-1013</x:v>
      </x:c>
      <x:c r="C41" s="27" t="str">
        <x:v>PP sample approval</x:v>
      </x:c>
      <x:c r="D41" s="30" t="n">
        <x:v>46181</x:v>
      </x:c>
      <x:c r="E41" s="30"/>
      <x:c r="F41" s="34" t="str">
        <x:f>IF(E41="","",E41-D41)</x:f>
      </x:c>
      <x:c r="G41" s="27" t="str">
        <x:v>Open</x:v>
      </x:c>
      <x:c r="H41" s="27" t="str">
        <x:v>Yes</x:v>
      </x:c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</x:row>
    <x:row r="42">
      <x:c r="A42" s="27" t="str">
        <x:v>TNA-004-08</x:v>
      </x:c>
      <x:c r="B42" s="27" t="str">
        <x:v>ORD-1013</x:v>
      </x:c>
      <x:c r="C42" s="27" t="str">
        <x:v>cutting start</x:v>
      </x:c>
      <x:c r="D42" s="30" t="n">
        <x:v>46187</x:v>
      </x:c>
      <x:c r="E42" s="30"/>
      <x:c r="F42" s="34" t="str">
        <x:f>IF(E42="","",E42-D42)</x:f>
      </x:c>
      <x:c r="G42" s="27" t="str">
        <x:v>Open</x:v>
      </x:c>
      <x:c r="H42" s="27" t="str">
        <x:v>Yes</x:v>
      </x:c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</x:row>
    <x:row r="43">
      <x:c r="A43" s="27" t="str">
        <x:v>TNA-004-09</x:v>
      </x:c>
      <x:c r="B43" s="27" t="str">
        <x:v>ORD-1013</x:v>
      </x:c>
      <x:c r="C43" s="27" t="str">
        <x:v>sewing start</x:v>
      </x:c>
      <x:c r="D43" s="30" t="n">
        <x:v>46190</x:v>
      </x:c>
      <x:c r="E43" s="30"/>
      <x:c r="F43" s="34" t="str">
        <x:f>IF(E43="","",E43-D43)</x:f>
      </x:c>
      <x:c r="G43" s="27" t="str">
        <x:v>Open</x:v>
      </x:c>
      <x:c r="H43" s="27" t="str">
        <x:v>Yes</x:v>
      </x:c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</x:row>
    <x:row r="44">
      <x:c r="A44" s="27" t="str">
        <x:v>TNA-004-10</x:v>
      </x:c>
      <x:c r="B44" s="27" t="str">
        <x:v>ORD-1013</x:v>
      </x:c>
      <x:c r="C44" s="27" t="str">
        <x:v>final QC</x:v>
      </x:c>
      <x:c r="D44" s="30" t="n">
        <x:v>46212</x:v>
      </x:c>
      <x:c r="E44" s="30"/>
      <x:c r="F44" s="34" t="str">
        <x:f>IF(E44="","",E44-D44)</x:f>
      </x:c>
      <x:c r="G44" s="27" t="str">
        <x:v>Open</x:v>
      </x:c>
      <x:c r="H44" s="27" t="str">
        <x:v>Yes</x:v>
      </x:c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</x:row>
    <x:row r="45">
      <x:c r="A45" s="27" t="str">
        <x:v>TNA-004-11</x:v>
      </x:c>
      <x:c r="B45" s="27" t="str">
        <x:v>ORD-1013</x:v>
      </x:c>
      <x:c r="C45" s="27" t="str">
        <x:v>ex-factory handover</x:v>
      </x:c>
      <x:c r="D45" s="30" t="n">
        <x:v>46215</x:v>
      </x:c>
      <x:c r="E45" s="30"/>
      <x:c r="F45" s="34" t="str">
        <x:f>IF(E45="","",E45-D45)</x:f>
      </x:c>
      <x:c r="G45" s="27" t="str">
        <x:v>Open</x:v>
      </x:c>
      <x:c r="H45" s="27" t="str">
        <x:v>Yes</x:v>
      </x:c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</x:row>
    <x:row r="46">
      <x:c r="A46" s="27" t="str">
        <x:v>TNA-005-01</x:v>
      </x:c>
      <x:c r="B46" s="27" t="str">
        <x:v>ORD-1014</x:v>
      </x:c>
      <x:c r="C46" s="27" t="str">
        <x:v>tech pack freeze</x:v>
      </x:c>
      <x:c r="D46" s="30" t="n">
        <x:v>46159</x:v>
      </x:c>
      <x:c r="E46" s="30" t="n">
        <x:v>46159</x:v>
      </x:c>
      <x:c r="F46" s="34" t="n">
        <x:f>IF(E46="","",E46-D46)</x:f>
        <x:v>0</x:v>
      </x:c>
      <x:c r="G46" s="27" t="str">
        <x:v>Done</x:v>
      </x:c>
      <x:c r="H46" s="27" t="str">
        <x:v>No</x:v>
      </x:c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</x:row>
    <x:row r="47">
      <x:c r="A47" s="27" t="str">
        <x:v>TNA-005-02</x:v>
      </x:c>
      <x:c r="B47" s="27" t="str">
        <x:v>ORD-1014</x:v>
      </x:c>
      <x:c r="C47" s="27" t="str">
        <x:v>line booking</x:v>
      </x:c>
      <x:c r="D47" s="30" t="n">
        <x:v>46163</x:v>
      </x:c>
      <x:c r="E47" s="30" t="n">
        <x:v>46163</x:v>
      </x:c>
      <x:c r="F47" s="34" t="n">
        <x:f>IF(E47="","",E47-D47)</x:f>
        <x:v>0</x:v>
      </x:c>
      <x:c r="G47" s="27" t="str">
        <x:v>Done</x:v>
      </x:c>
      <x:c r="H47" s="27" t="str">
        <x:v>No</x:v>
      </x:c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</x:row>
    <x:row r="48">
      <x:c r="A48" s="27" t="str">
        <x:v>TNA-005-03</x:v>
      </x:c>
      <x:c r="B48" s="27" t="str">
        <x:v>ORD-1014</x:v>
      </x:c>
      <x:c r="C48" s="27" t="str">
        <x:v>fabric/trim confirmation</x:v>
      </x:c>
      <x:c r="D48" s="30" t="n">
        <x:v>46167</x:v>
      </x:c>
      <x:c r="E48" s="30" t="n">
        <x:v>46167</x:v>
      </x:c>
      <x:c r="F48" s="34" t="n">
        <x:f>IF(E48="","",E48-D48)</x:f>
        <x:v>0</x:v>
      </x:c>
      <x:c r="G48" s="27" t="str">
        <x:v>Done</x:v>
      </x:c>
      <x:c r="H48" s="27" t="str">
        <x:v>No</x:v>
      </x:c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</x:row>
    <x:row r="49">
      <x:c r="A49" s="27" t="str">
        <x:v>TNA-005-04</x:v>
      </x:c>
      <x:c r="B49" s="27" t="str">
        <x:v>ORD-1014</x:v>
      </x:c>
      <x:c r="C49" s="27" t="str">
        <x:v>fit sample sent</x:v>
      </x:c>
      <x:c r="D49" s="30" t="n">
        <x:v>46171</x:v>
      </x:c>
      <x:c r="E49" s="30"/>
      <x:c r="F49" s="34" t="str">
        <x:f>IF(E49="","",E49-D49)</x:f>
      </x:c>
      <x:c r="G49" s="27" t="str">
        <x:v>Open</x:v>
      </x:c>
      <x:c r="H49" s="27" t="str">
        <x:v>No</x:v>
      </x:c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</x:row>
    <x:row r="50">
      <x:c r="A50" s="27" t="str">
        <x:v>TNA-005-05</x:v>
      </x:c>
      <x:c r="B50" s="27" t="str">
        <x:v>ORD-1014</x:v>
      </x:c>
      <x:c r="C50" s="27" t="str">
        <x:v>fit approval</x:v>
      </x:c>
      <x:c r="D50" s="30" t="n">
        <x:v>46175</x:v>
      </x:c>
      <x:c r="E50" s="30"/>
      <x:c r="F50" s="34" t="str">
        <x:f>IF(E50="","",E50-D50)</x:f>
      </x:c>
      <x:c r="G50" s="27" t="str">
        <x:v>Open</x:v>
      </x:c>
      <x:c r="H50" s="27" t="str">
        <x:v>No</x:v>
      </x:c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</x:row>
    <x:row r="51">
      <x:c r="A51" s="27" t="str">
        <x:v>TNA-005-06</x:v>
      </x:c>
      <x:c r="B51" s="27" t="str">
        <x:v>ORD-1014</x:v>
      </x:c>
      <x:c r="C51" s="27" t="str">
        <x:v>size set sample</x:v>
      </x:c>
      <x:c r="D51" s="30" t="n">
        <x:v>46179</x:v>
      </x:c>
      <x:c r="E51" s="30"/>
      <x:c r="F51" s="34" t="str">
        <x:f>IF(E51="","",E51-D51)</x:f>
      </x:c>
      <x:c r="G51" s="27" t="str">
        <x:v>Open</x:v>
      </x:c>
      <x:c r="H51" s="27" t="str">
        <x:v>No</x:v>
      </x:c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</x:row>
    <x:row r="52">
      <x:c r="A52" s="27" t="str">
        <x:v>TNA-005-07</x:v>
      </x:c>
      <x:c r="B52" s="27" t="str">
        <x:v>ORD-1014</x:v>
      </x:c>
      <x:c r="C52" s="27" t="str">
        <x:v>PP sample approval</x:v>
      </x:c>
      <x:c r="D52" s="30" t="n">
        <x:v>46183</x:v>
      </x:c>
      <x:c r="E52" s="30"/>
      <x:c r="F52" s="34" t="str">
        <x:f>IF(E52="","",E52-D52)</x:f>
      </x:c>
      <x:c r="G52" s="27" t="str">
        <x:v>Open</x:v>
      </x:c>
      <x:c r="H52" s="27" t="str">
        <x:v>Yes</x:v>
      </x:c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</x:row>
    <x:row r="53">
      <x:c r="A53" s="27" t="str">
        <x:v>TNA-005-08</x:v>
      </x:c>
      <x:c r="B53" s="27" t="str">
        <x:v>ORD-1014</x:v>
      </x:c>
      <x:c r="C53" s="27" t="str">
        <x:v>cutting start</x:v>
      </x:c>
      <x:c r="D53" s="30" t="n">
        <x:v>46189</x:v>
      </x:c>
      <x:c r="E53" s="30"/>
      <x:c r="F53" s="34" t="str">
        <x:f>IF(E53="","",E53-D53)</x:f>
      </x:c>
      <x:c r="G53" s="27" t="str">
        <x:v>Open</x:v>
      </x:c>
      <x:c r="H53" s="27" t="str">
        <x:v>Yes</x:v>
      </x:c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</x:row>
    <x:row r="54">
      <x:c r="A54" s="27" t="str">
        <x:v>TNA-005-09</x:v>
      </x:c>
      <x:c r="B54" s="27" t="str">
        <x:v>ORD-1014</x:v>
      </x:c>
      <x:c r="C54" s="27" t="str">
        <x:v>sewing start</x:v>
      </x:c>
      <x:c r="D54" s="30" t="n">
        <x:v>46192</x:v>
      </x:c>
      <x:c r="E54" s="30"/>
      <x:c r="F54" s="34" t="str">
        <x:f>IF(E54="","",E54-D54)</x:f>
      </x:c>
      <x:c r="G54" s="27" t="str">
        <x:v>Open</x:v>
      </x:c>
      <x:c r="H54" s="27" t="str">
        <x:v>Yes</x:v>
      </x:c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</x:row>
    <x:row r="55">
      <x:c r="A55" s="27" t="str">
        <x:v>TNA-005-10</x:v>
      </x:c>
      <x:c r="B55" s="27" t="str">
        <x:v>ORD-1014</x:v>
      </x:c>
      <x:c r="C55" s="27" t="str">
        <x:v>final QC</x:v>
      </x:c>
      <x:c r="D55" s="30" t="n">
        <x:v>46223</x:v>
      </x:c>
      <x:c r="E55" s="30"/>
      <x:c r="F55" s="34" t="str">
        <x:f>IF(E55="","",E55-D55)</x:f>
      </x:c>
      <x:c r="G55" s="27" t="str">
        <x:v>Open</x:v>
      </x:c>
      <x:c r="H55" s="27" t="str">
        <x:v>Yes</x:v>
      </x:c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</x:row>
    <x:row r="56">
      <x:c r="A56" s="27" t="str">
        <x:v>TNA-005-11</x:v>
      </x:c>
      <x:c r="B56" s="27" t="str">
        <x:v>ORD-1014</x:v>
      </x:c>
      <x:c r="C56" s="27" t="str">
        <x:v>ex-factory handover</x:v>
      </x:c>
      <x:c r="D56" s="30" t="n">
        <x:v>46226</x:v>
      </x:c>
      <x:c r="E56" s="30"/>
      <x:c r="F56" s="34" t="str">
        <x:f>IF(E56="","",E56-D56)</x:f>
      </x:c>
      <x:c r="G56" s="27" t="str">
        <x:v>Open</x:v>
      </x:c>
      <x:c r="H56" s="27" t="str">
        <x:v>Yes</x:v>
      </x:c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</x:row>
    <x:row r="57">
      <x:c r="A57" s="27" t="str">
        <x:v>TNA-006-01</x:v>
      </x:c>
      <x:c r="B57" s="27" t="str">
        <x:v>ORD-1106</x:v>
      </x:c>
      <x:c r="C57" s="27" t="str">
        <x:v>tech pack freeze</x:v>
      </x:c>
      <x:c r="D57" s="30" t="n">
        <x:v>46161</x:v>
      </x:c>
      <x:c r="E57" s="30" t="n">
        <x:v>46160</x:v>
      </x:c>
      <x:c r="F57" s="34" t="n">
        <x:f>IF(E57="","",E57-D57)</x:f>
        <x:v>-1</x:v>
      </x:c>
      <x:c r="G57" s="27" t="str">
        <x:v>Done</x:v>
      </x:c>
      <x:c r="H57" s="27" t="str">
        <x:v>No</x:v>
      </x:c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</x:row>
    <x:row r="58">
      <x:c r="A58" s="27" t="str">
        <x:v>TNA-006-02</x:v>
      </x:c>
      <x:c r="B58" s="27" t="str">
        <x:v>ORD-1106</x:v>
      </x:c>
      <x:c r="C58" s="27" t="str">
        <x:v>line booking</x:v>
      </x:c>
      <x:c r="D58" s="30" t="n">
        <x:v>46165</x:v>
      </x:c>
      <x:c r="E58" s="30" t="n">
        <x:v>46165</x:v>
      </x:c>
      <x:c r="F58" s="34" t="n">
        <x:f>IF(E58="","",E58-D58)</x:f>
        <x:v>0</x:v>
      </x:c>
      <x:c r="G58" s="27" t="str">
        <x:v>Done</x:v>
      </x:c>
      <x:c r="H58" s="27" t="str">
        <x:v>No</x:v>
      </x:c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</x:row>
    <x:row r="59">
      <x:c r="A59" s="27" t="str">
        <x:v>TNA-006-03</x:v>
      </x:c>
      <x:c r="B59" s="27" t="str">
        <x:v>ORD-1106</x:v>
      </x:c>
      <x:c r="C59" s="27" t="str">
        <x:v>fabric/trim confirmation</x:v>
      </x:c>
      <x:c r="D59" s="30" t="n">
        <x:v>46169</x:v>
      </x:c>
      <x:c r="E59" s="30" t="n">
        <x:v>46169</x:v>
      </x:c>
      <x:c r="F59" s="34" t="n">
        <x:f>IF(E59="","",E59-D59)</x:f>
        <x:v>0</x:v>
      </x:c>
      <x:c r="G59" s="27" t="str">
        <x:v>Done</x:v>
      </x:c>
      <x:c r="H59" s="27" t="str">
        <x:v>No</x:v>
      </x:c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</x:row>
    <x:row r="60">
      <x:c r="A60" s="27" t="str">
        <x:v>TNA-006-04</x:v>
      </x:c>
      <x:c r="B60" s="27" t="str">
        <x:v>ORD-1106</x:v>
      </x:c>
      <x:c r="C60" s="27" t="str">
        <x:v>fit sample sent</x:v>
      </x:c>
      <x:c r="D60" s="30" t="n">
        <x:v>46173</x:v>
      </x:c>
      <x:c r="E60" s="30"/>
      <x:c r="F60" s="34" t="str">
        <x:f>IF(E60="","",E60-D60)</x:f>
      </x:c>
      <x:c r="G60" s="27" t="str">
        <x:v>Open</x:v>
      </x:c>
      <x:c r="H60" s="27" t="str">
        <x:v>No</x:v>
      </x:c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</x:row>
    <x:row r="61">
      <x:c r="A61" s="27" t="str">
        <x:v>TNA-006-05</x:v>
      </x:c>
      <x:c r="B61" s="27" t="str">
        <x:v>ORD-1106</x:v>
      </x:c>
      <x:c r="C61" s="27" t="str">
        <x:v>fit approval</x:v>
      </x:c>
      <x:c r="D61" s="30" t="n">
        <x:v>46177</x:v>
      </x:c>
      <x:c r="E61" s="30"/>
      <x:c r="F61" s="34" t="str">
        <x:f>IF(E61="","",E61-D61)</x:f>
      </x:c>
      <x:c r="G61" s="27" t="str">
        <x:v>Open</x:v>
      </x:c>
      <x:c r="H61" s="27" t="str">
        <x:v>No</x:v>
      </x:c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</x:row>
    <x:row r="62">
      <x:c r="A62" s="27" t="str">
        <x:v>TNA-006-06</x:v>
      </x:c>
      <x:c r="B62" s="27" t="str">
        <x:v>ORD-1106</x:v>
      </x:c>
      <x:c r="C62" s="27" t="str">
        <x:v>size set sample</x:v>
      </x:c>
      <x:c r="D62" s="30" t="n">
        <x:v>46181</x:v>
      </x:c>
      <x:c r="E62" s="30"/>
      <x:c r="F62" s="34" t="str">
        <x:f>IF(E62="","",E62-D62)</x:f>
      </x:c>
      <x:c r="G62" s="27" t="str">
        <x:v>Open</x:v>
      </x:c>
      <x:c r="H62" s="27" t="str">
        <x:v>No</x:v>
      </x:c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</x:row>
    <x:row r="63">
      <x:c r="A63" s="27" t="str">
        <x:v>TNA-006-07</x:v>
      </x:c>
      <x:c r="B63" s="27" t="str">
        <x:v>ORD-1106</x:v>
      </x:c>
      <x:c r="C63" s="27" t="str">
        <x:v>PP sample approval</x:v>
      </x:c>
      <x:c r="D63" s="30" t="n">
        <x:v>46185</x:v>
      </x:c>
      <x:c r="E63" s="30"/>
      <x:c r="F63" s="34" t="str">
        <x:f>IF(E63="","",E63-D63)</x:f>
      </x:c>
      <x:c r="G63" s="27" t="str">
        <x:v>Open</x:v>
      </x:c>
      <x:c r="H63" s="27" t="str">
        <x:v>Yes</x:v>
      </x:c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</x:row>
    <x:row r="64">
      <x:c r="A64" s="27" t="str">
        <x:v>TNA-006-08</x:v>
      </x:c>
      <x:c r="B64" s="27" t="str">
        <x:v>ORD-1106</x:v>
      </x:c>
      <x:c r="C64" s="27" t="str">
        <x:v>cutting start</x:v>
      </x:c>
      <x:c r="D64" s="30" t="n">
        <x:v>46191</x:v>
      </x:c>
      <x:c r="E64" s="30"/>
      <x:c r="F64" s="34" t="str">
        <x:f>IF(E64="","",E64-D64)</x:f>
      </x:c>
      <x:c r="G64" s="27" t="str">
        <x:v>Open</x:v>
      </x:c>
      <x:c r="H64" s="27" t="str">
        <x:v>Yes</x:v>
      </x:c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</x:row>
    <x:row r="65">
      <x:c r="A65" s="27" t="str">
        <x:v>TNA-006-09</x:v>
      </x:c>
      <x:c r="B65" s="27" t="str">
        <x:v>ORD-1106</x:v>
      </x:c>
      <x:c r="C65" s="27" t="str">
        <x:v>sewing start</x:v>
      </x:c>
      <x:c r="D65" s="30" t="n">
        <x:v>46194</x:v>
      </x:c>
      <x:c r="E65" s="30"/>
      <x:c r="F65" s="34" t="str">
        <x:f>IF(E65="","",E65-D65)</x:f>
      </x:c>
      <x:c r="G65" s="27" t="str">
        <x:v>Open</x:v>
      </x:c>
      <x:c r="H65" s="27" t="str">
        <x:v>Yes</x:v>
      </x:c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</x:row>
    <x:row r="66">
      <x:c r="A66" s="27" t="str">
        <x:v>TNA-006-10</x:v>
      </x:c>
      <x:c r="B66" s="27" t="str">
        <x:v>ORD-1106</x:v>
      </x:c>
      <x:c r="C66" s="27" t="str">
        <x:v>final QC</x:v>
      </x:c>
      <x:c r="D66" s="30" t="n">
        <x:v>46204</x:v>
      </x:c>
      <x:c r="E66" s="30"/>
      <x:c r="F66" s="34" t="str">
        <x:f>IF(E66="","",E66-D66)</x:f>
      </x:c>
      <x:c r="G66" s="27" t="str">
        <x:v>Open</x:v>
      </x:c>
      <x:c r="H66" s="27" t="str">
        <x:v>Yes</x:v>
      </x:c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</x:row>
    <x:row r="67">
      <x:c r="A67" s="27" t="str">
        <x:v>TNA-006-11</x:v>
      </x:c>
      <x:c r="B67" s="27" t="str">
        <x:v>ORD-1106</x:v>
      </x:c>
      <x:c r="C67" s="27" t="str">
        <x:v>ex-factory handover</x:v>
      </x:c>
      <x:c r="D67" s="30" t="n">
        <x:v>46207</x:v>
      </x:c>
      <x:c r="E67" s="30"/>
      <x:c r="F67" s="34" t="str">
        <x:f>IF(E67="","",E67-D67)</x:f>
      </x:c>
      <x:c r="G67" s="27" t="str">
        <x:v>Open</x:v>
      </x:c>
      <x:c r="H67" s="27" t="str">
        <x:v>Yes</x:v>
      </x:c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</x:row>
    <x:row r="68">
      <x:c r="A68" s="27" t="str">
        <x:v>TNA-007-01</x:v>
      </x:c>
      <x:c r="B68" s="27" t="str">
        <x:v>ORD-1107</x:v>
      </x:c>
      <x:c r="C68" s="27" t="str">
        <x:v>tech pack freeze</x:v>
      </x:c>
      <x:c r="D68" s="30" t="n">
        <x:v>46163</x:v>
      </x:c>
      <x:c r="E68" s="30" t="n">
        <x:v>46163</x:v>
      </x:c>
      <x:c r="F68" s="34" t="n">
        <x:f>IF(E68="","",E68-D68)</x:f>
        <x:v>0</x:v>
      </x:c>
      <x:c r="G68" s="27" t="str">
        <x:v>Done</x:v>
      </x:c>
      <x:c r="H68" s="27" t="str">
        <x:v>No</x:v>
      </x:c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</x:row>
    <x:row r="69">
      <x:c r="A69" s="27" t="str">
        <x:v>TNA-007-02</x:v>
      </x:c>
      <x:c r="B69" s="27" t="str">
        <x:v>ORD-1107</x:v>
      </x:c>
      <x:c r="C69" s="27" t="str">
        <x:v>line booking</x:v>
      </x:c>
      <x:c r="D69" s="30" t="n">
        <x:v>46167</x:v>
      </x:c>
      <x:c r="E69" s="30" t="n">
        <x:v>46166</x:v>
      </x:c>
      <x:c r="F69" s="34" t="n">
        <x:f>IF(E69="","",E69-D69)</x:f>
        <x:v>-1</x:v>
      </x:c>
      <x:c r="G69" s="27" t="str">
        <x:v>Done</x:v>
      </x:c>
      <x:c r="H69" s="27" t="str">
        <x:v>No</x:v>
      </x:c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</x:row>
    <x:row r="70">
      <x:c r="A70" s="27" t="str">
        <x:v>TNA-007-03</x:v>
      </x:c>
      <x:c r="B70" s="27" t="str">
        <x:v>ORD-1107</x:v>
      </x:c>
      <x:c r="C70" s="27" t="str">
        <x:v>fabric/trim confirmation</x:v>
      </x:c>
      <x:c r="D70" s="30" t="n">
        <x:v>46171</x:v>
      </x:c>
      <x:c r="E70" s="30"/>
      <x:c r="F70" s="34" t="str">
        <x:f>IF(E70="","",E70-D70)</x:f>
      </x:c>
      <x:c r="G70" s="27" t="str">
        <x:v>Open</x:v>
      </x:c>
      <x:c r="H70" s="27" t="str">
        <x:v>No</x:v>
      </x:c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</x:row>
    <x:row r="71">
      <x:c r="A71" s="27" t="str">
        <x:v>TNA-007-04</x:v>
      </x:c>
      <x:c r="B71" s="27" t="str">
        <x:v>ORD-1107</x:v>
      </x:c>
      <x:c r="C71" s="27" t="str">
        <x:v>fit sample sent</x:v>
      </x:c>
      <x:c r="D71" s="30" t="n">
        <x:v>46175</x:v>
      </x:c>
      <x:c r="E71" s="30"/>
      <x:c r="F71" s="34" t="str">
        <x:f>IF(E71="","",E71-D71)</x:f>
      </x:c>
      <x:c r="G71" s="27" t="str">
        <x:v>Open</x:v>
      </x:c>
      <x:c r="H71" s="27" t="str">
        <x:v>No</x:v>
      </x:c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</x:row>
    <x:row r="72">
      <x:c r="A72" s="27" t="str">
        <x:v>TNA-007-05</x:v>
      </x:c>
      <x:c r="B72" s="27" t="str">
        <x:v>ORD-1107</x:v>
      </x:c>
      <x:c r="C72" s="27" t="str">
        <x:v>fit approval</x:v>
      </x:c>
      <x:c r="D72" s="30" t="n">
        <x:v>46179</x:v>
      </x:c>
      <x:c r="E72" s="30"/>
      <x:c r="F72" s="34" t="str">
        <x:f>IF(E72="","",E72-D72)</x:f>
      </x:c>
      <x:c r="G72" s="27" t="str">
        <x:v>Open</x:v>
      </x:c>
      <x:c r="H72" s="27" t="str">
        <x:v>No</x:v>
      </x:c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</x:row>
    <x:row r="73">
      <x:c r="A73" s="27" t="str">
        <x:v>TNA-007-06</x:v>
      </x:c>
      <x:c r="B73" s="27" t="str">
        <x:v>ORD-1107</x:v>
      </x:c>
      <x:c r="C73" s="27" t="str">
        <x:v>size set sample</x:v>
      </x:c>
      <x:c r="D73" s="30" t="n">
        <x:v>46183</x:v>
      </x:c>
      <x:c r="E73" s="30"/>
      <x:c r="F73" s="34" t="str">
        <x:f>IF(E73="","",E73-D73)</x:f>
      </x:c>
      <x:c r="G73" s="27" t="str">
        <x:v>Open</x:v>
      </x:c>
      <x:c r="H73" s="27" t="str">
        <x:v>No</x:v>
      </x:c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</x:row>
    <x:row r="74">
      <x:c r="A74" s="27" t="str">
        <x:v>TNA-007-07</x:v>
      </x:c>
      <x:c r="B74" s="27" t="str">
        <x:v>ORD-1107</x:v>
      </x:c>
      <x:c r="C74" s="27" t="str">
        <x:v>PP sample approval</x:v>
      </x:c>
      <x:c r="D74" s="30" t="n">
        <x:v>46187</x:v>
      </x:c>
      <x:c r="E74" s="30"/>
      <x:c r="F74" s="34" t="str">
        <x:f>IF(E74="","",E74-D74)</x:f>
      </x:c>
      <x:c r="G74" s="27" t="str">
        <x:v>Open</x:v>
      </x:c>
      <x:c r="H74" s="27" t="str">
        <x:v>Yes</x:v>
      </x:c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</x:row>
    <x:row r="75">
      <x:c r="A75" s="27" t="str">
        <x:v>TNA-007-08</x:v>
      </x:c>
      <x:c r="B75" s="27" t="str">
        <x:v>ORD-1107</x:v>
      </x:c>
      <x:c r="C75" s="27" t="str">
        <x:v>cutting start</x:v>
      </x:c>
      <x:c r="D75" s="30" t="n">
        <x:v>46193</x:v>
      </x:c>
      <x:c r="E75" s="30"/>
      <x:c r="F75" s="34" t="str">
        <x:f>IF(E75="","",E75-D75)</x:f>
      </x:c>
      <x:c r="G75" s="27" t="str">
        <x:v>Open</x:v>
      </x:c>
      <x:c r="H75" s="27" t="str">
        <x:v>Yes</x:v>
      </x:c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</x:row>
    <x:row r="76">
      <x:c r="A76" s="27" t="str">
        <x:v>TNA-007-09</x:v>
      </x:c>
      <x:c r="B76" s="27" t="str">
        <x:v>ORD-1107</x:v>
      </x:c>
      <x:c r="C76" s="27" t="str">
        <x:v>sewing start</x:v>
      </x:c>
      <x:c r="D76" s="30" t="n">
        <x:v>46196</x:v>
      </x:c>
      <x:c r="E76" s="30"/>
      <x:c r="F76" s="34" t="str">
        <x:f>IF(E76="","",E76-D76)</x:f>
      </x:c>
      <x:c r="G76" s="27" t="str">
        <x:v>Open</x:v>
      </x:c>
      <x:c r="H76" s="27" t="str">
        <x:v>Yes</x:v>
      </x:c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</x:row>
    <x:row r="77">
      <x:c r="A77" s="27" t="str">
        <x:v>TNA-007-10</x:v>
      </x:c>
      <x:c r="B77" s="27" t="str">
        <x:v>ORD-1107</x:v>
      </x:c>
      <x:c r="C77" s="27" t="str">
        <x:v>final QC</x:v>
      </x:c>
      <x:c r="D77" s="30" t="n">
        <x:v>46212</x:v>
      </x:c>
      <x:c r="E77" s="30"/>
      <x:c r="F77" s="34" t="str">
        <x:f>IF(E77="","",E77-D77)</x:f>
      </x:c>
      <x:c r="G77" s="27" t="str">
        <x:v>Open</x:v>
      </x:c>
      <x:c r="H77" s="27" t="str">
        <x:v>Yes</x:v>
      </x:c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</x:row>
    <x:row r="78">
      <x:c r="A78" s="27" t="str">
        <x:v>TNA-007-11</x:v>
      </x:c>
      <x:c r="B78" s="27" t="str">
        <x:v>ORD-1107</x:v>
      </x:c>
      <x:c r="C78" s="27" t="str">
        <x:v>ex-factory handover</x:v>
      </x:c>
      <x:c r="D78" s="30" t="n">
        <x:v>46215</x:v>
      </x:c>
      <x:c r="E78" s="30"/>
      <x:c r="F78" s="34" t="str">
        <x:f>IF(E78="","",E78-D78)</x:f>
      </x:c>
      <x:c r="G78" s="27" t="str">
        <x:v>Open</x:v>
      </x:c>
      <x:c r="H78" s="27" t="str">
        <x:v>Yes</x:v>
      </x:c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</x:row>
    <x:row r="79">
      <x:c r="A79" s="27" t="str">
        <x:v>TNA-008-01</x:v>
      </x:c>
      <x:c r="B79" s="27" t="str">
        <x:v>ORD-1108</x:v>
      </x:c>
      <x:c r="C79" s="27" t="str">
        <x:v>tech pack freeze</x:v>
      </x:c>
      <x:c r="D79" s="30" t="n">
        <x:v>46165</x:v>
      </x:c>
      <x:c r="E79" s="30" t="n">
        <x:v>46165</x:v>
      </x:c>
      <x:c r="F79" s="34" t="n">
        <x:f>IF(E79="","",E79-D79)</x:f>
        <x:v>0</x:v>
      </x:c>
      <x:c r="G79" s="27" t="str">
        <x:v>Done</x:v>
      </x:c>
      <x:c r="H79" s="27" t="str">
        <x:v>No</x:v>
      </x:c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</x:row>
    <x:row r="80">
      <x:c r="A80" s="27" t="str">
        <x:v>TNA-008-02</x:v>
      </x:c>
      <x:c r="B80" s="27" t="str">
        <x:v>ORD-1108</x:v>
      </x:c>
      <x:c r="C80" s="27" t="str">
        <x:v>line booking</x:v>
      </x:c>
      <x:c r="D80" s="30" t="n">
        <x:v>46169</x:v>
      </x:c>
      <x:c r="E80" s="30" t="n">
        <x:v>46169</x:v>
      </x:c>
      <x:c r="F80" s="34" t="n">
        <x:f>IF(E80="","",E80-D80)</x:f>
        <x:v>0</x:v>
      </x:c>
      <x:c r="G80" s="27" t="str">
        <x:v>Done</x:v>
      </x:c>
      <x:c r="H80" s="27" t="str">
        <x:v>No</x:v>
      </x:c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</x:row>
    <x:row r="81">
      <x:c r="A81" s="27" t="str">
        <x:v>TNA-008-03</x:v>
      </x:c>
      <x:c r="B81" s="27" t="str">
        <x:v>ORD-1108</x:v>
      </x:c>
      <x:c r="C81" s="27" t="str">
        <x:v>fabric/trim confirmation</x:v>
      </x:c>
      <x:c r="D81" s="30" t="n">
        <x:v>46173</x:v>
      </x:c>
      <x:c r="E81" s="30"/>
      <x:c r="F81" s="34" t="str">
        <x:f>IF(E81="","",E81-D81)</x:f>
      </x:c>
      <x:c r="G81" s="27" t="str">
        <x:v>Open</x:v>
      </x:c>
      <x:c r="H81" s="27" t="str">
        <x:v>No</x:v>
      </x:c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</x:row>
    <x:row r="82">
      <x:c r="A82" s="27" t="str">
        <x:v>TNA-008-04</x:v>
      </x:c>
      <x:c r="B82" s="27" t="str">
        <x:v>ORD-1108</x:v>
      </x:c>
      <x:c r="C82" s="27" t="str">
        <x:v>fit sample sent</x:v>
      </x:c>
      <x:c r="D82" s="30" t="n">
        <x:v>46177</x:v>
      </x:c>
      <x:c r="E82" s="30"/>
      <x:c r="F82" s="34" t="str">
        <x:f>IF(E82="","",E82-D82)</x:f>
      </x:c>
      <x:c r="G82" s="27" t="str">
        <x:v>Open</x:v>
      </x:c>
      <x:c r="H82" s="27" t="str">
        <x:v>No</x:v>
      </x:c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</x:row>
    <x:row r="83">
      <x:c r="A83" s="27" t="str">
        <x:v>TNA-008-05</x:v>
      </x:c>
      <x:c r="B83" s="27" t="str">
        <x:v>ORD-1108</x:v>
      </x:c>
      <x:c r="C83" s="27" t="str">
        <x:v>fit approval</x:v>
      </x:c>
      <x:c r="D83" s="30" t="n">
        <x:v>46181</x:v>
      </x:c>
      <x:c r="E83" s="30"/>
      <x:c r="F83" s="34" t="str">
        <x:f>IF(E83="","",E83-D83)</x:f>
      </x:c>
      <x:c r="G83" s="27" t="str">
        <x:v>Open</x:v>
      </x:c>
      <x:c r="H83" s="27" t="str">
        <x:v>No</x:v>
      </x:c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</x:row>
    <x:row r="84">
      <x:c r="A84" s="27" t="str">
        <x:v>TNA-008-06</x:v>
      </x:c>
      <x:c r="B84" s="27" t="str">
        <x:v>ORD-1108</x:v>
      </x:c>
      <x:c r="C84" s="27" t="str">
        <x:v>size set sample</x:v>
      </x:c>
      <x:c r="D84" s="30" t="n">
        <x:v>46185</x:v>
      </x:c>
      <x:c r="E84" s="30"/>
      <x:c r="F84" s="34" t="str">
        <x:f>IF(E84="","",E84-D84)</x:f>
      </x:c>
      <x:c r="G84" s="27" t="str">
        <x:v>Open</x:v>
      </x:c>
      <x:c r="H84" s="27" t="str">
        <x:v>No</x:v>
      </x:c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</x:row>
    <x:row r="85">
      <x:c r="A85" s="27" t="str">
        <x:v>TNA-008-07</x:v>
      </x:c>
      <x:c r="B85" s="27" t="str">
        <x:v>ORD-1108</x:v>
      </x:c>
      <x:c r="C85" s="27" t="str">
        <x:v>PP sample approval</x:v>
      </x:c>
      <x:c r="D85" s="30" t="n">
        <x:v>46189</x:v>
      </x:c>
      <x:c r="E85" s="30"/>
      <x:c r="F85" s="34" t="str">
        <x:f>IF(E85="","",E85-D85)</x:f>
      </x:c>
      <x:c r="G85" s="27" t="str">
        <x:v>Open</x:v>
      </x:c>
      <x:c r="H85" s="27" t="str">
        <x:v>Yes</x:v>
      </x:c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</x:row>
    <x:row r="86">
      <x:c r="A86" s="27" t="str">
        <x:v>TNA-008-08</x:v>
      </x:c>
      <x:c r="B86" s="27" t="str">
        <x:v>ORD-1108</x:v>
      </x:c>
      <x:c r="C86" s="27" t="str">
        <x:v>cutting start</x:v>
      </x:c>
      <x:c r="D86" s="30" t="n">
        <x:v>46195</x:v>
      </x:c>
      <x:c r="E86" s="30"/>
      <x:c r="F86" s="34" t="str">
        <x:f>IF(E86="","",E86-D86)</x:f>
      </x:c>
      <x:c r="G86" s="27" t="str">
        <x:v>Open</x:v>
      </x:c>
      <x:c r="H86" s="27" t="str">
        <x:v>Yes</x:v>
      </x:c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</x:row>
    <x:row r="87">
      <x:c r="A87" s="27" t="str">
        <x:v>TNA-008-09</x:v>
      </x:c>
      <x:c r="B87" s="27" t="str">
        <x:v>ORD-1108</x:v>
      </x:c>
      <x:c r="C87" s="27" t="str">
        <x:v>sewing start</x:v>
      </x:c>
      <x:c r="D87" s="30" t="n">
        <x:v>46198</x:v>
      </x:c>
      <x:c r="E87" s="30"/>
      <x:c r="F87" s="34" t="str">
        <x:f>IF(E87="","",E87-D87)</x:f>
      </x:c>
      <x:c r="G87" s="27" t="str">
        <x:v>Open</x:v>
      </x:c>
      <x:c r="H87" s="27" t="str">
        <x:v>Yes</x:v>
      </x:c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</x:row>
    <x:row r="88">
      <x:c r="A88" s="27" t="str">
        <x:v>TNA-008-10</x:v>
      </x:c>
      <x:c r="B88" s="27" t="str">
        <x:v>ORD-1108</x:v>
      </x:c>
      <x:c r="C88" s="27" t="str">
        <x:v>final QC</x:v>
      </x:c>
      <x:c r="D88" s="30" t="n">
        <x:v>46223</x:v>
      </x:c>
      <x:c r="E88" s="30"/>
      <x:c r="F88" s="34" t="str">
        <x:f>IF(E88="","",E88-D88)</x:f>
      </x:c>
      <x:c r="G88" s="27" t="str">
        <x:v>Open</x:v>
      </x:c>
      <x:c r="H88" s="27" t="str">
        <x:v>Yes</x:v>
      </x:c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</x:row>
    <x:row r="89">
      <x:c r="A89" s="27" t="str">
        <x:v>TNA-008-11</x:v>
      </x:c>
      <x:c r="B89" s="27" t="str">
        <x:v>ORD-1108</x:v>
      </x:c>
      <x:c r="C89" s="27" t="str">
        <x:v>ex-factory handover</x:v>
      </x:c>
      <x:c r="D89" s="30" t="n">
        <x:v>46226</x:v>
      </x:c>
      <x:c r="E89" s="30"/>
      <x:c r="F89" s="34" t="str">
        <x:f>IF(E89="","",E89-D89)</x:f>
      </x:c>
      <x:c r="G89" s="27" t="str">
        <x:v>Open</x:v>
      </x:c>
      <x:c r="H89" s="27" t="str">
        <x:v>Yes</x:v>
      </x:c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</x:row>
    <x:row r="90">
      <x:c r="A90" s="27" t="str">
        <x:v>TNA-009-01</x:v>
      </x:c>
      <x:c r="B90" s="27" t="str">
        <x:v>ORD-1109</x:v>
      </x:c>
      <x:c r="C90" s="27" t="str">
        <x:v>tech pack freeze</x:v>
      </x:c>
      <x:c r="D90" s="30" t="n">
        <x:v>46167</x:v>
      </x:c>
      <x:c r="E90" s="30" t="n">
        <x:v>46167</x:v>
      </x:c>
      <x:c r="F90" s="34" t="n">
        <x:f>IF(E90="","",E90-D90)</x:f>
        <x:v>0</x:v>
      </x:c>
      <x:c r="G90" s="27" t="str">
        <x:v>Done</x:v>
      </x:c>
      <x:c r="H90" s="27" t="str">
        <x:v>No</x:v>
      </x:c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</x:row>
    <x:row r="91">
      <x:c r="A91" s="27" t="str">
        <x:v>TNA-009-02</x:v>
      </x:c>
      <x:c r="B91" s="27" t="str">
        <x:v>ORD-1109</x:v>
      </x:c>
      <x:c r="C91" s="27" t="str">
        <x:v>line booking</x:v>
      </x:c>
      <x:c r="D91" s="30" t="n">
        <x:v>46171</x:v>
      </x:c>
      <x:c r="E91" s="30"/>
      <x:c r="F91" s="34" t="str">
        <x:f>IF(E91="","",E91-D91)</x:f>
      </x:c>
      <x:c r="G91" s="27" t="str">
        <x:v>Open</x:v>
      </x:c>
      <x:c r="H91" s="27" t="str">
        <x:v>No</x:v>
      </x:c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</x:row>
    <x:row r="92">
      <x:c r="A92" s="27" t="str">
        <x:v>TNA-009-03</x:v>
      </x:c>
      <x:c r="B92" s="27" t="str">
        <x:v>ORD-1109</x:v>
      </x:c>
      <x:c r="C92" s="27" t="str">
        <x:v>fabric/trim confirmation</x:v>
      </x:c>
      <x:c r="D92" s="30" t="n">
        <x:v>46175</x:v>
      </x:c>
      <x:c r="E92" s="30"/>
      <x:c r="F92" s="34" t="str">
        <x:f>IF(E92="","",E92-D92)</x:f>
      </x:c>
      <x:c r="G92" s="27" t="str">
        <x:v>Open</x:v>
      </x:c>
      <x:c r="H92" s="27" t="str">
        <x:v>No</x:v>
      </x:c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</x:row>
    <x:row r="93">
      <x:c r="A93" s="27" t="str">
        <x:v>TNA-009-04</x:v>
      </x:c>
      <x:c r="B93" s="27" t="str">
        <x:v>ORD-1109</x:v>
      </x:c>
      <x:c r="C93" s="27" t="str">
        <x:v>fit sample sent</x:v>
      </x:c>
      <x:c r="D93" s="30" t="n">
        <x:v>46179</x:v>
      </x:c>
      <x:c r="E93" s="30"/>
      <x:c r="F93" s="34" t="str">
        <x:f>IF(E93="","",E93-D93)</x:f>
      </x:c>
      <x:c r="G93" s="27" t="str">
        <x:v>Open</x:v>
      </x:c>
      <x:c r="H93" s="27" t="str">
        <x:v>No</x:v>
      </x:c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</x:row>
    <x:row r="94">
      <x:c r="A94" s="27" t="str">
        <x:v>TNA-009-05</x:v>
      </x:c>
      <x:c r="B94" s="27" t="str">
        <x:v>ORD-1109</x:v>
      </x:c>
      <x:c r="C94" s="27" t="str">
        <x:v>fit approval</x:v>
      </x:c>
      <x:c r="D94" s="30" t="n">
        <x:v>46183</x:v>
      </x:c>
      <x:c r="E94" s="30"/>
      <x:c r="F94" s="34" t="str">
        <x:f>IF(E94="","",E94-D94)</x:f>
      </x:c>
      <x:c r="G94" s="27" t="str">
        <x:v>Open</x:v>
      </x:c>
      <x:c r="H94" s="27" t="str">
        <x:v>No</x:v>
      </x:c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</x:row>
    <x:row r="95">
      <x:c r="A95" s="27" t="str">
        <x:v>TNA-009-06</x:v>
      </x:c>
      <x:c r="B95" s="27" t="str">
        <x:v>ORD-1109</x:v>
      </x:c>
      <x:c r="C95" s="27" t="str">
        <x:v>size set sample</x:v>
      </x:c>
      <x:c r="D95" s="30" t="n">
        <x:v>46187</x:v>
      </x:c>
      <x:c r="E95" s="30"/>
      <x:c r="F95" s="34" t="str">
        <x:f>IF(E95="","",E95-D95)</x:f>
      </x:c>
      <x:c r="G95" s="27" t="str">
        <x:v>Open</x:v>
      </x:c>
      <x:c r="H95" s="27" t="str">
        <x:v>No</x:v>
      </x:c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</x:row>
    <x:row r="96">
      <x:c r="A96" s="27" t="str">
        <x:v>TNA-009-07</x:v>
      </x:c>
      <x:c r="B96" s="27" t="str">
        <x:v>ORD-1109</x:v>
      </x:c>
      <x:c r="C96" s="27" t="str">
        <x:v>PP sample approval</x:v>
      </x:c>
      <x:c r="D96" s="30" t="n">
        <x:v>46191</x:v>
      </x:c>
      <x:c r="E96" s="30"/>
      <x:c r="F96" s="34" t="str">
        <x:f>IF(E96="","",E96-D96)</x:f>
      </x:c>
      <x:c r="G96" s="27" t="str">
        <x:v>Open</x:v>
      </x:c>
      <x:c r="H96" s="27" t="str">
        <x:v>Yes</x:v>
      </x:c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</x:row>
    <x:row r="97">
      <x:c r="A97" s="27" t="str">
        <x:v>TNA-009-08</x:v>
      </x:c>
      <x:c r="B97" s="27" t="str">
        <x:v>ORD-1109</x:v>
      </x:c>
      <x:c r="C97" s="27" t="str">
        <x:v>cutting start</x:v>
      </x:c>
      <x:c r="D97" s="30" t="n">
        <x:v>46197</x:v>
      </x:c>
      <x:c r="E97" s="30"/>
      <x:c r="F97" s="34" t="str">
        <x:f>IF(E97="","",E97-D97)</x:f>
      </x:c>
      <x:c r="G97" s="27" t="str">
        <x:v>Open</x:v>
      </x:c>
      <x:c r="H97" s="27" t="str">
        <x:v>Yes</x:v>
      </x:c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</x:row>
    <x:row r="98">
      <x:c r="A98" s="27" t="str">
        <x:v>TNA-009-09</x:v>
      </x:c>
      <x:c r="B98" s="27" t="str">
        <x:v>ORD-1109</x:v>
      </x:c>
      <x:c r="C98" s="27" t="str">
        <x:v>sewing start</x:v>
      </x:c>
      <x:c r="D98" s="30" t="n">
        <x:v>46200</x:v>
      </x:c>
      <x:c r="E98" s="30"/>
      <x:c r="F98" s="34" t="str">
        <x:f>IF(E98="","",E98-D98)</x:f>
      </x:c>
      <x:c r="G98" s="27" t="str">
        <x:v>Open</x:v>
      </x:c>
      <x:c r="H98" s="27" t="str">
        <x:v>Yes</x:v>
      </x:c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</x:row>
    <x:row r="99">
      <x:c r="A99" s="27" t="str">
        <x:v>TNA-009-10</x:v>
      </x:c>
      <x:c r="B99" s="27" t="str">
        <x:v>ORD-1109</x:v>
      </x:c>
      <x:c r="C99" s="27" t="str">
        <x:v>final QC</x:v>
      </x:c>
      <x:c r="D99" s="30" t="n">
        <x:v>46217</x:v>
      </x:c>
      <x:c r="E99" s="30"/>
      <x:c r="F99" s="34" t="str">
        <x:f>IF(E99="","",E99-D99)</x:f>
      </x:c>
      <x:c r="G99" s="27" t="str">
        <x:v>Open</x:v>
      </x:c>
      <x:c r="H99" s="27" t="str">
        <x:v>Yes</x:v>
      </x:c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</x:row>
    <x:row r="100">
      <x:c r="A100" s="27" t="str">
        <x:v>TNA-009-11</x:v>
      </x:c>
      <x:c r="B100" s="27" t="str">
        <x:v>ORD-1109</x:v>
      </x:c>
      <x:c r="C100" s="27" t="str">
        <x:v>ex-factory handover</x:v>
      </x:c>
      <x:c r="D100" s="30" t="n">
        <x:v>46220</x:v>
      </x:c>
      <x:c r="E100" s="30"/>
      <x:c r="F100" s="34" t="str">
        <x:f>IF(E100="","",E100-D100)</x:f>
      </x:c>
      <x:c r="G100" s="27" t="str">
        <x:v>Open</x:v>
      </x:c>
      <x:c r="H100" s="27" t="str">
        <x:v>Yes</x:v>
      </x:c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</x:row>
    <x:row r="101">
      <x:c r="A101" s="27" t="str">
        <x:v>TNA-010-01</x:v>
      </x:c>
      <x:c r="B101" s="27" t="str">
        <x:v>ORD-1110</x:v>
      </x:c>
      <x:c r="C101" s="27" t="str">
        <x:v>tech pack freeze</x:v>
      </x:c>
      <x:c r="D101" s="30" t="n">
        <x:v>46169</x:v>
      </x:c>
      <x:c r="E101" s="30" t="n">
        <x:v>46168</x:v>
      </x:c>
      <x:c r="F101" s="34" t="n">
        <x:f>IF(E101="","",E101-D101)</x:f>
        <x:v>-1</x:v>
      </x:c>
      <x:c r="G101" s="27" t="str">
        <x:v>Done</x:v>
      </x:c>
      <x:c r="H101" s="27" t="str">
        <x:v>No</x:v>
      </x:c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</x:row>
    <x:row r="102">
      <x:c r="A102" s="27" t="str">
        <x:v>TNA-010-02</x:v>
      </x:c>
      <x:c r="B102" s="27" t="str">
        <x:v>ORD-1110</x:v>
      </x:c>
      <x:c r="C102" s="27" t="str">
        <x:v>line booking</x:v>
      </x:c>
      <x:c r="D102" s="30" t="n">
        <x:v>46173</x:v>
      </x:c>
      <x:c r="E102" s="30"/>
      <x:c r="F102" s="34" t="str">
        <x:f>IF(E102="","",E102-D102)</x:f>
      </x:c>
      <x:c r="G102" s="27" t="str">
        <x:v>Open</x:v>
      </x:c>
      <x:c r="H102" s="27" t="str">
        <x:v>No</x:v>
      </x:c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</x:row>
    <x:row r="103">
      <x:c r="A103" s="27" t="str">
        <x:v>TNA-010-03</x:v>
      </x:c>
      <x:c r="B103" s="27" t="str">
        <x:v>ORD-1110</x:v>
      </x:c>
      <x:c r="C103" s="27" t="str">
        <x:v>fabric/trim confirmation</x:v>
      </x:c>
      <x:c r="D103" s="30" t="n">
        <x:v>46177</x:v>
      </x:c>
      <x:c r="E103" s="30"/>
      <x:c r="F103" s="34" t="str">
        <x:f>IF(E103="","",E103-D103)</x:f>
      </x:c>
      <x:c r="G103" s="27" t="str">
        <x:v>Open</x:v>
      </x:c>
      <x:c r="H103" s="27" t="str">
        <x:v>No</x:v>
      </x:c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</x:row>
    <x:row r="104">
      <x:c r="A104" s="27" t="str">
        <x:v>TNA-010-04</x:v>
      </x:c>
      <x:c r="B104" s="27" t="str">
        <x:v>ORD-1110</x:v>
      </x:c>
      <x:c r="C104" s="27" t="str">
        <x:v>fit sample sent</x:v>
      </x:c>
      <x:c r="D104" s="30" t="n">
        <x:v>46181</x:v>
      </x:c>
      <x:c r="E104" s="30"/>
      <x:c r="F104" s="34" t="str">
        <x:f>IF(E104="","",E104-D104)</x:f>
      </x:c>
      <x:c r="G104" s="27" t="str">
        <x:v>Open</x:v>
      </x:c>
      <x:c r="H104" s="27" t="str">
        <x:v>No</x:v>
      </x:c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</x:row>
    <x:row r="105">
      <x:c r="A105" s="27" t="str">
        <x:v>TNA-010-05</x:v>
      </x:c>
      <x:c r="B105" s="27" t="str">
        <x:v>ORD-1110</x:v>
      </x:c>
      <x:c r="C105" s="27" t="str">
        <x:v>fit approval</x:v>
      </x:c>
      <x:c r="D105" s="30" t="n">
        <x:v>46185</x:v>
      </x:c>
      <x:c r="E105" s="30"/>
      <x:c r="F105" s="34" t="str">
        <x:f>IF(E105="","",E105-D105)</x:f>
      </x:c>
      <x:c r="G105" s="27" t="str">
        <x:v>Open</x:v>
      </x:c>
      <x:c r="H105" s="27" t="str">
        <x:v>No</x:v>
      </x:c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</x:row>
    <x:row r="106">
      <x:c r="A106" s="27" t="str">
        <x:v>TNA-010-06</x:v>
      </x:c>
      <x:c r="B106" s="27" t="str">
        <x:v>ORD-1110</x:v>
      </x:c>
      <x:c r="C106" s="27" t="str">
        <x:v>size set sample</x:v>
      </x:c>
      <x:c r="D106" s="30" t="n">
        <x:v>46189</x:v>
      </x:c>
      <x:c r="E106" s="30"/>
      <x:c r="F106" s="34" t="str">
        <x:f>IF(E106="","",E106-D106)</x:f>
      </x:c>
      <x:c r="G106" s="27" t="str">
        <x:v>Open</x:v>
      </x:c>
      <x:c r="H106" s="27" t="str">
        <x:v>No</x:v>
      </x:c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</x:row>
    <x:row r="107">
      <x:c r="A107" s="27" t="str">
        <x:v>TNA-010-07</x:v>
      </x:c>
      <x:c r="B107" s="27" t="str">
        <x:v>ORD-1110</x:v>
      </x:c>
      <x:c r="C107" s="27" t="str">
        <x:v>PP sample approval</x:v>
      </x:c>
      <x:c r="D107" s="30" t="n">
        <x:v>46193</x:v>
      </x:c>
      <x:c r="E107" s="30"/>
      <x:c r="F107" s="34" t="str">
        <x:f>IF(E107="","",E107-D107)</x:f>
      </x:c>
      <x:c r="G107" s="27" t="str">
        <x:v>Open</x:v>
      </x:c>
      <x:c r="H107" s="27" t="str">
        <x:v>Yes</x:v>
      </x:c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</x:row>
    <x:row r="108">
      <x:c r="A108" s="27" t="str">
        <x:v>TNA-010-08</x:v>
      </x:c>
      <x:c r="B108" s="27" t="str">
        <x:v>ORD-1110</x:v>
      </x:c>
      <x:c r="C108" s="27" t="str">
        <x:v>cutting start</x:v>
      </x:c>
      <x:c r="D108" s="30" t="n">
        <x:v>46199</x:v>
      </x:c>
      <x:c r="E108" s="30"/>
      <x:c r="F108" s="34" t="str">
        <x:f>IF(E108="","",E108-D108)</x:f>
      </x:c>
      <x:c r="G108" s="27" t="str">
        <x:v>Open</x:v>
      </x:c>
      <x:c r="H108" s="27" t="str">
        <x:v>Yes</x:v>
      </x:c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</x:row>
    <x:row r="109">
      <x:c r="A109" s="27" t="str">
        <x:v>TNA-010-09</x:v>
      </x:c>
      <x:c r="B109" s="27" t="str">
        <x:v>ORD-1110</x:v>
      </x:c>
      <x:c r="C109" s="27" t="str">
        <x:v>sewing start</x:v>
      </x:c>
      <x:c r="D109" s="30" t="n">
        <x:v>46202</x:v>
      </x:c>
      <x:c r="E109" s="30"/>
      <x:c r="F109" s="34" t="str">
        <x:f>IF(E109="","",E109-D109)</x:f>
      </x:c>
      <x:c r="G109" s="27" t="str">
        <x:v>Open</x:v>
      </x:c>
      <x:c r="H109" s="27" t="str">
        <x:v>Yes</x:v>
      </x:c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</x:row>
    <x:row r="110">
      <x:c r="A110" s="27" t="str">
        <x:v>TNA-010-10</x:v>
      </x:c>
      <x:c r="B110" s="27" t="str">
        <x:v>ORD-1110</x:v>
      </x:c>
      <x:c r="C110" s="27" t="str">
        <x:v>final QC</x:v>
      </x:c>
      <x:c r="D110" s="30" t="n">
        <x:v>46230</x:v>
      </x:c>
      <x:c r="E110" s="30"/>
      <x:c r="F110" s="34" t="str">
        <x:f>IF(E110="","",E110-D110)</x:f>
      </x:c>
      <x:c r="G110" s="27" t="str">
        <x:v>Open</x:v>
      </x:c>
      <x:c r="H110" s="27" t="str">
        <x:v>Yes</x:v>
      </x:c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</x:row>
    <x:row r="111">
      <x:c r="A111" s="27" t="str">
        <x:v>TNA-010-11</x:v>
      </x:c>
      <x:c r="B111" s="27" t="str">
        <x:v>ORD-1110</x:v>
      </x:c>
      <x:c r="C111" s="27" t="str">
        <x:v>ex-factory handover</x:v>
      </x:c>
      <x:c r="D111" s="30" t="n">
        <x:v>46233</x:v>
      </x:c>
      <x:c r="E111" s="30"/>
      <x:c r="F111" s="34" t="str">
        <x:f>IF(E111="","",E111-D111)</x:f>
      </x:c>
      <x:c r="G111" s="27" t="str">
        <x:v>Open</x:v>
      </x:c>
      <x:c r="H111" s="27" t="str">
        <x:v>Yes</x:v>
      </x:c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</x:row>
    <x:row r="112">
      <x:c r="A112" s="27" t="str">
        <x:v>TNA-011-01</x:v>
      </x:c>
      <x:c r="B112" s="27" t="str">
        <x:v>ORD-1111</x:v>
      </x:c>
      <x:c r="C112" s="27" t="str">
        <x:v>tech pack freeze</x:v>
      </x:c>
      <x:c r="D112" s="30" t="n">
        <x:v>46156</x:v>
      </x:c>
      <x:c r="E112" s="30" t="n">
        <x:v>46156</x:v>
      </x:c>
      <x:c r="F112" s="34" t="n">
        <x:f>IF(E112="","",E112-D112)</x:f>
        <x:v>0</x:v>
      </x:c>
      <x:c r="G112" s="27" t="str">
        <x:v>Done</x:v>
      </x:c>
      <x:c r="H112" s="27" t="str">
        <x:v>No</x:v>
      </x:c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</x:row>
    <x:row r="113">
      <x:c r="A113" s="27" t="str">
        <x:v>TNA-011-02</x:v>
      </x:c>
      <x:c r="B113" s="27" t="str">
        <x:v>ORD-1111</x:v>
      </x:c>
      <x:c r="C113" s="27" t="str">
        <x:v>line booking</x:v>
      </x:c>
      <x:c r="D113" s="30" t="n">
        <x:v>46160</x:v>
      </x:c>
      <x:c r="E113" s="30" t="n">
        <x:v>46159</x:v>
      </x:c>
      <x:c r="F113" s="34" t="n">
        <x:f>IF(E113="","",E113-D113)</x:f>
        <x:v>-1</x:v>
      </x:c>
      <x:c r="G113" s="27" t="str">
        <x:v>Done</x:v>
      </x:c>
      <x:c r="H113" s="27" t="str">
        <x:v>No</x:v>
      </x:c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</x:row>
    <x:row r="114">
      <x:c r="A114" s="27" t="str">
        <x:v>TNA-011-03</x:v>
      </x:c>
      <x:c r="B114" s="27" t="str">
        <x:v>ORD-1111</x:v>
      </x:c>
      <x:c r="C114" s="27" t="str">
        <x:v>fabric/trim confirmation</x:v>
      </x:c>
      <x:c r="D114" s="30" t="n">
        <x:v>46164</x:v>
      </x:c>
      <x:c r="E114" s="30" t="n">
        <x:v>46164</x:v>
      </x:c>
      <x:c r="F114" s="34" t="n">
        <x:f>IF(E114="","",E114-D114)</x:f>
        <x:v>0</x:v>
      </x:c>
      <x:c r="G114" s="27" t="str">
        <x:v>Done</x:v>
      </x:c>
      <x:c r="H114" s="27" t="str">
        <x:v>No</x:v>
      </x:c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</x:row>
    <x:row r="115">
      <x:c r="A115" s="27" t="str">
        <x:v>TNA-011-04</x:v>
      </x:c>
      <x:c r="B115" s="27" t="str">
        <x:v>ORD-1111</x:v>
      </x:c>
      <x:c r="C115" s="27" t="str">
        <x:v>fit sample sent</x:v>
      </x:c>
      <x:c r="D115" s="30" t="n">
        <x:v>46168</x:v>
      </x:c>
      <x:c r="E115" s="30" t="n">
        <x:v>46168</x:v>
      </x:c>
      <x:c r="F115" s="34" t="n">
        <x:f>IF(E115="","",E115-D115)</x:f>
        <x:v>0</x:v>
      </x:c>
      <x:c r="G115" s="27" t="str">
        <x:v>Done</x:v>
      </x:c>
      <x:c r="H115" s="27" t="str">
        <x:v>No</x:v>
      </x:c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</x:row>
    <x:row r="116">
      <x:c r="A116" s="27" t="str">
        <x:v>TNA-011-05</x:v>
      </x:c>
      <x:c r="B116" s="27" t="str">
        <x:v>ORD-1111</x:v>
      </x:c>
      <x:c r="C116" s="27" t="str">
        <x:v>fit approval</x:v>
      </x:c>
      <x:c r="D116" s="30" t="n">
        <x:v>46172</x:v>
      </x:c>
      <x:c r="E116" s="30"/>
      <x:c r="F116" s="34" t="str">
        <x:f>IF(E116="","",E116-D116)</x:f>
      </x:c>
      <x:c r="G116" s="27" t="str">
        <x:v>Open</x:v>
      </x:c>
      <x:c r="H116" s="27" t="str">
        <x:v>No</x:v>
      </x:c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</x:row>
    <x:row r="117">
      <x:c r="A117" s="27" t="str">
        <x:v>TNA-011-06</x:v>
      </x:c>
      <x:c r="B117" s="27" t="str">
        <x:v>ORD-1111</x:v>
      </x:c>
      <x:c r="C117" s="27" t="str">
        <x:v>size set sample</x:v>
      </x:c>
      <x:c r="D117" s="30" t="n">
        <x:v>46176</x:v>
      </x:c>
      <x:c r="E117" s="30"/>
      <x:c r="F117" s="34" t="str">
        <x:f>IF(E117="","",E117-D117)</x:f>
      </x:c>
      <x:c r="G117" s="27" t="str">
        <x:v>Open</x:v>
      </x:c>
      <x:c r="H117" s="27" t="str">
        <x:v>No</x:v>
      </x:c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</x:row>
    <x:row r="118">
      <x:c r="A118" s="27" t="str">
        <x:v>TNA-011-07</x:v>
      </x:c>
      <x:c r="B118" s="27" t="str">
        <x:v>ORD-1111</x:v>
      </x:c>
      <x:c r="C118" s="27" t="str">
        <x:v>PP sample approval</x:v>
      </x:c>
      <x:c r="D118" s="30" t="n">
        <x:v>46180</x:v>
      </x:c>
      <x:c r="E118" s="30"/>
      <x:c r="F118" s="34" t="str">
        <x:f>IF(E118="","",E118-D118)</x:f>
      </x:c>
      <x:c r="G118" s="27" t="str">
        <x:v>Open</x:v>
      </x:c>
      <x:c r="H118" s="27" t="str">
        <x:v>Yes</x:v>
      </x:c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</x:row>
    <x:row r="119">
      <x:c r="A119" s="27" t="str">
        <x:v>TNA-011-08</x:v>
      </x:c>
      <x:c r="B119" s="27" t="str">
        <x:v>ORD-1111</x:v>
      </x:c>
      <x:c r="C119" s="27" t="str">
        <x:v>cutting start</x:v>
      </x:c>
      <x:c r="D119" s="30" t="n">
        <x:v>46186</x:v>
      </x:c>
      <x:c r="E119" s="30"/>
      <x:c r="F119" s="34" t="str">
        <x:f>IF(E119="","",E119-D119)</x:f>
      </x:c>
      <x:c r="G119" s="27" t="str">
        <x:v>Open</x:v>
      </x:c>
      <x:c r="H119" s="27" t="str">
        <x:v>Yes</x:v>
      </x:c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</x:row>
    <x:row r="120">
      <x:c r="A120" s="27" t="str">
        <x:v>TNA-011-09</x:v>
      </x:c>
      <x:c r="B120" s="27" t="str">
        <x:v>ORD-1111</x:v>
      </x:c>
      <x:c r="C120" s="27" t="str">
        <x:v>sewing start</x:v>
      </x:c>
      <x:c r="D120" s="30" t="n">
        <x:v>46189</x:v>
      </x:c>
      <x:c r="E120" s="30"/>
      <x:c r="F120" s="34" t="str">
        <x:f>IF(E120="","",E120-D120)</x:f>
      </x:c>
      <x:c r="G120" s="27" t="str">
        <x:v>Open</x:v>
      </x:c>
      <x:c r="H120" s="27" t="str">
        <x:v>Yes</x:v>
      </x:c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</x:row>
    <x:row r="121">
      <x:c r="A121" s="27" t="str">
        <x:v>TNA-011-10</x:v>
      </x:c>
      <x:c r="B121" s="27" t="str">
        <x:v>ORD-1111</x:v>
      </x:c>
      <x:c r="C121" s="27" t="str">
        <x:v>final QC</x:v>
      </x:c>
      <x:c r="D121" s="30" t="n">
        <x:v>46207</x:v>
      </x:c>
      <x:c r="E121" s="30"/>
      <x:c r="F121" s="34" t="str">
        <x:f>IF(E121="","",E121-D121)</x:f>
      </x:c>
      <x:c r="G121" s="27" t="str">
        <x:v>Open</x:v>
      </x:c>
      <x:c r="H121" s="27" t="str">
        <x:v>Yes</x:v>
      </x:c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</x:row>
    <x:row r="122">
      <x:c r="A122" s="27" t="str">
        <x:v>TNA-011-11</x:v>
      </x:c>
      <x:c r="B122" s="27" t="str">
        <x:v>ORD-1111</x:v>
      </x:c>
      <x:c r="C122" s="27" t="str">
        <x:v>ex-factory handover</x:v>
      </x:c>
      <x:c r="D122" s="30" t="n">
        <x:v>46210</x:v>
      </x:c>
      <x:c r="E122" s="30"/>
      <x:c r="F122" s="34" t="str">
        <x:f>IF(E122="","",E122-D122)</x:f>
      </x:c>
      <x:c r="G122" s="27" t="str">
        <x:v>Open</x:v>
      </x:c>
      <x:c r="H122" s="27" t="str">
        <x:v>Yes</x:v>
      </x:c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</x:row>
    <x:row r="123">
      <x:c r="A123" s="27" t="str">
        <x:v>TNA-012-01</x:v>
      </x:c>
      <x:c r="B123" s="27" t="str">
        <x:v>ORD-1112</x:v>
      </x:c>
      <x:c r="C123" s="27" t="str">
        <x:v>tech pack freeze</x:v>
      </x:c>
      <x:c r="D123" s="30" t="n">
        <x:v>46158</x:v>
      </x:c>
      <x:c r="E123" s="30" t="n">
        <x:v>46158</x:v>
      </x:c>
      <x:c r="F123" s="34" t="n">
        <x:f>IF(E123="","",E123-D123)</x:f>
        <x:v>0</x:v>
      </x:c>
      <x:c r="G123" s="27" t="str">
        <x:v>Done</x:v>
      </x:c>
      <x:c r="H123" s="27" t="str">
        <x:v>No</x:v>
      </x:c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</x:row>
    <x:row r="124">
      <x:c r="A124" s="27" t="str">
        <x:v>TNA-012-02</x:v>
      </x:c>
      <x:c r="B124" s="27" t="str">
        <x:v>ORD-1112</x:v>
      </x:c>
      <x:c r="C124" s="27" t="str">
        <x:v>line booking</x:v>
      </x:c>
      <x:c r="D124" s="30" t="n">
        <x:v>46162</x:v>
      </x:c>
      <x:c r="E124" s="30" t="n">
        <x:v>46162</x:v>
      </x:c>
      <x:c r="F124" s="34" t="n">
        <x:f>IF(E124="","",E124-D124)</x:f>
        <x:v>0</x:v>
      </x:c>
      <x:c r="G124" s="27" t="str">
        <x:v>Done</x:v>
      </x:c>
      <x:c r="H124" s="27" t="str">
        <x:v>No</x:v>
      </x:c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</x:row>
    <x:row r="125">
      <x:c r="A125" s="27" t="str">
        <x:v>TNA-012-03</x:v>
      </x:c>
      <x:c r="B125" s="27" t="str">
        <x:v>ORD-1112</x:v>
      </x:c>
      <x:c r="C125" s="27" t="str">
        <x:v>fabric/trim confirmation</x:v>
      </x:c>
      <x:c r="D125" s="30" t="n">
        <x:v>46166</x:v>
      </x:c>
      <x:c r="E125" s="30" t="n">
        <x:v>46165</x:v>
      </x:c>
      <x:c r="F125" s="34" t="n">
        <x:f>IF(E125="","",E125-D125)</x:f>
        <x:v>-1</x:v>
      </x:c>
      <x:c r="G125" s="27" t="str">
        <x:v>Done</x:v>
      </x:c>
      <x:c r="H125" s="27" t="str">
        <x:v>No</x:v>
      </x:c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</x:row>
    <x:row r="126">
      <x:c r="A126" s="27" t="str">
        <x:v>TNA-012-04</x:v>
      </x:c>
      <x:c r="B126" s="27" t="str">
        <x:v>ORD-1112</x:v>
      </x:c>
      <x:c r="C126" s="27" t="str">
        <x:v>fit sample sent</x:v>
      </x:c>
      <x:c r="D126" s="30" t="n">
        <x:v>46170</x:v>
      </x:c>
      <x:c r="E126" s="30"/>
      <x:c r="F126" s="34" t="str">
        <x:f>IF(E126="","",E126-D126)</x:f>
      </x:c>
      <x:c r="G126" s="27" t="str">
        <x:v>Open</x:v>
      </x:c>
      <x:c r="H126" s="27" t="str">
        <x:v>No</x:v>
      </x:c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</x:row>
    <x:row r="127">
      <x:c r="A127" s="27" t="str">
        <x:v>TNA-012-05</x:v>
      </x:c>
      <x:c r="B127" s="27" t="str">
        <x:v>ORD-1112</x:v>
      </x:c>
      <x:c r="C127" s="27" t="str">
        <x:v>fit approval</x:v>
      </x:c>
      <x:c r="D127" s="30" t="n">
        <x:v>46174</x:v>
      </x:c>
      <x:c r="E127" s="30"/>
      <x:c r="F127" s="34" t="str">
        <x:f>IF(E127="","",E127-D127)</x:f>
      </x:c>
      <x:c r="G127" s="27" t="str">
        <x:v>Open</x:v>
      </x:c>
      <x:c r="H127" s="27" t="str">
        <x:v>No</x:v>
      </x:c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</x:row>
    <x:row r="128">
      <x:c r="A128" s="27" t="str">
        <x:v>TNA-012-06</x:v>
      </x:c>
      <x:c r="B128" s="27" t="str">
        <x:v>ORD-1112</x:v>
      </x:c>
      <x:c r="C128" s="27" t="str">
        <x:v>size set sample</x:v>
      </x:c>
      <x:c r="D128" s="30" t="n">
        <x:v>46178</x:v>
      </x:c>
      <x:c r="E128" s="30"/>
      <x:c r="F128" s="34" t="str">
        <x:f>IF(E128="","",E128-D128)</x:f>
      </x:c>
      <x:c r="G128" s="27" t="str">
        <x:v>Open</x:v>
      </x:c>
      <x:c r="H128" s="27" t="str">
        <x:v>No</x:v>
      </x:c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</x:row>
    <x:row r="129">
      <x:c r="A129" s="27" t="str">
        <x:v>TNA-012-07</x:v>
      </x:c>
      <x:c r="B129" s="27" t="str">
        <x:v>ORD-1112</x:v>
      </x:c>
      <x:c r="C129" s="27" t="str">
        <x:v>PP sample approval</x:v>
      </x:c>
      <x:c r="D129" s="30" t="n">
        <x:v>46182</x:v>
      </x:c>
      <x:c r="E129" s="30"/>
      <x:c r="F129" s="34" t="str">
        <x:f>IF(E129="","",E129-D129)</x:f>
      </x:c>
      <x:c r="G129" s="27" t="str">
        <x:v>Open</x:v>
      </x:c>
      <x:c r="H129" s="27" t="str">
        <x:v>Yes</x:v>
      </x:c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</x:row>
    <x:row r="130">
      <x:c r="A130" s="27" t="str">
        <x:v>TNA-012-08</x:v>
      </x:c>
      <x:c r="B130" s="27" t="str">
        <x:v>ORD-1112</x:v>
      </x:c>
      <x:c r="C130" s="27" t="str">
        <x:v>cutting start</x:v>
      </x:c>
      <x:c r="D130" s="30" t="n">
        <x:v>46188</x:v>
      </x:c>
      <x:c r="E130" s="30"/>
      <x:c r="F130" s="34" t="str">
        <x:f>IF(E130="","",E130-D130)</x:f>
      </x:c>
      <x:c r="G130" s="27" t="str">
        <x:v>Open</x:v>
      </x:c>
      <x:c r="H130" s="27" t="str">
        <x:v>Yes</x:v>
      </x:c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</x:row>
    <x:row r="131">
      <x:c r="A131" s="27" t="str">
        <x:v>TNA-012-09</x:v>
      </x:c>
      <x:c r="B131" s="27" t="str">
        <x:v>ORD-1112</x:v>
      </x:c>
      <x:c r="C131" s="27" t="str">
        <x:v>sewing start</x:v>
      </x:c>
      <x:c r="D131" s="30" t="n">
        <x:v>46191</x:v>
      </x:c>
      <x:c r="E131" s="30"/>
      <x:c r="F131" s="34" t="str">
        <x:f>IF(E131="","",E131-D131)</x:f>
      </x:c>
      <x:c r="G131" s="27" t="str">
        <x:v>Open</x:v>
      </x:c>
      <x:c r="H131" s="27" t="str">
        <x:v>Yes</x:v>
      </x:c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</x:row>
    <x:row r="132">
      <x:c r="A132" s="27" t="str">
        <x:v>TNA-012-10</x:v>
      </x:c>
      <x:c r="B132" s="27" t="str">
        <x:v>ORD-1112</x:v>
      </x:c>
      <x:c r="C132" s="27" t="str">
        <x:v>final QC</x:v>
      </x:c>
      <x:c r="D132" s="30" t="n">
        <x:v>46207</x:v>
      </x:c>
      <x:c r="E132" s="30"/>
      <x:c r="F132" s="34" t="str">
        <x:f>IF(E132="","",E132-D132)</x:f>
      </x:c>
      <x:c r="G132" s="27" t="str">
        <x:v>Open</x:v>
      </x:c>
      <x:c r="H132" s="27" t="str">
        <x:v>Yes</x:v>
      </x:c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</x:row>
    <x:row r="133">
      <x:c r="A133" s="27" t="str">
        <x:v>TNA-012-11</x:v>
      </x:c>
      <x:c r="B133" s="27" t="str">
        <x:v>ORD-1112</x:v>
      </x:c>
      <x:c r="C133" s="27" t="str">
        <x:v>ex-factory handover</x:v>
      </x:c>
      <x:c r="D133" s="30" t="n">
        <x:v>46210</x:v>
      </x:c>
      <x:c r="E133" s="30"/>
      <x:c r="F133" s="34" t="str">
        <x:f>IF(E133="","",E133-D133)</x:f>
      </x:c>
      <x:c r="G133" s="27" t="str">
        <x:v>Open</x:v>
      </x:c>
      <x:c r="H133" s="27" t="str">
        <x:v>Yes</x:v>
      </x:c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</x:row>
    <x:row r="134">
      <x:c r="A134" s="27" t="str">
        <x:v>TNA-013-01</x:v>
      </x:c>
      <x:c r="B134" s="27" t="str">
        <x:v>ORD-1113</x:v>
      </x:c>
      <x:c r="C134" s="27" t="str">
        <x:v>tech pack freeze</x:v>
      </x:c>
      <x:c r="D134" s="30" t="n">
        <x:v>46160</x:v>
      </x:c>
      <x:c r="E134" s="30" t="n">
        <x:v>46160</x:v>
      </x:c>
      <x:c r="F134" s="34" t="n">
        <x:f>IF(E134="","",E134-D134)</x:f>
        <x:v>0</x:v>
      </x:c>
      <x:c r="G134" s="27" t="str">
        <x:v>Done</x:v>
      </x:c>
      <x:c r="H134" s="27" t="str">
        <x:v>No</x:v>
      </x:c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</x:row>
    <x:row r="135">
      <x:c r="A135" s="27" t="str">
        <x:v>TNA-013-02</x:v>
      </x:c>
      <x:c r="B135" s="27" t="str">
        <x:v>ORD-1113</x:v>
      </x:c>
      <x:c r="C135" s="27" t="str">
        <x:v>line booking</x:v>
      </x:c>
      <x:c r="D135" s="30" t="n">
        <x:v>46164</x:v>
      </x:c>
      <x:c r="E135" s="30" t="n">
        <x:v>46164</x:v>
      </x:c>
      <x:c r="F135" s="34" t="n">
        <x:f>IF(E135="","",E135-D135)</x:f>
        <x:v>0</x:v>
      </x:c>
      <x:c r="G135" s="27" t="str">
        <x:v>Done</x:v>
      </x:c>
      <x:c r="H135" s="27" t="str">
        <x:v>No</x:v>
      </x:c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</x:row>
    <x:row r="136">
      <x:c r="A136" s="27" t="str">
        <x:v>TNA-013-03</x:v>
      </x:c>
      <x:c r="B136" s="27" t="str">
        <x:v>ORD-1113</x:v>
      </x:c>
      <x:c r="C136" s="27" t="str">
        <x:v>fabric/trim confirmation</x:v>
      </x:c>
      <x:c r="D136" s="30" t="n">
        <x:v>46168</x:v>
      </x:c>
      <x:c r="E136" s="30" t="n">
        <x:v>46168</x:v>
      </x:c>
      <x:c r="F136" s="34" t="n">
        <x:f>IF(E136="","",E136-D136)</x:f>
        <x:v>0</x:v>
      </x:c>
      <x:c r="G136" s="27" t="str">
        <x:v>Done</x:v>
      </x:c>
      <x:c r="H136" s="27" t="str">
        <x:v>No</x:v>
      </x:c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</x:row>
    <x:row r="137">
      <x:c r="A137" s="27" t="str">
        <x:v>TNA-013-04</x:v>
      </x:c>
      <x:c r="B137" s="27" t="str">
        <x:v>ORD-1113</x:v>
      </x:c>
      <x:c r="C137" s="27" t="str">
        <x:v>fit sample sent</x:v>
      </x:c>
      <x:c r="D137" s="30" t="n">
        <x:v>46172</x:v>
      </x:c>
      <x:c r="E137" s="30"/>
      <x:c r="F137" s="34" t="str">
        <x:f>IF(E137="","",E137-D137)</x:f>
      </x:c>
      <x:c r="G137" s="27" t="str">
        <x:v>Open</x:v>
      </x:c>
      <x:c r="H137" s="27" t="str">
        <x:v>No</x:v>
      </x:c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</x:row>
    <x:row r="138">
      <x:c r="A138" s="27" t="str">
        <x:v>TNA-013-05</x:v>
      </x:c>
      <x:c r="B138" s="27" t="str">
        <x:v>ORD-1113</x:v>
      </x:c>
      <x:c r="C138" s="27" t="str">
        <x:v>fit approval</x:v>
      </x:c>
      <x:c r="D138" s="30" t="n">
        <x:v>46176</x:v>
      </x:c>
      <x:c r="E138" s="30"/>
      <x:c r="F138" s="34" t="str">
        <x:f>IF(E138="","",E138-D138)</x:f>
      </x:c>
      <x:c r="G138" s="27" t="str">
        <x:v>Open</x:v>
      </x:c>
      <x:c r="H138" s="27" t="str">
        <x:v>No</x:v>
      </x:c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</x:row>
    <x:row r="139">
      <x:c r="A139" s="27" t="str">
        <x:v>TNA-013-06</x:v>
      </x:c>
      <x:c r="B139" s="27" t="str">
        <x:v>ORD-1113</x:v>
      </x:c>
      <x:c r="C139" s="27" t="str">
        <x:v>size set sample</x:v>
      </x:c>
      <x:c r="D139" s="30" t="n">
        <x:v>46180</x:v>
      </x:c>
      <x:c r="E139" s="30"/>
      <x:c r="F139" s="34" t="str">
        <x:f>IF(E139="","",E139-D139)</x:f>
      </x:c>
      <x:c r="G139" s="27" t="str">
        <x:v>Open</x:v>
      </x:c>
      <x:c r="H139" s="27" t="str">
        <x:v>No</x:v>
      </x:c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</x:row>
    <x:row r="140">
      <x:c r="A140" s="27" t="str">
        <x:v>TNA-013-07</x:v>
      </x:c>
      <x:c r="B140" s="27" t="str">
        <x:v>ORD-1113</x:v>
      </x:c>
      <x:c r="C140" s="27" t="str">
        <x:v>PP sample approval</x:v>
      </x:c>
      <x:c r="D140" s="30" t="n">
        <x:v>46184</x:v>
      </x:c>
      <x:c r="E140" s="30"/>
      <x:c r="F140" s="34" t="str">
        <x:f>IF(E140="","",E140-D140)</x:f>
      </x:c>
      <x:c r="G140" s="27" t="str">
        <x:v>Open</x:v>
      </x:c>
      <x:c r="H140" s="27" t="str">
        <x:v>Yes</x:v>
      </x:c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</x:row>
    <x:row r="141">
      <x:c r="A141" s="27" t="str">
        <x:v>TNA-013-08</x:v>
      </x:c>
      <x:c r="B141" s="27" t="str">
        <x:v>ORD-1113</x:v>
      </x:c>
      <x:c r="C141" s="27" t="str">
        <x:v>cutting start</x:v>
      </x:c>
      <x:c r="D141" s="30" t="n">
        <x:v>46190</x:v>
      </x:c>
      <x:c r="E141" s="30"/>
      <x:c r="F141" s="34" t="str">
        <x:f>IF(E141="","",E141-D141)</x:f>
      </x:c>
      <x:c r="G141" s="27" t="str">
        <x:v>Open</x:v>
      </x:c>
      <x:c r="H141" s="27" t="str">
        <x:v>Yes</x:v>
      </x:c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</x:row>
    <x:row r="142">
      <x:c r="A142" s="27" t="str">
        <x:v>TNA-013-09</x:v>
      </x:c>
      <x:c r="B142" s="27" t="str">
        <x:v>ORD-1113</x:v>
      </x:c>
      <x:c r="C142" s="27" t="str">
        <x:v>sewing start</x:v>
      </x:c>
      <x:c r="D142" s="30" t="n">
        <x:v>46193</x:v>
      </x:c>
      <x:c r="E142" s="30"/>
      <x:c r="F142" s="34" t="str">
        <x:f>IF(E142="","",E142-D142)</x:f>
      </x:c>
      <x:c r="G142" s="27" t="str">
        <x:v>Open</x:v>
      </x:c>
      <x:c r="H142" s="27" t="str">
        <x:v>Yes</x:v>
      </x:c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</x:row>
    <x:row r="143">
      <x:c r="A143" s="27" t="str">
        <x:v>TNA-013-10</x:v>
      </x:c>
      <x:c r="B143" s="27" t="str">
        <x:v>ORD-1113</x:v>
      </x:c>
      <x:c r="C143" s="27" t="str">
        <x:v>final QC</x:v>
      </x:c>
      <x:c r="D143" s="30" t="n">
        <x:v>46216</x:v>
      </x:c>
      <x:c r="E143" s="30"/>
      <x:c r="F143" s="34" t="str">
        <x:f>IF(E143="","",E143-D143)</x:f>
      </x:c>
      <x:c r="G143" s="27" t="str">
        <x:v>Open</x:v>
      </x:c>
      <x:c r="H143" s="27" t="str">
        <x:v>Yes</x:v>
      </x:c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</x:row>
    <x:row r="144">
      <x:c r="A144" s="27" t="str">
        <x:v>TNA-013-11</x:v>
      </x:c>
      <x:c r="B144" s="27" t="str">
        <x:v>ORD-1113</x:v>
      </x:c>
      <x:c r="C144" s="27" t="str">
        <x:v>ex-factory handover</x:v>
      </x:c>
      <x:c r="D144" s="30" t="n">
        <x:v>46219</x:v>
      </x:c>
      <x:c r="E144" s="30"/>
      <x:c r="F144" s="34" t="str">
        <x:f>IF(E144="","",E144-D144)</x:f>
      </x:c>
      <x:c r="G144" s="27" t="str">
        <x:v>Open</x:v>
      </x:c>
      <x:c r="H144" s="27" t="str">
        <x:v>Yes</x:v>
      </x:c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</x:row>
    <x:row r="145">
      <x:c r="A145" s="27" t="str">
        <x:v>TNA-014-01</x:v>
      </x:c>
      <x:c r="B145" s="27" t="str">
        <x:v>ORD-1114</x:v>
      </x:c>
      <x:c r="C145" s="27" t="str">
        <x:v>tech pack freeze</x:v>
      </x:c>
      <x:c r="D145" s="30" t="n">
        <x:v>46162</x:v>
      </x:c>
      <x:c r="E145" s="30" t="n">
        <x:v>46161</x:v>
      </x:c>
      <x:c r="F145" s="34" t="n">
        <x:f>IF(E145="","",E145-D145)</x:f>
        <x:v>-1</x:v>
      </x:c>
      <x:c r="G145" s="27" t="str">
        <x:v>Done</x:v>
      </x:c>
      <x:c r="H145" s="27" t="str">
        <x:v>No</x:v>
      </x:c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</x:row>
    <x:row r="146">
      <x:c r="A146" s="27" t="str">
        <x:v>TNA-014-02</x:v>
      </x:c>
      <x:c r="B146" s="27" t="str">
        <x:v>ORD-1114</x:v>
      </x:c>
      <x:c r="C146" s="27" t="str">
        <x:v>line booking</x:v>
      </x:c>
      <x:c r="D146" s="30" t="n">
        <x:v>46166</x:v>
      </x:c>
      <x:c r="E146" s="30" t="n">
        <x:v>46166</x:v>
      </x:c>
      <x:c r="F146" s="34" t="n">
        <x:f>IF(E146="","",E146-D146)</x:f>
        <x:v>0</x:v>
      </x:c>
      <x:c r="G146" s="27" t="str">
        <x:v>Done</x:v>
      </x:c>
      <x:c r="H146" s="27" t="str">
        <x:v>No</x:v>
      </x:c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</x:row>
    <x:row r="147">
      <x:c r="A147" s="27" t="str">
        <x:v>TNA-014-03</x:v>
      </x:c>
      <x:c r="B147" s="27" t="str">
        <x:v>ORD-1114</x:v>
      </x:c>
      <x:c r="C147" s="27" t="str">
        <x:v>fabric/trim confirmation</x:v>
      </x:c>
      <x:c r="D147" s="30" t="n">
        <x:v>46170</x:v>
      </x:c>
      <x:c r="E147" s="30"/>
      <x:c r="F147" s="34" t="str">
        <x:f>IF(E147="","",E147-D147)</x:f>
      </x:c>
      <x:c r="G147" s="27" t="str">
        <x:v>Open</x:v>
      </x:c>
      <x:c r="H147" s="27" t="str">
        <x:v>No</x:v>
      </x:c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</x:row>
    <x:row r="148">
      <x:c r="A148" s="27" t="str">
        <x:v>TNA-014-04</x:v>
      </x:c>
      <x:c r="B148" s="27" t="str">
        <x:v>ORD-1114</x:v>
      </x:c>
      <x:c r="C148" s="27" t="str">
        <x:v>fit sample sent</x:v>
      </x:c>
      <x:c r="D148" s="30" t="n">
        <x:v>46174</x:v>
      </x:c>
      <x:c r="E148" s="30"/>
      <x:c r="F148" s="34" t="str">
        <x:f>IF(E148="","",E148-D148)</x:f>
      </x:c>
      <x:c r="G148" s="27" t="str">
        <x:v>Open</x:v>
      </x:c>
      <x:c r="H148" s="27" t="str">
        <x:v>No</x:v>
      </x:c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</x:row>
    <x:row r="149">
      <x:c r="A149" s="27" t="str">
        <x:v>TNA-014-05</x:v>
      </x:c>
      <x:c r="B149" s="27" t="str">
        <x:v>ORD-1114</x:v>
      </x:c>
      <x:c r="C149" s="27" t="str">
        <x:v>fit approval</x:v>
      </x:c>
      <x:c r="D149" s="30" t="n">
        <x:v>46178</x:v>
      </x:c>
      <x:c r="E149" s="30"/>
      <x:c r="F149" s="34" t="str">
        <x:f>IF(E149="","",E149-D149)</x:f>
      </x:c>
      <x:c r="G149" s="27" t="str">
        <x:v>Open</x:v>
      </x:c>
      <x:c r="H149" s="27" t="str">
        <x:v>No</x:v>
      </x:c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</x:row>
    <x:row r="150">
      <x:c r="A150" s="27" t="str">
        <x:v>TNA-014-06</x:v>
      </x:c>
      <x:c r="B150" s="27" t="str">
        <x:v>ORD-1114</x:v>
      </x:c>
      <x:c r="C150" s="27" t="str">
        <x:v>size set sample</x:v>
      </x:c>
      <x:c r="D150" s="30" t="n">
        <x:v>46182</x:v>
      </x:c>
      <x:c r="E150" s="30"/>
      <x:c r="F150" s="34" t="str">
        <x:f>IF(E150="","",E150-D150)</x:f>
      </x:c>
      <x:c r="G150" s="27" t="str">
        <x:v>Open</x:v>
      </x:c>
      <x:c r="H150" s="27" t="str">
        <x:v>No</x:v>
      </x:c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</x:row>
    <x:row r="151">
      <x:c r="A151" s="27" t="str">
        <x:v>TNA-014-07</x:v>
      </x:c>
      <x:c r="B151" s="27" t="str">
        <x:v>ORD-1114</x:v>
      </x:c>
      <x:c r="C151" s="27" t="str">
        <x:v>PP sample approval</x:v>
      </x:c>
      <x:c r="D151" s="30" t="n">
        <x:v>46186</x:v>
      </x:c>
      <x:c r="E151" s="30"/>
      <x:c r="F151" s="34" t="str">
        <x:f>IF(E151="","",E151-D151)</x:f>
      </x:c>
      <x:c r="G151" s="27" t="str">
        <x:v>Open</x:v>
      </x:c>
      <x:c r="H151" s="27" t="str">
        <x:v>Yes</x:v>
      </x:c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</x:row>
    <x:row r="152">
      <x:c r="A152" s="27" t="str">
        <x:v>TNA-014-08</x:v>
      </x:c>
      <x:c r="B152" s="27" t="str">
        <x:v>ORD-1114</x:v>
      </x:c>
      <x:c r="C152" s="27" t="str">
        <x:v>cutting start</x:v>
      </x:c>
      <x:c r="D152" s="30" t="n">
        <x:v>46192</x:v>
      </x:c>
      <x:c r="E152" s="30"/>
      <x:c r="F152" s="34" t="str">
        <x:f>IF(E152="","",E152-D152)</x:f>
      </x:c>
      <x:c r="G152" s="27" t="str">
        <x:v>Open</x:v>
      </x:c>
      <x:c r="H152" s="27" t="str">
        <x:v>Yes</x:v>
      </x:c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</x:row>
    <x:row r="153">
      <x:c r="A153" s="27" t="str">
        <x:v>TNA-014-09</x:v>
      </x:c>
      <x:c r="B153" s="27" t="str">
        <x:v>ORD-1114</x:v>
      </x:c>
      <x:c r="C153" s="27" t="str">
        <x:v>sewing start</x:v>
      </x:c>
      <x:c r="D153" s="30" t="n">
        <x:v>46195</x:v>
      </x:c>
      <x:c r="E153" s="30"/>
      <x:c r="F153" s="34" t="str">
        <x:f>IF(E153="","",E153-D153)</x:f>
      </x:c>
      <x:c r="G153" s="27" t="str">
        <x:v>Open</x:v>
      </x:c>
      <x:c r="H153" s="27" t="str">
        <x:v>Yes</x:v>
      </x:c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</x:row>
    <x:row r="154">
      <x:c r="A154" s="27" t="str">
        <x:v>TNA-014-10</x:v>
      </x:c>
      <x:c r="B154" s="27" t="str">
        <x:v>ORD-1114</x:v>
      </x:c>
      <x:c r="C154" s="27" t="str">
        <x:v>final QC</x:v>
      </x:c>
      <x:c r="D154" s="30" t="n">
        <x:v>46211</x:v>
      </x:c>
      <x:c r="E154" s="30"/>
      <x:c r="F154" s="34" t="str">
        <x:f>IF(E154="","",E154-D154)</x:f>
      </x:c>
      <x:c r="G154" s="27" t="str">
        <x:v>Open</x:v>
      </x:c>
      <x:c r="H154" s="27" t="str">
        <x:v>Yes</x:v>
      </x:c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</x:row>
    <x:row r="155">
      <x:c r="A155" s="27" t="str">
        <x:v>TNA-014-11</x:v>
      </x:c>
      <x:c r="B155" s="27" t="str">
        <x:v>ORD-1114</x:v>
      </x:c>
      <x:c r="C155" s="27" t="str">
        <x:v>ex-factory handover</x:v>
      </x:c>
      <x:c r="D155" s="30" t="n">
        <x:v>46214</x:v>
      </x:c>
      <x:c r="E155" s="30"/>
      <x:c r="F155" s="34" t="str">
        <x:f>IF(E155="","",E155-D155)</x:f>
      </x:c>
      <x:c r="G155" s="27" t="str">
        <x:v>Open</x:v>
      </x:c>
      <x:c r="H155" s="27" t="str">
        <x:v>Yes</x:v>
      </x:c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</x:row>
    <x:row r="156">
      <x:c r="A156" s="27" t="str">
        <x:v>TNA-015-01</x:v>
      </x:c>
      <x:c r="B156" s="27" t="str">
        <x:v>ORD-1115</x:v>
      </x:c>
      <x:c r="C156" s="27" t="str">
        <x:v>tech pack freeze</x:v>
      </x:c>
      <x:c r="D156" s="30" t="n">
        <x:v>46164</x:v>
      </x:c>
      <x:c r="E156" s="30" t="n">
        <x:v>46164</x:v>
      </x:c>
      <x:c r="F156" s="34" t="n">
        <x:f>IF(E156="","",E156-D156)</x:f>
        <x:v>0</x:v>
      </x:c>
      <x:c r="G156" s="27" t="str">
        <x:v>Done</x:v>
      </x:c>
      <x:c r="H156" s="27" t="str">
        <x:v>No</x:v>
      </x:c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</x:row>
    <x:row r="157">
      <x:c r="A157" s="27" t="str">
        <x:v>TNA-015-02</x:v>
      </x:c>
      <x:c r="B157" s="27" t="str">
        <x:v>ORD-1115</x:v>
      </x:c>
      <x:c r="C157" s="27" t="str">
        <x:v>line booking</x:v>
      </x:c>
      <x:c r="D157" s="30" t="n">
        <x:v>46168</x:v>
      </x:c>
      <x:c r="E157" s="30" t="n">
        <x:v>46167</x:v>
      </x:c>
      <x:c r="F157" s="34" t="n">
        <x:f>IF(E157="","",E157-D157)</x:f>
        <x:v>-1</x:v>
      </x:c>
      <x:c r="G157" s="27" t="str">
        <x:v>Done</x:v>
      </x:c>
      <x:c r="H157" s="27" t="str">
        <x:v>No</x:v>
      </x:c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</x:row>
    <x:row r="158">
      <x:c r="A158" s="27" t="str">
        <x:v>TNA-015-03</x:v>
      </x:c>
      <x:c r="B158" s="27" t="str">
        <x:v>ORD-1115</x:v>
      </x:c>
      <x:c r="C158" s="27" t="str">
        <x:v>fabric/trim confirmation</x:v>
      </x:c>
      <x:c r="D158" s="30" t="n">
        <x:v>46172</x:v>
      </x:c>
      <x:c r="E158" s="30"/>
      <x:c r="F158" s="34" t="str">
        <x:f>IF(E158="","",E158-D158)</x:f>
      </x:c>
      <x:c r="G158" s="27" t="str">
        <x:v>Open</x:v>
      </x:c>
      <x:c r="H158" s="27" t="str">
        <x:v>No</x:v>
      </x:c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</x:row>
    <x:row r="159">
      <x:c r="A159" s="27" t="str">
        <x:v>TNA-015-04</x:v>
      </x:c>
      <x:c r="B159" s="27" t="str">
        <x:v>ORD-1115</x:v>
      </x:c>
      <x:c r="C159" s="27" t="str">
        <x:v>fit sample sent</x:v>
      </x:c>
      <x:c r="D159" s="30" t="n">
        <x:v>46176</x:v>
      </x:c>
      <x:c r="E159" s="30"/>
      <x:c r="F159" s="34" t="str">
        <x:f>IF(E159="","",E159-D159)</x:f>
      </x:c>
      <x:c r="G159" s="27" t="str">
        <x:v>Open</x:v>
      </x:c>
      <x:c r="H159" s="27" t="str">
        <x:v>No</x:v>
      </x:c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</x:row>
    <x:row r="160">
      <x:c r="A160" s="27" t="str">
        <x:v>TNA-015-05</x:v>
      </x:c>
      <x:c r="B160" s="27" t="str">
        <x:v>ORD-1115</x:v>
      </x:c>
      <x:c r="C160" s="27" t="str">
        <x:v>fit approval</x:v>
      </x:c>
      <x:c r="D160" s="30" t="n">
        <x:v>46180</x:v>
      </x:c>
      <x:c r="E160" s="30"/>
      <x:c r="F160" s="34" t="str">
        <x:f>IF(E160="","",E160-D160)</x:f>
      </x:c>
      <x:c r="G160" s="27" t="str">
        <x:v>Open</x:v>
      </x:c>
      <x:c r="H160" s="27" t="str">
        <x:v>No</x:v>
      </x:c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</x:row>
    <x:row r="161">
      <x:c r="A161" s="27" t="str">
        <x:v>TNA-015-06</x:v>
      </x:c>
      <x:c r="B161" s="27" t="str">
        <x:v>ORD-1115</x:v>
      </x:c>
      <x:c r="C161" s="27" t="str">
        <x:v>size set sample</x:v>
      </x:c>
      <x:c r="D161" s="30" t="n">
        <x:v>46184</x:v>
      </x:c>
      <x:c r="E161" s="30"/>
      <x:c r="F161" s="34" t="str">
        <x:f>IF(E161="","",E161-D161)</x:f>
      </x:c>
      <x:c r="G161" s="27" t="str">
        <x:v>Open</x:v>
      </x:c>
      <x:c r="H161" s="27" t="str">
        <x:v>No</x:v>
      </x:c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</x:row>
    <x:row r="162">
      <x:c r="A162" s="27" t="str">
        <x:v>TNA-015-07</x:v>
      </x:c>
      <x:c r="B162" s="27" t="str">
        <x:v>ORD-1115</x:v>
      </x:c>
      <x:c r="C162" s="27" t="str">
        <x:v>PP sample approval</x:v>
      </x:c>
      <x:c r="D162" s="30" t="n">
        <x:v>46188</x:v>
      </x:c>
      <x:c r="E162" s="30"/>
      <x:c r="F162" s="34" t="str">
        <x:f>IF(E162="","",E162-D162)</x:f>
      </x:c>
      <x:c r="G162" s="27" t="str">
        <x:v>Open</x:v>
      </x:c>
      <x:c r="H162" s="27" t="str">
        <x:v>Yes</x:v>
      </x:c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</x:row>
    <x:row r="163">
      <x:c r="A163" s="27" t="str">
        <x:v>TNA-015-08</x:v>
      </x:c>
      <x:c r="B163" s="27" t="str">
        <x:v>ORD-1115</x:v>
      </x:c>
      <x:c r="C163" s="27" t="str">
        <x:v>cutting start</x:v>
      </x:c>
      <x:c r="D163" s="30" t="n">
        <x:v>46194</x:v>
      </x:c>
      <x:c r="E163" s="30"/>
      <x:c r="F163" s="34" t="str">
        <x:f>IF(E163="","",E163-D163)</x:f>
      </x:c>
      <x:c r="G163" s="27" t="str">
        <x:v>Open</x:v>
      </x:c>
      <x:c r="H163" s="27" t="str">
        <x:v>Yes</x:v>
      </x:c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</x:row>
    <x:row r="164">
      <x:c r="A164" s="27" t="str">
        <x:v>TNA-015-09</x:v>
      </x:c>
      <x:c r="B164" s="27" t="str">
        <x:v>ORD-1115</x:v>
      </x:c>
      <x:c r="C164" s="27" t="str">
        <x:v>sewing start</x:v>
      </x:c>
      <x:c r="D164" s="30" t="n">
        <x:v>46197</x:v>
      </x:c>
      <x:c r="E164" s="30"/>
      <x:c r="F164" s="34" t="str">
        <x:f>IF(E164="","",E164-D164)</x:f>
      </x:c>
      <x:c r="G164" s="27" t="str">
        <x:v>Open</x:v>
      </x:c>
      <x:c r="H164" s="27" t="str">
        <x:v>Yes</x:v>
      </x:c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</x:row>
    <x:row r="165">
      <x:c r="A165" s="27" t="str">
        <x:v>TNA-015-10</x:v>
      </x:c>
      <x:c r="B165" s="27" t="str">
        <x:v>ORD-1115</x:v>
      </x:c>
      <x:c r="C165" s="27" t="str">
        <x:v>final QC</x:v>
      </x:c>
      <x:c r="D165" s="30" t="n">
        <x:v>46216</x:v>
      </x:c>
      <x:c r="E165" s="30"/>
      <x:c r="F165" s="34" t="str">
        <x:f>IF(E165="","",E165-D165)</x:f>
      </x:c>
      <x:c r="G165" s="27" t="str">
        <x:v>Open</x:v>
      </x:c>
      <x:c r="H165" s="27" t="str">
        <x:v>Yes</x:v>
      </x:c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</x:row>
    <x:row r="166">
      <x:c r="A166" s="27" t="str">
        <x:v>TNA-015-11</x:v>
      </x:c>
      <x:c r="B166" s="27" t="str">
        <x:v>ORD-1115</x:v>
      </x:c>
      <x:c r="C166" s="27" t="str">
        <x:v>ex-factory handover</x:v>
      </x:c>
      <x:c r="D166" s="30" t="n">
        <x:v>46219</x:v>
      </x:c>
      <x:c r="E166" s="30"/>
      <x:c r="F166" s="34" t="str">
        <x:f>IF(E166="","",E166-D166)</x:f>
      </x:c>
      <x:c r="G166" s="27" t="str">
        <x:v>Open</x:v>
      </x:c>
      <x:c r="H166" s="27" t="str">
        <x:v>Yes</x:v>
      </x:c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</x:row>
    <x:row r="167">
      <x:c r="A167" s="27" t="str">
        <x:v>TNA-016-01</x:v>
      </x:c>
      <x:c r="B167" s="27" t="str">
        <x:v>ORD-1116</x:v>
      </x:c>
      <x:c r="C167" s="27" t="str">
        <x:v>tech pack freeze</x:v>
      </x:c>
      <x:c r="D167" s="30" t="n">
        <x:v>46166</x:v>
      </x:c>
      <x:c r="E167" s="30" t="n">
        <x:v>46166</x:v>
      </x:c>
      <x:c r="F167" s="34" t="n">
        <x:f>IF(E167="","",E167-D167)</x:f>
        <x:v>0</x:v>
      </x:c>
      <x:c r="G167" s="27" t="str">
        <x:v>Done</x:v>
      </x:c>
      <x:c r="H167" s="27" t="str">
        <x:v>No</x:v>
      </x:c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</x:row>
    <x:row r="168">
      <x:c r="A168" s="27" t="str">
        <x:v>TNA-016-02</x:v>
      </x:c>
      <x:c r="B168" s="27" t="str">
        <x:v>ORD-1116</x:v>
      </x:c>
      <x:c r="C168" s="27" t="str">
        <x:v>line booking</x:v>
      </x:c>
      <x:c r="D168" s="30" t="n">
        <x:v>46170</x:v>
      </x:c>
      <x:c r="E168" s="30"/>
      <x:c r="F168" s="34" t="str">
        <x:f>IF(E168="","",E168-D168)</x:f>
      </x:c>
      <x:c r="G168" s="27" t="str">
        <x:v>Open</x:v>
      </x:c>
      <x:c r="H168" s="27" t="str">
        <x:v>No</x:v>
      </x:c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</x:row>
    <x:row r="169">
      <x:c r="A169" s="27" t="str">
        <x:v>TNA-016-03</x:v>
      </x:c>
      <x:c r="B169" s="27" t="str">
        <x:v>ORD-1116</x:v>
      </x:c>
      <x:c r="C169" s="27" t="str">
        <x:v>fabric/trim confirmation</x:v>
      </x:c>
      <x:c r="D169" s="30" t="n">
        <x:v>46174</x:v>
      </x:c>
      <x:c r="E169" s="30"/>
      <x:c r="F169" s="34" t="str">
        <x:f>IF(E169="","",E169-D169)</x:f>
      </x:c>
      <x:c r="G169" s="27" t="str">
        <x:v>Open</x:v>
      </x:c>
      <x:c r="H169" s="27" t="str">
        <x:v>No</x:v>
      </x:c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</x:row>
    <x:row r="170">
      <x:c r="A170" s="27" t="str">
        <x:v>TNA-016-04</x:v>
      </x:c>
      <x:c r="B170" s="27" t="str">
        <x:v>ORD-1116</x:v>
      </x:c>
      <x:c r="C170" s="27" t="str">
        <x:v>fit sample sent</x:v>
      </x:c>
      <x:c r="D170" s="30" t="n">
        <x:v>46178</x:v>
      </x:c>
      <x:c r="E170" s="30"/>
      <x:c r="F170" s="34" t="str">
        <x:f>IF(E170="","",E170-D170)</x:f>
      </x:c>
      <x:c r="G170" s="27" t="str">
        <x:v>Open</x:v>
      </x:c>
      <x:c r="H170" s="27" t="str">
        <x:v>No</x:v>
      </x:c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</x:row>
    <x:row r="171">
      <x:c r="A171" s="27" t="str">
        <x:v>TNA-016-05</x:v>
      </x:c>
      <x:c r="B171" s="27" t="str">
        <x:v>ORD-1116</x:v>
      </x:c>
      <x:c r="C171" s="27" t="str">
        <x:v>fit approval</x:v>
      </x:c>
      <x:c r="D171" s="30" t="n">
        <x:v>46182</x:v>
      </x:c>
      <x:c r="E171" s="30"/>
      <x:c r="F171" s="34" t="str">
        <x:f>IF(E171="","",E171-D171)</x:f>
      </x:c>
      <x:c r="G171" s="27" t="str">
        <x:v>Open</x:v>
      </x:c>
      <x:c r="H171" s="27" t="str">
        <x:v>No</x:v>
      </x:c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</x:row>
    <x:row r="172">
      <x:c r="A172" s="27" t="str">
        <x:v>TNA-016-06</x:v>
      </x:c>
      <x:c r="B172" s="27" t="str">
        <x:v>ORD-1116</x:v>
      </x:c>
      <x:c r="C172" s="27" t="str">
        <x:v>size set sample</x:v>
      </x:c>
      <x:c r="D172" s="30" t="n">
        <x:v>46186</x:v>
      </x:c>
      <x:c r="E172" s="30"/>
      <x:c r="F172" s="34" t="str">
        <x:f>IF(E172="","",E172-D172)</x:f>
      </x:c>
      <x:c r="G172" s="27" t="str">
        <x:v>Open</x:v>
      </x:c>
      <x:c r="H172" s="27" t="str">
        <x:v>No</x:v>
      </x:c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</x:row>
    <x:row r="173">
      <x:c r="A173" s="27" t="str">
        <x:v>TNA-016-07</x:v>
      </x:c>
      <x:c r="B173" s="27" t="str">
        <x:v>ORD-1116</x:v>
      </x:c>
      <x:c r="C173" s="27" t="str">
        <x:v>PP sample approval</x:v>
      </x:c>
      <x:c r="D173" s="30" t="n">
        <x:v>46190</x:v>
      </x:c>
      <x:c r="E173" s="30"/>
      <x:c r="F173" s="34" t="str">
        <x:f>IF(E173="","",E173-D173)</x:f>
      </x:c>
      <x:c r="G173" s="27" t="str">
        <x:v>Open</x:v>
      </x:c>
      <x:c r="H173" s="27" t="str">
        <x:v>Yes</x:v>
      </x:c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</x:row>
    <x:row r="174">
      <x:c r="A174" s="27" t="str">
        <x:v>TNA-016-08</x:v>
      </x:c>
      <x:c r="B174" s="27" t="str">
        <x:v>ORD-1116</x:v>
      </x:c>
      <x:c r="C174" s="27" t="str">
        <x:v>cutting start</x:v>
      </x:c>
      <x:c r="D174" s="30" t="n">
        <x:v>46196</x:v>
      </x:c>
      <x:c r="E174" s="30"/>
      <x:c r="F174" s="34" t="str">
        <x:f>IF(E174="","",E174-D174)</x:f>
      </x:c>
      <x:c r="G174" s="27" t="str">
        <x:v>Open</x:v>
      </x:c>
      <x:c r="H174" s="27" t="str">
        <x:v>Yes</x:v>
      </x:c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</x:row>
    <x:row r="175">
      <x:c r="A175" s="27" t="str">
        <x:v>TNA-016-09</x:v>
      </x:c>
      <x:c r="B175" s="27" t="str">
        <x:v>ORD-1116</x:v>
      </x:c>
      <x:c r="C175" s="27" t="str">
        <x:v>sewing start</x:v>
      </x:c>
      <x:c r="D175" s="30" t="n">
        <x:v>46199</x:v>
      </x:c>
      <x:c r="E175" s="30"/>
      <x:c r="F175" s="34" t="str">
        <x:f>IF(E175="","",E175-D175)</x:f>
      </x:c>
      <x:c r="G175" s="27" t="str">
        <x:v>Open</x:v>
      </x:c>
      <x:c r="H175" s="27" t="str">
        <x:v>Yes</x:v>
      </x:c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</x:row>
    <x:row r="176">
      <x:c r="A176" s="27" t="str">
        <x:v>TNA-016-10</x:v>
      </x:c>
      <x:c r="B176" s="27" t="str">
        <x:v>ORD-1116</x:v>
      </x:c>
      <x:c r="C176" s="27" t="str">
        <x:v>final QC</x:v>
      </x:c>
      <x:c r="D176" s="30" t="n">
        <x:v>46210</x:v>
      </x:c>
      <x:c r="E176" s="30"/>
      <x:c r="F176" s="34" t="str">
        <x:f>IF(E176="","",E176-D176)</x:f>
      </x:c>
      <x:c r="G176" s="27" t="str">
        <x:v>Open</x:v>
      </x:c>
      <x:c r="H176" s="27" t="str">
        <x:v>Yes</x:v>
      </x:c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</x:row>
    <x:row r="177">
      <x:c r="A177" s="27" t="str">
        <x:v>TNA-016-11</x:v>
      </x:c>
      <x:c r="B177" s="27" t="str">
        <x:v>ORD-1116</x:v>
      </x:c>
      <x:c r="C177" s="27" t="str">
        <x:v>ex-factory handover</x:v>
      </x:c>
      <x:c r="D177" s="30" t="n">
        <x:v>46213</x:v>
      </x:c>
      <x:c r="E177" s="30"/>
      <x:c r="F177" s="34" t="str">
        <x:f>IF(E177="","",E177-D177)</x:f>
      </x:c>
      <x:c r="G177" s="27" t="str">
        <x:v>Open</x:v>
      </x:c>
      <x:c r="H177" s="27" t="str">
        <x:v>Yes</x:v>
      </x:c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</x:row>
    <x:row r="178">
      <x:c r="A178" s="27" t="str">
        <x:v>TNA-017-01</x:v>
      </x:c>
      <x:c r="B178" s="27" t="str">
        <x:v>ORD-1117</x:v>
      </x:c>
      <x:c r="C178" s="27" t="str">
        <x:v>tech pack freeze</x:v>
      </x:c>
      <x:c r="D178" s="30" t="n">
        <x:v>46168</x:v>
      </x:c>
      <x:c r="E178" s="30" t="n">
        <x:v>46168</x:v>
      </x:c>
      <x:c r="F178" s="34" t="n">
        <x:f>IF(E178="","",E178-D178)</x:f>
        <x:v>0</x:v>
      </x:c>
      <x:c r="G178" s="27" t="str">
        <x:v>Done</x:v>
      </x:c>
      <x:c r="H178" s="27" t="str">
        <x:v>No</x:v>
      </x:c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</x:row>
    <x:row r="179">
      <x:c r="A179" s="27" t="str">
        <x:v>TNA-017-02</x:v>
      </x:c>
      <x:c r="B179" s="27" t="str">
        <x:v>ORD-1117</x:v>
      </x:c>
      <x:c r="C179" s="27" t="str">
        <x:v>line booking</x:v>
      </x:c>
      <x:c r="D179" s="30" t="n">
        <x:v>46172</x:v>
      </x:c>
      <x:c r="E179" s="30"/>
      <x:c r="F179" s="34" t="str">
        <x:f>IF(E179="","",E179-D179)</x:f>
      </x:c>
      <x:c r="G179" s="27" t="str">
        <x:v>Open</x:v>
      </x:c>
      <x:c r="H179" s="27" t="str">
        <x:v>No</x:v>
      </x:c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</x:row>
    <x:row r="180">
      <x:c r="A180" s="27" t="str">
        <x:v>TNA-017-03</x:v>
      </x:c>
      <x:c r="B180" s="27" t="str">
        <x:v>ORD-1117</x:v>
      </x:c>
      <x:c r="C180" s="27" t="str">
        <x:v>fabric/trim confirmation</x:v>
      </x:c>
      <x:c r="D180" s="30" t="n">
        <x:v>46176</x:v>
      </x:c>
      <x:c r="E180" s="30"/>
      <x:c r="F180" s="34" t="str">
        <x:f>IF(E180="","",E180-D180)</x:f>
      </x:c>
      <x:c r="G180" s="27" t="str">
        <x:v>Open</x:v>
      </x:c>
      <x:c r="H180" s="27" t="str">
        <x:v>No</x:v>
      </x:c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</x:row>
    <x:row r="181">
      <x:c r="A181" s="27" t="str">
        <x:v>TNA-017-04</x:v>
      </x:c>
      <x:c r="B181" s="27" t="str">
        <x:v>ORD-1117</x:v>
      </x:c>
      <x:c r="C181" s="27" t="str">
        <x:v>fit sample sent</x:v>
      </x:c>
      <x:c r="D181" s="30" t="n">
        <x:v>46180</x:v>
      </x:c>
      <x:c r="E181" s="30"/>
      <x:c r="F181" s="34" t="str">
        <x:f>IF(E181="","",E181-D181)</x:f>
      </x:c>
      <x:c r="G181" s="27" t="str">
        <x:v>Open</x:v>
      </x:c>
      <x:c r="H181" s="27" t="str">
        <x:v>No</x:v>
      </x:c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</x:row>
    <x:row r="182">
      <x:c r="A182" s="27" t="str">
        <x:v>TNA-017-05</x:v>
      </x:c>
      <x:c r="B182" s="27" t="str">
        <x:v>ORD-1117</x:v>
      </x:c>
      <x:c r="C182" s="27" t="str">
        <x:v>fit approval</x:v>
      </x:c>
      <x:c r="D182" s="30" t="n">
        <x:v>46184</x:v>
      </x:c>
      <x:c r="E182" s="30"/>
      <x:c r="F182" s="34" t="str">
        <x:f>IF(E182="","",E182-D182)</x:f>
      </x:c>
      <x:c r="G182" s="27" t="str">
        <x:v>Open</x:v>
      </x:c>
      <x:c r="H182" s="27" t="str">
        <x:v>No</x:v>
      </x:c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</x:row>
    <x:row r="183">
      <x:c r="A183" s="27" t="str">
        <x:v>TNA-017-06</x:v>
      </x:c>
      <x:c r="B183" s="27" t="str">
        <x:v>ORD-1117</x:v>
      </x:c>
      <x:c r="C183" s="27" t="str">
        <x:v>size set sample</x:v>
      </x:c>
      <x:c r="D183" s="30" t="n">
        <x:v>46188</x:v>
      </x:c>
      <x:c r="E183" s="30"/>
      <x:c r="F183" s="34" t="str">
        <x:f>IF(E183="","",E183-D183)</x:f>
      </x:c>
      <x:c r="G183" s="27" t="str">
        <x:v>Open</x:v>
      </x:c>
      <x:c r="H183" s="27" t="str">
        <x:v>No</x:v>
      </x:c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</x:row>
    <x:row r="184">
      <x:c r="A184" s="27" t="str">
        <x:v>TNA-017-07</x:v>
      </x:c>
      <x:c r="B184" s="27" t="str">
        <x:v>ORD-1117</x:v>
      </x:c>
      <x:c r="C184" s="27" t="str">
        <x:v>PP sample approval</x:v>
      </x:c>
      <x:c r="D184" s="30" t="n">
        <x:v>46192</x:v>
      </x:c>
      <x:c r="E184" s="30"/>
      <x:c r="F184" s="34" t="str">
        <x:f>IF(E184="","",E184-D184)</x:f>
      </x:c>
      <x:c r="G184" s="27" t="str">
        <x:v>Open</x:v>
      </x:c>
      <x:c r="H184" s="27" t="str">
        <x:v>Yes</x:v>
      </x:c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</x:row>
    <x:row r="185">
      <x:c r="A185" s="27" t="str">
        <x:v>TNA-017-08</x:v>
      </x:c>
      <x:c r="B185" s="27" t="str">
        <x:v>ORD-1117</x:v>
      </x:c>
      <x:c r="C185" s="27" t="str">
        <x:v>cutting start</x:v>
      </x:c>
      <x:c r="D185" s="30" t="n">
        <x:v>46198</x:v>
      </x:c>
      <x:c r="E185" s="30"/>
      <x:c r="F185" s="34" t="str">
        <x:f>IF(E185="","",E185-D185)</x:f>
      </x:c>
      <x:c r="G185" s="27" t="str">
        <x:v>Open</x:v>
      </x:c>
      <x:c r="H185" s="27" t="str">
        <x:v>Yes</x:v>
      </x:c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</x:row>
    <x:row r="186">
      <x:c r="A186" s="27" t="str">
        <x:v>TNA-017-09</x:v>
      </x:c>
      <x:c r="B186" s="27" t="str">
        <x:v>ORD-1117</x:v>
      </x:c>
      <x:c r="C186" s="27" t="str">
        <x:v>sewing start</x:v>
      </x:c>
      <x:c r="D186" s="30" t="n">
        <x:v>46201</x:v>
      </x:c>
      <x:c r="E186" s="30"/>
      <x:c r="F186" s="34" t="str">
        <x:f>IF(E186="","",E186-D186)</x:f>
      </x:c>
      <x:c r="G186" s="27" t="str">
        <x:v>Open</x:v>
      </x:c>
      <x:c r="H186" s="27" t="str">
        <x:v>Yes</x:v>
      </x:c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</x:row>
    <x:row r="187">
      <x:c r="A187" s="27" t="str">
        <x:v>TNA-017-10</x:v>
      </x:c>
      <x:c r="B187" s="27" t="str">
        <x:v>ORD-1117</x:v>
      </x:c>
      <x:c r="C187" s="27" t="str">
        <x:v>final QC</x:v>
      </x:c>
      <x:c r="D187" s="30" t="n">
        <x:v>46216</x:v>
      </x:c>
      <x:c r="E187" s="30"/>
      <x:c r="F187" s="34" t="str">
        <x:f>IF(E187="","",E187-D187)</x:f>
      </x:c>
      <x:c r="G187" s="27" t="str">
        <x:v>Open</x:v>
      </x:c>
      <x:c r="H187" s="27" t="str">
        <x:v>Yes</x:v>
      </x:c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</x:row>
    <x:row r="188">
      <x:c r="A188" s="27" t="str">
        <x:v>TNA-017-11</x:v>
      </x:c>
      <x:c r="B188" s="27" t="str">
        <x:v>ORD-1117</x:v>
      </x:c>
      <x:c r="C188" s="27" t="str">
        <x:v>ex-factory handover</x:v>
      </x:c>
      <x:c r="D188" s="30" t="n">
        <x:v>46219</x:v>
      </x:c>
      <x:c r="E188" s="30"/>
      <x:c r="F188" s="34" t="str">
        <x:f>IF(E188="","",E188-D188)</x:f>
      </x:c>
      <x:c r="G188" s="27" t="str">
        <x:v>Open</x:v>
      </x:c>
      <x:c r="H188" s="27" t="str">
        <x:v>Yes</x:v>
      </x:c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</x:row>
    <x:row r="189">
      <x:c r="A189" s="27" t="str">
        <x:v>TNA-018-01</x:v>
      </x:c>
      <x:c r="B189" s="27" t="str">
        <x:v>ORD-1118</x:v>
      </x:c>
      <x:c r="C189" s="27" t="str">
        <x:v>tech pack freeze</x:v>
      </x:c>
      <x:c r="D189" s="30" t="n">
        <x:v>46170</x:v>
      </x:c>
      <x:c r="E189" s="30"/>
      <x:c r="F189" s="34" t="str">
        <x:f>IF(E189="","",E189-D189)</x:f>
      </x:c>
      <x:c r="G189" s="27" t="str">
        <x:v>Open</x:v>
      </x:c>
      <x:c r="H189" s="27" t="str">
        <x:v>No</x:v>
      </x:c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</x:row>
    <x:row r="190">
      <x:c r="A190" s="27" t="str">
        <x:v>TNA-018-02</x:v>
      </x:c>
      <x:c r="B190" s="27" t="str">
        <x:v>ORD-1118</x:v>
      </x:c>
      <x:c r="C190" s="27" t="str">
        <x:v>line booking</x:v>
      </x:c>
      <x:c r="D190" s="30" t="n">
        <x:v>46174</x:v>
      </x:c>
      <x:c r="E190" s="30"/>
      <x:c r="F190" s="34" t="str">
        <x:f>IF(E190="","",E190-D190)</x:f>
      </x:c>
      <x:c r="G190" s="27" t="str">
        <x:v>Open</x:v>
      </x:c>
      <x:c r="H190" s="27" t="str">
        <x:v>No</x:v>
      </x:c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</x:row>
    <x:row r="191">
      <x:c r="A191" s="27" t="str">
        <x:v>TNA-018-03</x:v>
      </x:c>
      <x:c r="B191" s="27" t="str">
        <x:v>ORD-1118</x:v>
      </x:c>
      <x:c r="C191" s="27" t="str">
        <x:v>fabric/trim confirmation</x:v>
      </x:c>
      <x:c r="D191" s="30" t="n">
        <x:v>46178</x:v>
      </x:c>
      <x:c r="E191" s="30"/>
      <x:c r="F191" s="34" t="str">
        <x:f>IF(E191="","",E191-D191)</x:f>
      </x:c>
      <x:c r="G191" s="27" t="str">
        <x:v>Open</x:v>
      </x:c>
      <x:c r="H191" s="27" t="str">
        <x:v>No</x:v>
      </x:c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</x:row>
    <x:row r="192">
      <x:c r="A192" s="27" t="str">
        <x:v>TNA-018-04</x:v>
      </x:c>
      <x:c r="B192" s="27" t="str">
        <x:v>ORD-1118</x:v>
      </x:c>
      <x:c r="C192" s="27" t="str">
        <x:v>fit sample sent</x:v>
      </x:c>
      <x:c r="D192" s="30" t="n">
        <x:v>46182</x:v>
      </x:c>
      <x:c r="E192" s="30"/>
      <x:c r="F192" s="34" t="str">
        <x:f>IF(E192="","",E192-D192)</x:f>
      </x:c>
      <x:c r="G192" s="27" t="str">
        <x:v>Open</x:v>
      </x:c>
      <x:c r="H192" s="27" t="str">
        <x:v>No</x:v>
      </x:c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</x:row>
    <x:row r="193">
      <x:c r="A193" s="27" t="str">
        <x:v>TNA-018-05</x:v>
      </x:c>
      <x:c r="B193" s="27" t="str">
        <x:v>ORD-1118</x:v>
      </x:c>
      <x:c r="C193" s="27" t="str">
        <x:v>fit approval</x:v>
      </x:c>
      <x:c r="D193" s="30" t="n">
        <x:v>46186</x:v>
      </x:c>
      <x:c r="E193" s="30"/>
      <x:c r="F193" s="34" t="str">
        <x:f>IF(E193="","",E193-D193)</x:f>
      </x:c>
      <x:c r="G193" s="27" t="str">
        <x:v>Open</x:v>
      </x:c>
      <x:c r="H193" s="27" t="str">
        <x:v>No</x:v>
      </x:c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</x:row>
    <x:row r="194">
      <x:c r="A194" s="27" t="str">
        <x:v>TNA-018-06</x:v>
      </x:c>
      <x:c r="B194" s="27" t="str">
        <x:v>ORD-1118</x:v>
      </x:c>
      <x:c r="C194" s="27" t="str">
        <x:v>size set sample</x:v>
      </x:c>
      <x:c r="D194" s="30" t="n">
        <x:v>46190</x:v>
      </x:c>
      <x:c r="E194" s="30"/>
      <x:c r="F194" s="34" t="str">
        <x:f>IF(E194="","",E194-D194)</x:f>
      </x:c>
      <x:c r="G194" s="27" t="str">
        <x:v>Open</x:v>
      </x:c>
      <x:c r="H194" s="27" t="str">
        <x:v>No</x:v>
      </x:c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</x:row>
    <x:row r="195">
      <x:c r="A195" s="27" t="str">
        <x:v>TNA-018-07</x:v>
      </x:c>
      <x:c r="B195" s="27" t="str">
        <x:v>ORD-1118</x:v>
      </x:c>
      <x:c r="C195" s="27" t="str">
        <x:v>PP sample approval</x:v>
      </x:c>
      <x:c r="D195" s="30" t="n">
        <x:v>46194</x:v>
      </x:c>
      <x:c r="E195" s="30"/>
      <x:c r="F195" s="34" t="str">
        <x:f>IF(E195="","",E195-D195)</x:f>
      </x:c>
      <x:c r="G195" s="27" t="str">
        <x:v>Open</x:v>
      </x:c>
      <x:c r="H195" s="27" t="str">
        <x:v>Yes</x:v>
      </x:c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</x:row>
    <x:row r="196">
      <x:c r="A196" s="27" t="str">
        <x:v>TNA-018-08</x:v>
      </x:c>
      <x:c r="B196" s="27" t="str">
        <x:v>ORD-1118</x:v>
      </x:c>
      <x:c r="C196" s="27" t="str">
        <x:v>cutting start</x:v>
      </x:c>
      <x:c r="D196" s="30" t="n">
        <x:v>46200</x:v>
      </x:c>
      <x:c r="E196" s="30"/>
      <x:c r="F196" s="34" t="str">
        <x:f>IF(E196="","",E196-D196)</x:f>
      </x:c>
      <x:c r="G196" s="27" t="str">
        <x:v>Open</x:v>
      </x:c>
      <x:c r="H196" s="27" t="str">
        <x:v>Yes</x:v>
      </x:c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</x:row>
    <x:row r="197">
      <x:c r="A197" s="27" t="str">
        <x:v>TNA-018-09</x:v>
      </x:c>
      <x:c r="B197" s="27" t="str">
        <x:v>ORD-1118</x:v>
      </x:c>
      <x:c r="C197" s="27" t="str">
        <x:v>sewing start</x:v>
      </x:c>
      <x:c r="D197" s="30" t="n">
        <x:v>46203</x:v>
      </x:c>
      <x:c r="E197" s="30"/>
      <x:c r="F197" s="34" t="str">
        <x:f>IF(E197="","",E197-D197)</x:f>
      </x:c>
      <x:c r="G197" s="27" t="str">
        <x:v>Open</x:v>
      </x:c>
      <x:c r="H197" s="27" t="str">
        <x:v>Yes</x:v>
      </x:c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</x:row>
    <x:row r="198">
      <x:c r="A198" s="27" t="str">
        <x:v>TNA-018-10</x:v>
      </x:c>
      <x:c r="B198" s="27" t="str">
        <x:v>ORD-1118</x:v>
      </x:c>
      <x:c r="C198" s="27" t="str">
        <x:v>final QC</x:v>
      </x:c>
      <x:c r="D198" s="30" t="n">
        <x:v>46240</x:v>
      </x:c>
      <x:c r="E198" s="30"/>
      <x:c r="F198" s="34" t="str">
        <x:f>IF(E198="","",E198-D198)</x:f>
      </x:c>
      <x:c r="G198" s="27" t="str">
        <x:v>Open</x:v>
      </x:c>
      <x:c r="H198" s="27" t="str">
        <x:v>Yes</x:v>
      </x:c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</x:row>
    <x:row r="199">
      <x:c r="A199" s="27" t="str">
        <x:v>TNA-018-11</x:v>
      </x:c>
      <x:c r="B199" s="27" t="str">
        <x:v>ORD-1118</x:v>
      </x:c>
      <x:c r="C199" s="27" t="str">
        <x:v>ex-factory handover</x:v>
      </x:c>
      <x:c r="D199" s="30" t="n">
        <x:v>46243</x:v>
      </x:c>
      <x:c r="E199" s="30"/>
      <x:c r="F199" s="34" t="str">
        <x:f>IF(E199="","",E199-D199)</x:f>
      </x:c>
      <x:c r="G199" s="27" t="str">
        <x:v>Open</x:v>
      </x:c>
      <x:c r="H199" s="27" t="str">
        <x:v>Yes</x:v>
      </x:c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</x:row>
    <x:row r="200">
      <x:c r="A200" s="27" t="str">
        <x:v>TNA-019-01</x:v>
      </x:c>
      <x:c r="B200" s="27" t="str">
        <x:v>ORD-1119</x:v>
      </x:c>
      <x:c r="C200" s="27" t="str">
        <x:v>tech pack freeze</x:v>
      </x:c>
      <x:c r="D200" s="30" t="n">
        <x:v>46172</x:v>
      </x:c>
      <x:c r="E200" s="30"/>
      <x:c r="F200" s="34" t="str">
        <x:f>IF(E200="","",E200-D200)</x:f>
      </x:c>
      <x:c r="G200" s="27" t="str">
        <x:v>Open</x:v>
      </x:c>
      <x:c r="H200" s="27" t="str">
        <x:v>No</x:v>
      </x:c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</x:row>
    <x:row r="201">
      <x:c r="A201" s="27" t="str">
        <x:v>TNA-019-02</x:v>
      </x:c>
      <x:c r="B201" s="27" t="str">
        <x:v>ORD-1119</x:v>
      </x:c>
      <x:c r="C201" s="27" t="str">
        <x:v>line booking</x:v>
      </x:c>
      <x:c r="D201" s="30" t="n">
        <x:v>46176</x:v>
      </x:c>
      <x:c r="E201" s="30"/>
      <x:c r="F201" s="34" t="str">
        <x:f>IF(E201="","",E201-D201)</x:f>
      </x:c>
      <x:c r="G201" s="27" t="str">
        <x:v>Open</x:v>
      </x:c>
      <x:c r="H201" s="27" t="str">
        <x:v>No</x:v>
      </x:c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</x:row>
    <x:row r="202">
      <x:c r="A202" s="27" t="str">
        <x:v>TNA-019-03</x:v>
      </x:c>
      <x:c r="B202" s="27" t="str">
        <x:v>ORD-1119</x:v>
      </x:c>
      <x:c r="C202" s="27" t="str">
        <x:v>fabric/trim confirmation</x:v>
      </x:c>
      <x:c r="D202" s="30" t="n">
        <x:v>46180</x:v>
      </x:c>
      <x:c r="E202" s="30"/>
      <x:c r="F202" s="34" t="str">
        <x:f>IF(E202="","",E202-D202)</x:f>
      </x:c>
      <x:c r="G202" s="27" t="str">
        <x:v>Open</x:v>
      </x:c>
      <x:c r="H202" s="27" t="str">
        <x:v>No</x:v>
      </x:c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</x:row>
    <x:row r="203">
      <x:c r="A203" s="27" t="str">
        <x:v>TNA-019-04</x:v>
      </x:c>
      <x:c r="B203" s="27" t="str">
        <x:v>ORD-1119</x:v>
      </x:c>
      <x:c r="C203" s="27" t="str">
        <x:v>fit sample sent</x:v>
      </x:c>
      <x:c r="D203" s="30" t="n">
        <x:v>46184</x:v>
      </x:c>
      <x:c r="E203" s="30"/>
      <x:c r="F203" s="34" t="str">
        <x:f>IF(E203="","",E203-D203)</x:f>
      </x:c>
      <x:c r="G203" s="27" t="str">
        <x:v>Open</x:v>
      </x:c>
      <x:c r="H203" s="27" t="str">
        <x:v>No</x:v>
      </x:c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</x:row>
    <x:row r="204">
      <x:c r="A204" s="27" t="str">
        <x:v>TNA-019-05</x:v>
      </x:c>
      <x:c r="B204" s="27" t="str">
        <x:v>ORD-1119</x:v>
      </x:c>
      <x:c r="C204" s="27" t="str">
        <x:v>fit approval</x:v>
      </x:c>
      <x:c r="D204" s="30" t="n">
        <x:v>46188</x:v>
      </x:c>
      <x:c r="E204" s="30"/>
      <x:c r="F204" s="34" t="str">
        <x:f>IF(E204="","",E204-D204)</x:f>
      </x:c>
      <x:c r="G204" s="27" t="str">
        <x:v>Open</x:v>
      </x:c>
      <x:c r="H204" s="27" t="str">
        <x:v>No</x:v>
      </x:c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</x:row>
    <x:row r="205">
      <x:c r="A205" s="27" t="str">
        <x:v>TNA-019-06</x:v>
      </x:c>
      <x:c r="B205" s="27" t="str">
        <x:v>ORD-1119</x:v>
      </x:c>
      <x:c r="C205" s="27" t="str">
        <x:v>size set sample</x:v>
      </x:c>
      <x:c r="D205" s="30" t="n">
        <x:v>46192</x:v>
      </x:c>
      <x:c r="E205" s="30"/>
      <x:c r="F205" s="34" t="str">
        <x:f>IF(E205="","",E205-D205)</x:f>
      </x:c>
      <x:c r="G205" s="27" t="str">
        <x:v>Open</x:v>
      </x:c>
      <x:c r="H205" s="27" t="str">
        <x:v>No</x:v>
      </x:c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</x:row>
    <x:row r="206">
      <x:c r="A206" s="27" t="str">
        <x:v>TNA-019-07</x:v>
      </x:c>
      <x:c r="B206" s="27" t="str">
        <x:v>ORD-1119</x:v>
      </x:c>
      <x:c r="C206" s="27" t="str">
        <x:v>PP sample approval</x:v>
      </x:c>
      <x:c r="D206" s="30" t="n">
        <x:v>46196</x:v>
      </x:c>
      <x:c r="E206" s="30"/>
      <x:c r="F206" s="34" t="str">
        <x:f>IF(E206="","",E206-D206)</x:f>
      </x:c>
      <x:c r="G206" s="27" t="str">
        <x:v>Open</x:v>
      </x:c>
      <x:c r="H206" s="27" t="str">
        <x:v>Yes</x:v>
      </x:c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</x:row>
    <x:row r="207">
      <x:c r="A207" s="27" t="str">
        <x:v>TNA-019-08</x:v>
      </x:c>
      <x:c r="B207" s="27" t="str">
        <x:v>ORD-1119</x:v>
      </x:c>
      <x:c r="C207" s="27" t="str">
        <x:v>cutting start</x:v>
      </x:c>
      <x:c r="D207" s="30" t="n">
        <x:v>46202</x:v>
      </x:c>
      <x:c r="E207" s="30"/>
      <x:c r="F207" s="34" t="str">
        <x:f>IF(E207="","",E207-D207)</x:f>
      </x:c>
      <x:c r="G207" s="27" t="str">
        <x:v>Open</x:v>
      </x:c>
      <x:c r="H207" s="27" t="str">
        <x:v>Yes</x:v>
      </x:c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</x:row>
    <x:row r="208">
      <x:c r="A208" s="27" t="str">
        <x:v>TNA-019-09</x:v>
      </x:c>
      <x:c r="B208" s="27" t="str">
        <x:v>ORD-1119</x:v>
      </x:c>
      <x:c r="C208" s="27" t="str">
        <x:v>sewing start</x:v>
      </x:c>
      <x:c r="D208" s="30" t="n">
        <x:v>46205</x:v>
      </x:c>
      <x:c r="E208" s="30"/>
      <x:c r="F208" s="34" t="str">
        <x:f>IF(E208="","",E208-D208)</x:f>
      </x:c>
      <x:c r="G208" s="27" t="str">
        <x:v>Open</x:v>
      </x:c>
      <x:c r="H208" s="27" t="str">
        <x:v>Yes</x:v>
      </x:c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</x:row>
    <x:row r="209">
      <x:c r="A209" s="27" t="str">
        <x:v>TNA-019-10</x:v>
      </x:c>
      <x:c r="B209" s="27" t="str">
        <x:v>ORD-1119</x:v>
      </x:c>
      <x:c r="C209" s="27" t="str">
        <x:v>final QC</x:v>
      </x:c>
      <x:c r="D209" s="30" t="n">
        <x:v>46227</x:v>
      </x:c>
      <x:c r="E209" s="30"/>
      <x:c r="F209" s="34" t="str">
        <x:f>IF(E209="","",E209-D209)</x:f>
      </x:c>
      <x:c r="G209" s="27" t="str">
        <x:v>Open</x:v>
      </x:c>
      <x:c r="H209" s="27" t="str">
        <x:v>Yes</x:v>
      </x:c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</x:row>
    <x:row r="210">
      <x:c r="A210" s="27" t="str">
        <x:v>TNA-019-11</x:v>
      </x:c>
      <x:c r="B210" s="27" t="str">
        <x:v>ORD-1119</x:v>
      </x:c>
      <x:c r="C210" s="27" t="str">
        <x:v>ex-factory handover</x:v>
      </x:c>
      <x:c r="D210" s="30" t="n">
        <x:v>46230</x:v>
      </x:c>
      <x:c r="E210" s="30"/>
      <x:c r="F210" s="34" t="str">
        <x:f>IF(E210="","",E210-D210)</x:f>
      </x:c>
      <x:c r="G210" s="27" t="str">
        <x:v>Open</x:v>
      </x:c>
      <x:c r="H210" s="27" t="str">
        <x:v>Yes</x:v>
      </x:c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</x:row>
    <x:row r="211">
      <x:c r="A211" s="27" t="str">
        <x:v>TNA-020-01</x:v>
      </x:c>
      <x:c r="B211" s="27" t="str">
        <x:v>ORD-1120</x:v>
      </x:c>
      <x:c r="C211" s="27" t="str">
        <x:v>tech pack freeze</x:v>
      </x:c>
      <x:c r="D211" s="30" t="n">
        <x:v>46174</x:v>
      </x:c>
      <x:c r="E211" s="30"/>
      <x:c r="F211" s="34" t="str">
        <x:f>IF(E211="","",E211-D211)</x:f>
      </x:c>
      <x:c r="G211" s="27" t="str">
        <x:v>Open</x:v>
      </x:c>
      <x:c r="H211" s="27" t="str">
        <x:v>No</x:v>
      </x:c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</x:row>
    <x:row r="212">
      <x:c r="A212" s="27" t="str">
        <x:v>TNA-020-02</x:v>
      </x:c>
      <x:c r="B212" s="27" t="str">
        <x:v>ORD-1120</x:v>
      </x:c>
      <x:c r="C212" s="27" t="str">
        <x:v>line booking</x:v>
      </x:c>
      <x:c r="D212" s="30" t="n">
        <x:v>46178</x:v>
      </x:c>
      <x:c r="E212" s="30"/>
      <x:c r="F212" s="34" t="str">
        <x:f>IF(E212="","",E212-D212)</x:f>
      </x:c>
      <x:c r="G212" s="27" t="str">
        <x:v>Open</x:v>
      </x:c>
      <x:c r="H212" s="27" t="str">
        <x:v>No</x:v>
      </x:c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</x:row>
    <x:row r="213">
      <x:c r="A213" s="27" t="str">
        <x:v>TNA-020-03</x:v>
      </x:c>
      <x:c r="B213" s="27" t="str">
        <x:v>ORD-1120</x:v>
      </x:c>
      <x:c r="C213" s="27" t="str">
        <x:v>fabric/trim confirmation</x:v>
      </x:c>
      <x:c r="D213" s="30" t="n">
        <x:v>46182</x:v>
      </x:c>
      <x:c r="E213" s="30"/>
      <x:c r="F213" s="34" t="str">
        <x:f>IF(E213="","",E213-D213)</x:f>
      </x:c>
      <x:c r="G213" s="27" t="str">
        <x:v>Open</x:v>
      </x:c>
      <x:c r="H213" s="27" t="str">
        <x:v>No</x:v>
      </x:c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</x:row>
    <x:row r="214">
      <x:c r="A214" s="27" t="str">
        <x:v>TNA-020-04</x:v>
      </x:c>
      <x:c r="B214" s="27" t="str">
        <x:v>ORD-1120</x:v>
      </x:c>
      <x:c r="C214" s="27" t="str">
        <x:v>fit sample sent</x:v>
      </x:c>
      <x:c r="D214" s="30" t="n">
        <x:v>46186</x:v>
      </x:c>
      <x:c r="E214" s="30"/>
      <x:c r="F214" s="34" t="str">
        <x:f>IF(E214="","",E214-D214)</x:f>
      </x:c>
      <x:c r="G214" s="27" t="str">
        <x:v>Open</x:v>
      </x:c>
      <x:c r="H214" s="27" t="str">
        <x:v>No</x:v>
      </x:c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</x:row>
    <x:row r="215">
      <x:c r="A215" s="27" t="str">
        <x:v>TNA-020-05</x:v>
      </x:c>
      <x:c r="B215" s="27" t="str">
        <x:v>ORD-1120</x:v>
      </x:c>
      <x:c r="C215" s="27" t="str">
        <x:v>fit approval</x:v>
      </x:c>
      <x:c r="D215" s="30" t="n">
        <x:v>46190</x:v>
      </x:c>
      <x:c r="E215" s="30"/>
      <x:c r="F215" s="34" t="str">
        <x:f>IF(E215="","",E215-D215)</x:f>
      </x:c>
      <x:c r="G215" s="27" t="str">
        <x:v>Open</x:v>
      </x:c>
      <x:c r="H215" s="27" t="str">
        <x:v>No</x:v>
      </x:c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</x:row>
    <x:row r="216">
      <x:c r="A216" s="27" t="str">
        <x:v>TNA-020-06</x:v>
      </x:c>
      <x:c r="B216" s="27" t="str">
        <x:v>ORD-1120</x:v>
      </x:c>
      <x:c r="C216" s="27" t="str">
        <x:v>size set sample</x:v>
      </x:c>
      <x:c r="D216" s="30" t="n">
        <x:v>46194</x:v>
      </x:c>
      <x:c r="E216" s="30"/>
      <x:c r="F216" s="34" t="str">
        <x:f>IF(E216="","",E216-D216)</x:f>
      </x:c>
      <x:c r="G216" s="27" t="str">
        <x:v>Open</x:v>
      </x:c>
      <x:c r="H216" s="27" t="str">
        <x:v>No</x:v>
      </x:c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</x:row>
    <x:row r="217">
      <x:c r="A217" s="27" t="str">
        <x:v>TNA-020-07</x:v>
      </x:c>
      <x:c r="B217" s="27" t="str">
        <x:v>ORD-1120</x:v>
      </x:c>
      <x:c r="C217" s="27" t="str">
        <x:v>PP sample approval</x:v>
      </x:c>
      <x:c r="D217" s="30" t="n">
        <x:v>46198</x:v>
      </x:c>
      <x:c r="E217" s="30"/>
      <x:c r="F217" s="34" t="str">
        <x:f>IF(E217="","",E217-D217)</x:f>
      </x:c>
      <x:c r="G217" s="27" t="str">
        <x:v>Open</x:v>
      </x:c>
      <x:c r="H217" s="27" t="str">
        <x:v>Yes</x:v>
      </x:c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</x:row>
    <x:row r="218">
      <x:c r="A218" s="27" t="str">
        <x:v>TNA-020-08</x:v>
      </x:c>
      <x:c r="B218" s="27" t="str">
        <x:v>ORD-1120</x:v>
      </x:c>
      <x:c r="C218" s="27" t="str">
        <x:v>cutting start</x:v>
      </x:c>
      <x:c r="D218" s="30" t="n">
        <x:v>46204</x:v>
      </x:c>
      <x:c r="E218" s="30"/>
      <x:c r="F218" s="34" t="str">
        <x:f>IF(E218="","",E218-D218)</x:f>
      </x:c>
      <x:c r="G218" s="27" t="str">
        <x:v>Open</x:v>
      </x:c>
      <x:c r="H218" s="27" t="str">
        <x:v>Yes</x:v>
      </x:c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</x:row>
    <x:row r="219">
      <x:c r="A219" s="27" t="str">
        <x:v>TNA-020-09</x:v>
      </x:c>
      <x:c r="B219" s="27" t="str">
        <x:v>ORD-1120</x:v>
      </x:c>
      <x:c r="C219" s="27" t="str">
        <x:v>sewing start</x:v>
      </x:c>
      <x:c r="D219" s="30" t="n">
        <x:v>46207</x:v>
      </x:c>
      <x:c r="E219" s="30"/>
      <x:c r="F219" s="34" t="str">
        <x:f>IF(E219="","",E219-D219)</x:f>
      </x:c>
      <x:c r="G219" s="27" t="str">
        <x:v>Open</x:v>
      </x:c>
      <x:c r="H219" s="27" t="str">
        <x:v>Yes</x:v>
      </x:c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</x:row>
    <x:row r="220">
      <x:c r="A220" s="27" t="str">
        <x:v>TNA-020-10</x:v>
      </x:c>
      <x:c r="B220" s="27" t="str">
        <x:v>ORD-1120</x:v>
      </x:c>
      <x:c r="C220" s="27" t="str">
        <x:v>final QC</x:v>
      </x:c>
      <x:c r="D220" s="30" t="n">
        <x:v>46225</x:v>
      </x:c>
      <x:c r="E220" s="30"/>
      <x:c r="F220" s="34" t="str">
        <x:f>IF(E220="","",E220-D220)</x:f>
      </x:c>
      <x:c r="G220" s="27" t="str">
        <x:v>Open</x:v>
      </x:c>
      <x:c r="H220" s="27" t="str">
        <x:v>Yes</x:v>
      </x:c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</x:row>
    <x:row r="221">
      <x:c r="A221" s="27" t="str">
        <x:v>TNA-020-11</x:v>
      </x:c>
      <x:c r="B221" s="27" t="str">
        <x:v>ORD-1120</x:v>
      </x:c>
      <x:c r="C221" s="27" t="str">
        <x:v>ex-factory handover</x:v>
      </x:c>
      <x:c r="D221" s="30" t="n">
        <x:v>46228</x:v>
      </x:c>
      <x:c r="E221" s="30"/>
      <x:c r="F221" s="34" t="str">
        <x:f>IF(E221="","",E221-D221)</x:f>
      </x:c>
      <x:c r="G221" s="27" t="str">
        <x:v>Open</x:v>
      </x:c>
      <x:c r="H221" s="27" t="str">
        <x:v>Yes</x:v>
      </x:c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</x:row>
    <x:row r="222">
      <x:c r="A222" s="27" t="str">
        <x:v>TNA-021-01</x:v>
      </x:c>
      <x:c r="B222" s="27" t="str">
        <x:v>ORD-1121</x:v>
      </x:c>
      <x:c r="C222" s="27" t="str">
        <x:v>tech pack freeze</x:v>
      </x:c>
      <x:c r="D222" s="30" t="n">
        <x:v>46161</x:v>
      </x:c>
      <x:c r="E222" s="30" t="n">
        <x:v>46161</x:v>
      </x:c>
      <x:c r="F222" s="34" t="n">
        <x:f>IF(E222="","",E222-D222)</x:f>
        <x:v>0</x:v>
      </x:c>
      <x:c r="G222" s="27" t="str">
        <x:v>Done</x:v>
      </x:c>
      <x:c r="H222" s="27" t="str">
        <x:v>No</x:v>
      </x:c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</x:row>
    <x:row r="223">
      <x:c r="A223" s="27" t="str">
        <x:v>TNA-021-02</x:v>
      </x:c>
      <x:c r="B223" s="27" t="str">
        <x:v>ORD-1121</x:v>
      </x:c>
      <x:c r="C223" s="27" t="str">
        <x:v>line booking</x:v>
      </x:c>
      <x:c r="D223" s="30" t="n">
        <x:v>46165</x:v>
      </x:c>
      <x:c r="E223" s="30" t="n">
        <x:v>46165</x:v>
      </x:c>
      <x:c r="F223" s="34" t="n">
        <x:f>IF(E223="","",E223-D223)</x:f>
        <x:v>0</x:v>
      </x:c>
      <x:c r="G223" s="27" t="str">
        <x:v>Done</x:v>
      </x:c>
      <x:c r="H223" s="27" t="str">
        <x:v>No</x:v>
      </x:c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</x:row>
    <x:row r="224">
      <x:c r="A224" s="27" t="str">
        <x:v>TNA-021-03</x:v>
      </x:c>
      <x:c r="B224" s="27" t="str">
        <x:v>ORD-1121</x:v>
      </x:c>
      <x:c r="C224" s="27" t="str">
        <x:v>fabric/trim confirmation</x:v>
      </x:c>
      <x:c r="D224" s="30" t="n">
        <x:v>46169</x:v>
      </x:c>
      <x:c r="E224" s="30" t="n">
        <x:v>46169</x:v>
      </x:c>
      <x:c r="F224" s="34" t="n">
        <x:f>IF(E224="","",E224-D224)</x:f>
        <x:v>0</x:v>
      </x:c>
      <x:c r="G224" s="27" t="str">
        <x:v>Done</x:v>
      </x:c>
      <x:c r="H224" s="27" t="str">
        <x:v>No</x:v>
      </x:c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</x:row>
    <x:row r="225">
      <x:c r="A225" s="27" t="str">
        <x:v>TNA-021-04</x:v>
      </x:c>
      <x:c r="B225" s="27" t="str">
        <x:v>ORD-1121</x:v>
      </x:c>
      <x:c r="C225" s="27" t="str">
        <x:v>fit sample sent</x:v>
      </x:c>
      <x:c r="D225" s="30" t="n">
        <x:v>46173</x:v>
      </x:c>
      <x:c r="E225" s="30"/>
      <x:c r="F225" s="34" t="str">
        <x:f>IF(E225="","",E225-D225)</x:f>
      </x:c>
      <x:c r="G225" s="27" t="str">
        <x:v>Open</x:v>
      </x:c>
      <x:c r="H225" s="27" t="str">
        <x:v>No</x:v>
      </x:c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</x:row>
    <x:row r="226">
      <x:c r="A226" s="27" t="str">
        <x:v>TNA-021-05</x:v>
      </x:c>
      <x:c r="B226" s="27" t="str">
        <x:v>ORD-1121</x:v>
      </x:c>
      <x:c r="C226" s="27" t="str">
        <x:v>fit approval</x:v>
      </x:c>
      <x:c r="D226" s="30" t="n">
        <x:v>46177</x:v>
      </x:c>
      <x:c r="E226" s="30"/>
      <x:c r="F226" s="34" t="str">
        <x:f>IF(E226="","",E226-D226)</x:f>
      </x:c>
      <x:c r="G226" s="27" t="str">
        <x:v>Open</x:v>
      </x:c>
      <x:c r="H226" s="27" t="str">
        <x:v>No</x:v>
      </x:c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</x:row>
    <x:row r="227">
      <x:c r="A227" s="27" t="str">
        <x:v>TNA-021-06</x:v>
      </x:c>
      <x:c r="B227" s="27" t="str">
        <x:v>ORD-1121</x:v>
      </x:c>
      <x:c r="C227" s="27" t="str">
        <x:v>size set sample</x:v>
      </x:c>
      <x:c r="D227" s="30" t="n">
        <x:v>46181</x:v>
      </x:c>
      <x:c r="E227" s="30"/>
      <x:c r="F227" s="34" t="str">
        <x:f>IF(E227="","",E227-D227)</x:f>
      </x:c>
      <x:c r="G227" s="27" t="str">
        <x:v>Open</x:v>
      </x:c>
      <x:c r="H227" s="27" t="str">
        <x:v>No</x:v>
      </x:c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</x:row>
    <x:row r="228">
      <x:c r="A228" s="27" t="str">
        <x:v>TNA-021-07</x:v>
      </x:c>
      <x:c r="B228" s="27" t="str">
        <x:v>ORD-1121</x:v>
      </x:c>
      <x:c r="C228" s="27" t="str">
        <x:v>PP sample approval</x:v>
      </x:c>
      <x:c r="D228" s="30" t="n">
        <x:v>46185</x:v>
      </x:c>
      <x:c r="E228" s="30"/>
      <x:c r="F228" s="34" t="str">
        <x:f>IF(E228="","",E228-D228)</x:f>
      </x:c>
      <x:c r="G228" s="27" t="str">
        <x:v>Open</x:v>
      </x:c>
      <x:c r="H228" s="27" t="str">
        <x:v>Yes</x:v>
      </x:c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</x:row>
    <x:row r="229">
      <x:c r="A229" s="27" t="str">
        <x:v>TNA-021-08</x:v>
      </x:c>
      <x:c r="B229" s="27" t="str">
        <x:v>ORD-1121</x:v>
      </x:c>
      <x:c r="C229" s="27" t="str">
        <x:v>cutting start</x:v>
      </x:c>
      <x:c r="D229" s="30" t="n">
        <x:v>46191</x:v>
      </x:c>
      <x:c r="E229" s="30"/>
      <x:c r="F229" s="34" t="str">
        <x:f>IF(E229="","",E229-D229)</x:f>
      </x:c>
      <x:c r="G229" s="27" t="str">
        <x:v>Open</x:v>
      </x:c>
      <x:c r="H229" s="27" t="str">
        <x:v>Yes</x:v>
      </x:c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</x:row>
    <x:row r="230">
      <x:c r="A230" s="27" t="str">
        <x:v>TNA-021-09</x:v>
      </x:c>
      <x:c r="B230" s="27" t="str">
        <x:v>ORD-1121</x:v>
      </x:c>
      <x:c r="C230" s="27" t="str">
        <x:v>sewing start</x:v>
      </x:c>
      <x:c r="D230" s="30" t="n">
        <x:v>46194</x:v>
      </x:c>
      <x:c r="E230" s="30"/>
      <x:c r="F230" s="34" t="str">
        <x:f>IF(E230="","",E230-D230)</x:f>
      </x:c>
      <x:c r="G230" s="27" t="str">
        <x:v>Open</x:v>
      </x:c>
      <x:c r="H230" s="27" t="str">
        <x:v>Yes</x:v>
      </x:c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</x:row>
    <x:row r="231">
      <x:c r="A231" s="27" t="str">
        <x:v>TNA-021-10</x:v>
      </x:c>
      <x:c r="B231" s="27" t="str">
        <x:v>ORD-1121</x:v>
      </x:c>
      <x:c r="C231" s="27" t="str">
        <x:v>final QC</x:v>
      </x:c>
      <x:c r="D231" s="30" t="n">
        <x:v>46206</x:v>
      </x:c>
      <x:c r="E231" s="30"/>
      <x:c r="F231" s="34" t="str">
        <x:f>IF(E231="","",E231-D231)</x:f>
      </x:c>
      <x:c r="G231" s="27" t="str">
        <x:v>Open</x:v>
      </x:c>
      <x:c r="H231" s="27" t="str">
        <x:v>Yes</x:v>
      </x:c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</x:row>
    <x:row r="232">
      <x:c r="A232" s="27" t="str">
        <x:v>TNA-021-11</x:v>
      </x:c>
      <x:c r="B232" s="27" t="str">
        <x:v>ORD-1121</x:v>
      </x:c>
      <x:c r="C232" s="27" t="str">
        <x:v>ex-factory handover</x:v>
      </x:c>
      <x:c r="D232" s="30" t="n">
        <x:v>46209</x:v>
      </x:c>
      <x:c r="E232" s="30"/>
      <x:c r="F232" s="34" t="str">
        <x:f>IF(E232="","",E232-D232)</x:f>
      </x:c>
      <x:c r="G232" s="27" t="str">
        <x:v>Open</x:v>
      </x:c>
      <x:c r="H232" s="27" t="str">
        <x:v>Yes</x:v>
      </x:c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</x:row>
    <x:row r="233">
      <x:c r="A233" s="27" t="str">
        <x:v>TNA-022-01</x:v>
      </x:c>
      <x:c r="B233" s="27" t="str">
        <x:v>ORD-1122</x:v>
      </x:c>
      <x:c r="C233" s="27" t="str">
        <x:v>tech pack freeze</x:v>
      </x:c>
      <x:c r="D233" s="30" t="n">
        <x:v>46163</x:v>
      </x:c>
      <x:c r="E233" s="30" t="n">
        <x:v>46162</x:v>
      </x:c>
      <x:c r="F233" s="34" t="n">
        <x:f>IF(E233="","",E233-D233)</x:f>
        <x:v>-1</x:v>
      </x:c>
      <x:c r="G233" s="27" t="str">
        <x:v>Done</x:v>
      </x:c>
      <x:c r="H233" s="27" t="str">
        <x:v>No</x:v>
      </x:c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</x:row>
    <x:row r="234">
      <x:c r="A234" s="27" t="str">
        <x:v>TNA-022-02</x:v>
      </x:c>
      <x:c r="B234" s="27" t="str">
        <x:v>ORD-1122</x:v>
      </x:c>
      <x:c r="C234" s="27" t="str">
        <x:v>line booking</x:v>
      </x:c>
      <x:c r="D234" s="30" t="n">
        <x:v>46167</x:v>
      </x:c>
      <x:c r="E234" s="30" t="n">
        <x:v>46167</x:v>
      </x:c>
      <x:c r="F234" s="34" t="n">
        <x:f>IF(E234="","",E234-D234)</x:f>
        <x:v>0</x:v>
      </x:c>
      <x:c r="G234" s="27" t="str">
        <x:v>Done</x:v>
      </x:c>
      <x:c r="H234" s="27" t="str">
        <x:v>No</x:v>
      </x:c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</x:row>
    <x:row r="235">
      <x:c r="A235" s="27" t="str">
        <x:v>TNA-022-03</x:v>
      </x:c>
      <x:c r="B235" s="27" t="str">
        <x:v>ORD-1122</x:v>
      </x:c>
      <x:c r="C235" s="27" t="str">
        <x:v>fabric/trim confirmation</x:v>
      </x:c>
      <x:c r="D235" s="30" t="n">
        <x:v>46171</x:v>
      </x:c>
      <x:c r="E235" s="30"/>
      <x:c r="F235" s="34" t="str">
        <x:f>IF(E235="","",E235-D235)</x:f>
      </x:c>
      <x:c r="G235" s="27" t="str">
        <x:v>Open</x:v>
      </x:c>
      <x:c r="H235" s="27" t="str">
        <x:v>No</x:v>
      </x:c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</x:row>
    <x:row r="236">
      <x:c r="A236" s="27" t="str">
        <x:v>TNA-022-04</x:v>
      </x:c>
      <x:c r="B236" s="27" t="str">
        <x:v>ORD-1122</x:v>
      </x:c>
      <x:c r="C236" s="27" t="str">
        <x:v>fit sample sent</x:v>
      </x:c>
      <x:c r="D236" s="30" t="n">
        <x:v>46175</x:v>
      </x:c>
      <x:c r="E236" s="30"/>
      <x:c r="F236" s="34" t="str">
        <x:f>IF(E236="","",E236-D236)</x:f>
      </x:c>
      <x:c r="G236" s="27" t="str">
        <x:v>Open</x:v>
      </x:c>
      <x:c r="H236" s="27" t="str">
        <x:v>No</x:v>
      </x:c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</x:row>
    <x:row r="237">
      <x:c r="A237" s="27" t="str">
        <x:v>TNA-022-05</x:v>
      </x:c>
      <x:c r="B237" s="27" t="str">
        <x:v>ORD-1122</x:v>
      </x:c>
      <x:c r="C237" s="27" t="str">
        <x:v>fit approval</x:v>
      </x:c>
      <x:c r="D237" s="30" t="n">
        <x:v>46179</x:v>
      </x:c>
      <x:c r="E237" s="30"/>
      <x:c r="F237" s="34" t="str">
        <x:f>IF(E237="","",E237-D237)</x:f>
      </x:c>
      <x:c r="G237" s="27" t="str">
        <x:v>Open</x:v>
      </x:c>
      <x:c r="H237" s="27" t="str">
        <x:v>No</x:v>
      </x:c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</x:row>
    <x:row r="238">
      <x:c r="A238" s="27" t="str">
        <x:v>TNA-022-06</x:v>
      </x:c>
      <x:c r="B238" s="27" t="str">
        <x:v>ORD-1122</x:v>
      </x:c>
      <x:c r="C238" s="27" t="str">
        <x:v>size set sample</x:v>
      </x:c>
      <x:c r="D238" s="30" t="n">
        <x:v>46183</x:v>
      </x:c>
      <x:c r="E238" s="30"/>
      <x:c r="F238" s="34" t="str">
        <x:f>IF(E238="","",E238-D238)</x:f>
      </x:c>
      <x:c r="G238" s="27" t="str">
        <x:v>Open</x:v>
      </x:c>
      <x:c r="H238" s="27" t="str">
        <x:v>No</x:v>
      </x:c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</x:row>
    <x:row r="239">
      <x:c r="A239" s="27" t="str">
        <x:v>TNA-022-07</x:v>
      </x:c>
      <x:c r="B239" s="27" t="str">
        <x:v>ORD-1122</x:v>
      </x:c>
      <x:c r="C239" s="27" t="str">
        <x:v>PP sample approval</x:v>
      </x:c>
      <x:c r="D239" s="30" t="n">
        <x:v>46187</x:v>
      </x:c>
      <x:c r="E239" s="30"/>
      <x:c r="F239" s="34" t="str">
        <x:f>IF(E239="","",E239-D239)</x:f>
      </x:c>
      <x:c r="G239" s="27" t="str">
        <x:v>Open</x:v>
      </x:c>
      <x:c r="H239" s="27" t="str">
        <x:v>Yes</x:v>
      </x:c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</x:row>
    <x:row r="240">
      <x:c r="A240" s="27" t="str">
        <x:v>TNA-022-08</x:v>
      </x:c>
      <x:c r="B240" s="27" t="str">
        <x:v>ORD-1122</x:v>
      </x:c>
      <x:c r="C240" s="27" t="str">
        <x:v>cutting start</x:v>
      </x:c>
      <x:c r="D240" s="30" t="n">
        <x:v>46193</x:v>
      </x:c>
      <x:c r="E240" s="30"/>
      <x:c r="F240" s="34" t="str">
        <x:f>IF(E240="","",E240-D240)</x:f>
      </x:c>
      <x:c r="G240" s="27" t="str">
        <x:v>Open</x:v>
      </x:c>
      <x:c r="H240" s="27" t="str">
        <x:v>Yes</x:v>
      </x:c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</x:row>
    <x:row r="241">
      <x:c r="A241" s="27" t="str">
        <x:v>TNA-022-09</x:v>
      </x:c>
      <x:c r="B241" s="27" t="str">
        <x:v>ORD-1122</x:v>
      </x:c>
      <x:c r="C241" s="27" t="str">
        <x:v>sewing start</x:v>
      </x:c>
      <x:c r="D241" s="30" t="n">
        <x:v>46196</x:v>
      </x:c>
      <x:c r="E241" s="30"/>
      <x:c r="F241" s="34" t="str">
        <x:f>IF(E241="","",E241-D241)</x:f>
      </x:c>
      <x:c r="G241" s="27" t="str">
        <x:v>Open</x:v>
      </x:c>
      <x:c r="H241" s="27" t="str">
        <x:v>Yes</x:v>
      </x:c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</x:row>
    <x:row r="242">
      <x:c r="A242" s="27" t="str">
        <x:v>TNA-022-10</x:v>
      </x:c>
      <x:c r="B242" s="27" t="str">
        <x:v>ORD-1122</x:v>
      </x:c>
      <x:c r="C242" s="27" t="str">
        <x:v>final QC</x:v>
      </x:c>
      <x:c r="D242" s="30" t="n">
        <x:v>46208</x:v>
      </x:c>
      <x:c r="E242" s="30"/>
      <x:c r="F242" s="34" t="str">
        <x:f>IF(E242="","",E242-D242)</x:f>
      </x:c>
      <x:c r="G242" s="27" t="str">
        <x:v>Open</x:v>
      </x:c>
      <x:c r="H242" s="27" t="str">
        <x:v>Yes</x:v>
      </x:c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</x:row>
    <x:row r="243">
      <x:c r="A243" s="27" t="str">
        <x:v>TNA-022-11</x:v>
      </x:c>
      <x:c r="B243" s="27" t="str">
        <x:v>ORD-1122</x:v>
      </x:c>
      <x:c r="C243" s="27" t="str">
        <x:v>ex-factory handover</x:v>
      </x:c>
      <x:c r="D243" s="30" t="n">
        <x:v>46211</x:v>
      </x:c>
      <x:c r="E243" s="30"/>
      <x:c r="F243" s="34" t="str">
        <x:f>IF(E243="","",E243-D243)</x:f>
      </x:c>
      <x:c r="G243" s="27" t="str">
        <x:v>Open</x:v>
      </x:c>
      <x:c r="H243" s="27" t="str">
        <x:v>Yes</x:v>
      </x:c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</x:row>
    <x:row r="244">
      <x:c r="A244" s="27" t="str">
        <x:v>TNA-023-01</x:v>
      </x:c>
      <x:c r="B244" s="27" t="str">
        <x:v>ORD-1123</x:v>
      </x:c>
      <x:c r="C244" s="27" t="str">
        <x:v>tech pack freeze</x:v>
      </x:c>
      <x:c r="D244" s="30" t="n">
        <x:v>46165</x:v>
      </x:c>
      <x:c r="E244" s="30" t="n">
        <x:v>46165</x:v>
      </x:c>
      <x:c r="F244" s="34" t="n">
        <x:f>IF(E244="","",E244-D244)</x:f>
        <x:v>0</x:v>
      </x:c>
      <x:c r="G244" s="27" t="str">
        <x:v>Done</x:v>
      </x:c>
      <x:c r="H244" s="27" t="str">
        <x:v>No</x:v>
      </x:c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</x:row>
    <x:row r="245">
      <x:c r="A245" s="27" t="str">
        <x:v>TNA-023-02</x:v>
      </x:c>
      <x:c r="B245" s="27" t="str">
        <x:v>ORD-1123</x:v>
      </x:c>
      <x:c r="C245" s="27" t="str">
        <x:v>line booking</x:v>
      </x:c>
      <x:c r="D245" s="30" t="n">
        <x:v>46169</x:v>
      </x:c>
      <x:c r="E245" s="30" t="n">
        <x:v>46168</x:v>
      </x:c>
      <x:c r="F245" s="34" t="n">
        <x:f>IF(E245="","",E245-D245)</x:f>
        <x:v>-1</x:v>
      </x:c>
      <x:c r="G245" s="27" t="str">
        <x:v>Done</x:v>
      </x:c>
      <x:c r="H245" s="27" t="str">
        <x:v>No</x:v>
      </x:c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</x:row>
    <x:row r="246">
      <x:c r="A246" s="27" t="str">
        <x:v>TNA-023-03</x:v>
      </x:c>
      <x:c r="B246" s="27" t="str">
        <x:v>ORD-1123</x:v>
      </x:c>
      <x:c r="C246" s="27" t="str">
        <x:v>fabric/trim confirmation</x:v>
      </x:c>
      <x:c r="D246" s="30" t="n">
        <x:v>46173</x:v>
      </x:c>
      <x:c r="E246" s="30"/>
      <x:c r="F246" s="34" t="str">
        <x:f>IF(E246="","",E246-D246)</x:f>
      </x:c>
      <x:c r="G246" s="27" t="str">
        <x:v>Open</x:v>
      </x:c>
      <x:c r="H246" s="27" t="str">
        <x:v>No</x:v>
      </x:c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</x:row>
    <x:row r="247">
      <x:c r="A247" s="27" t="str">
        <x:v>TNA-023-04</x:v>
      </x:c>
      <x:c r="B247" s="27" t="str">
        <x:v>ORD-1123</x:v>
      </x:c>
      <x:c r="C247" s="27" t="str">
        <x:v>fit sample sent</x:v>
      </x:c>
      <x:c r="D247" s="30" t="n">
        <x:v>46177</x:v>
      </x:c>
      <x:c r="E247" s="30"/>
      <x:c r="F247" s="34" t="str">
        <x:f>IF(E247="","",E247-D247)</x:f>
      </x:c>
      <x:c r="G247" s="27" t="str">
        <x:v>Open</x:v>
      </x:c>
      <x:c r="H247" s="27" t="str">
        <x:v>No</x:v>
      </x:c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</x:row>
    <x:row r="248">
      <x:c r="A248" s="27" t="str">
        <x:v>TNA-023-05</x:v>
      </x:c>
      <x:c r="B248" s="27" t="str">
        <x:v>ORD-1123</x:v>
      </x:c>
      <x:c r="C248" s="27" t="str">
        <x:v>fit approval</x:v>
      </x:c>
      <x:c r="D248" s="30" t="n">
        <x:v>46181</x:v>
      </x:c>
      <x:c r="E248" s="30"/>
      <x:c r="F248" s="34" t="str">
        <x:f>IF(E248="","",E248-D248)</x:f>
      </x:c>
      <x:c r="G248" s="27" t="str">
        <x:v>Open</x:v>
      </x:c>
      <x:c r="H248" s="27" t="str">
        <x:v>No</x:v>
      </x:c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</x:row>
    <x:row r="249">
      <x:c r="A249" s="27" t="str">
        <x:v>TNA-023-06</x:v>
      </x:c>
      <x:c r="B249" s="27" t="str">
        <x:v>ORD-1123</x:v>
      </x:c>
      <x:c r="C249" s="27" t="str">
        <x:v>size set sample</x:v>
      </x:c>
      <x:c r="D249" s="30" t="n">
        <x:v>46185</x:v>
      </x:c>
      <x:c r="E249" s="30"/>
      <x:c r="F249" s="34" t="str">
        <x:f>IF(E249="","",E249-D249)</x:f>
      </x:c>
      <x:c r="G249" s="27" t="str">
        <x:v>Open</x:v>
      </x:c>
      <x:c r="H249" s="27" t="str">
        <x:v>No</x:v>
      </x:c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</x:row>
    <x:row r="250">
      <x:c r="A250" s="27" t="str">
        <x:v>TNA-023-07</x:v>
      </x:c>
      <x:c r="B250" s="27" t="str">
        <x:v>ORD-1123</x:v>
      </x:c>
      <x:c r="C250" s="27" t="str">
        <x:v>PP sample approval</x:v>
      </x:c>
      <x:c r="D250" s="30" t="n">
        <x:v>46189</x:v>
      </x:c>
      <x:c r="E250" s="30"/>
      <x:c r="F250" s="34" t="str">
        <x:f>IF(E250="","",E250-D250)</x:f>
      </x:c>
      <x:c r="G250" s="27" t="str">
        <x:v>Open</x:v>
      </x:c>
      <x:c r="H250" s="27" t="str">
        <x:v>Yes</x:v>
      </x:c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</x:row>
    <x:row r="251">
      <x:c r="A251" s="27" t="str">
        <x:v>TNA-023-08</x:v>
      </x:c>
      <x:c r="B251" s="27" t="str">
        <x:v>ORD-1123</x:v>
      </x:c>
      <x:c r="C251" s="27" t="str">
        <x:v>cutting start</x:v>
      </x:c>
      <x:c r="D251" s="30" t="n">
        <x:v>46195</x:v>
      </x:c>
      <x:c r="E251" s="30"/>
      <x:c r="F251" s="34" t="str">
        <x:f>IF(E251="","",E251-D251)</x:f>
      </x:c>
      <x:c r="G251" s="27" t="str">
        <x:v>Open</x:v>
      </x:c>
      <x:c r="H251" s="27" t="str">
        <x:v>Yes</x:v>
      </x:c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</x:row>
    <x:row r="252">
      <x:c r="A252" s="27" t="str">
        <x:v>TNA-023-09</x:v>
      </x:c>
      <x:c r="B252" s="27" t="str">
        <x:v>ORD-1123</x:v>
      </x:c>
      <x:c r="C252" s="27" t="str">
        <x:v>sewing start</x:v>
      </x:c>
      <x:c r="D252" s="30" t="n">
        <x:v>46198</x:v>
      </x:c>
      <x:c r="E252" s="30"/>
      <x:c r="F252" s="34" t="str">
        <x:f>IF(E252="","",E252-D252)</x:f>
      </x:c>
      <x:c r="G252" s="27" t="str">
        <x:v>Open</x:v>
      </x:c>
      <x:c r="H252" s="27" t="str">
        <x:v>Yes</x:v>
      </x:c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</x:row>
    <x:row r="253">
      <x:c r="A253" s="27" t="str">
        <x:v>TNA-023-10</x:v>
      </x:c>
      <x:c r="B253" s="27" t="str">
        <x:v>ORD-1123</x:v>
      </x:c>
      <x:c r="C253" s="27" t="str">
        <x:v>final QC</x:v>
      </x:c>
      <x:c r="D253" s="30" t="n">
        <x:v>46212</x:v>
      </x:c>
      <x:c r="E253" s="30"/>
      <x:c r="F253" s="34" t="str">
        <x:f>IF(E253="","",E253-D253)</x:f>
      </x:c>
      <x:c r="G253" s="27" t="str">
        <x:v>Open</x:v>
      </x:c>
      <x:c r="H253" s="27" t="str">
        <x:v>Yes</x:v>
      </x:c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</x:row>
    <x:row r="254">
      <x:c r="A254" s="27" t="str">
        <x:v>TNA-023-11</x:v>
      </x:c>
      <x:c r="B254" s="27" t="str">
        <x:v>ORD-1123</x:v>
      </x:c>
      <x:c r="C254" s="27" t="str">
        <x:v>ex-factory handover</x:v>
      </x:c>
      <x:c r="D254" s="30" t="n">
        <x:v>46215</x:v>
      </x:c>
      <x:c r="E254" s="30"/>
      <x:c r="F254" s="34" t="str">
        <x:f>IF(E254="","",E254-D254)</x:f>
      </x:c>
      <x:c r="G254" s="27" t="str">
        <x:v>Open</x:v>
      </x:c>
      <x:c r="H254" s="27" t="str">
        <x:v>Yes</x:v>
      </x:c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</x:row>
    <x:row r="255">
      <x:c r="A255" s="27" t="str">
        <x:v>TNA-024-01</x:v>
      </x:c>
      <x:c r="B255" s="27" t="str">
        <x:v>ORD-1124</x:v>
      </x:c>
      <x:c r="C255" s="27" t="str">
        <x:v>tech pack freeze</x:v>
      </x:c>
      <x:c r="D255" s="30" t="n">
        <x:v>46167</x:v>
      </x:c>
      <x:c r="E255" s="30" t="n">
        <x:v>46167</x:v>
      </x:c>
      <x:c r="F255" s="34" t="n">
        <x:f>IF(E255="","",E255-D255)</x:f>
        <x:v>0</x:v>
      </x:c>
      <x:c r="G255" s="27" t="str">
        <x:v>Done</x:v>
      </x:c>
      <x:c r="H255" s="27" t="str">
        <x:v>No</x:v>
      </x:c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</x:row>
    <x:row r="256">
      <x:c r="A256" s="27" t="str">
        <x:v>TNA-024-02</x:v>
      </x:c>
      <x:c r="B256" s="27" t="str">
        <x:v>ORD-1124</x:v>
      </x:c>
      <x:c r="C256" s="27" t="str">
        <x:v>line booking</x:v>
      </x:c>
      <x:c r="D256" s="30" t="n">
        <x:v>46171</x:v>
      </x:c>
      <x:c r="E256" s="30"/>
      <x:c r="F256" s="34" t="str">
        <x:f>IF(E256="","",E256-D256)</x:f>
      </x:c>
      <x:c r="G256" s="27" t="str">
        <x:v>Open</x:v>
      </x:c>
      <x:c r="H256" s="27" t="str">
        <x:v>No</x:v>
      </x:c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</x:row>
    <x:row r="257">
      <x:c r="A257" s="27" t="str">
        <x:v>TNA-024-03</x:v>
      </x:c>
      <x:c r="B257" s="27" t="str">
        <x:v>ORD-1124</x:v>
      </x:c>
      <x:c r="C257" s="27" t="str">
        <x:v>fabric/trim confirmation</x:v>
      </x:c>
      <x:c r="D257" s="30" t="n">
        <x:v>46175</x:v>
      </x:c>
      <x:c r="E257" s="30"/>
      <x:c r="F257" s="34" t="str">
        <x:f>IF(E257="","",E257-D257)</x:f>
      </x:c>
      <x:c r="G257" s="27" t="str">
        <x:v>Open</x:v>
      </x:c>
      <x:c r="H257" s="27" t="str">
        <x:v>No</x:v>
      </x:c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</x:row>
    <x:row r="258">
      <x:c r="A258" s="27" t="str">
        <x:v>TNA-024-04</x:v>
      </x:c>
      <x:c r="B258" s="27" t="str">
        <x:v>ORD-1124</x:v>
      </x:c>
      <x:c r="C258" s="27" t="str">
        <x:v>fit sample sent</x:v>
      </x:c>
      <x:c r="D258" s="30" t="n">
        <x:v>46179</x:v>
      </x:c>
      <x:c r="E258" s="30"/>
      <x:c r="F258" s="34" t="str">
        <x:f>IF(E258="","",E258-D258)</x:f>
      </x:c>
      <x:c r="G258" s="27" t="str">
        <x:v>Open</x:v>
      </x:c>
      <x:c r="H258" s="27" t="str">
        <x:v>No</x:v>
      </x:c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</x:row>
    <x:row r="259">
      <x:c r="A259" s="27" t="str">
        <x:v>TNA-024-05</x:v>
      </x:c>
      <x:c r="B259" s="27" t="str">
        <x:v>ORD-1124</x:v>
      </x:c>
      <x:c r="C259" s="27" t="str">
        <x:v>fit approval</x:v>
      </x:c>
      <x:c r="D259" s="30" t="n">
        <x:v>46183</x:v>
      </x:c>
      <x:c r="E259" s="30"/>
      <x:c r="F259" s="34" t="str">
        <x:f>IF(E259="","",E259-D259)</x:f>
      </x:c>
      <x:c r="G259" s="27" t="str">
        <x:v>Open</x:v>
      </x:c>
      <x:c r="H259" s="27" t="str">
        <x:v>No</x:v>
      </x:c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</x:row>
    <x:row r="260">
      <x:c r="A260" s="27" t="str">
        <x:v>TNA-024-06</x:v>
      </x:c>
      <x:c r="B260" s="27" t="str">
        <x:v>ORD-1124</x:v>
      </x:c>
      <x:c r="C260" s="27" t="str">
        <x:v>size set sample</x:v>
      </x:c>
      <x:c r="D260" s="30" t="n">
        <x:v>46187</x:v>
      </x:c>
      <x:c r="E260" s="30"/>
      <x:c r="F260" s="34" t="str">
        <x:f>IF(E260="","",E260-D260)</x:f>
      </x:c>
      <x:c r="G260" s="27" t="str">
        <x:v>Open</x:v>
      </x:c>
      <x:c r="H260" s="27" t="str">
        <x:v>No</x:v>
      </x:c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</x:row>
    <x:row r="261">
      <x:c r="A261" s="27" t="str">
        <x:v>TNA-024-07</x:v>
      </x:c>
      <x:c r="B261" s="27" t="str">
        <x:v>ORD-1124</x:v>
      </x:c>
      <x:c r="C261" s="27" t="str">
        <x:v>PP sample approval</x:v>
      </x:c>
      <x:c r="D261" s="30" t="n">
        <x:v>46191</x:v>
      </x:c>
      <x:c r="E261" s="30"/>
      <x:c r="F261" s="34" t="str">
        <x:f>IF(E261="","",E261-D261)</x:f>
      </x:c>
      <x:c r="G261" s="27" t="str">
        <x:v>Open</x:v>
      </x:c>
      <x:c r="H261" s="27" t="str">
        <x:v>Yes</x:v>
      </x:c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</x:row>
    <x:row r="262">
      <x:c r="A262" s="27" t="str">
        <x:v>TNA-024-08</x:v>
      </x:c>
      <x:c r="B262" s="27" t="str">
        <x:v>ORD-1124</x:v>
      </x:c>
      <x:c r="C262" s="27" t="str">
        <x:v>cutting start</x:v>
      </x:c>
      <x:c r="D262" s="30" t="n">
        <x:v>46197</x:v>
      </x:c>
      <x:c r="E262" s="30"/>
      <x:c r="F262" s="34" t="str">
        <x:f>IF(E262="","",E262-D262)</x:f>
      </x:c>
      <x:c r="G262" s="27" t="str">
        <x:v>Open</x:v>
      </x:c>
      <x:c r="H262" s="27" t="str">
        <x:v>Yes</x:v>
      </x:c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</x:row>
    <x:row r="263">
      <x:c r="A263" s="27" t="str">
        <x:v>TNA-024-09</x:v>
      </x:c>
      <x:c r="B263" s="27" t="str">
        <x:v>ORD-1124</x:v>
      </x:c>
      <x:c r="C263" s="27" t="str">
        <x:v>sewing start</x:v>
      </x:c>
      <x:c r="D263" s="30" t="n">
        <x:v>46200</x:v>
      </x:c>
      <x:c r="E263" s="30"/>
      <x:c r="F263" s="34" t="str">
        <x:f>IF(E263="","",E263-D263)</x:f>
      </x:c>
      <x:c r="G263" s="27" t="str">
        <x:v>Open</x:v>
      </x:c>
      <x:c r="H263" s="27" t="str">
        <x:v>Yes</x:v>
      </x:c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</x:row>
    <x:row r="264">
      <x:c r="A264" s="27" t="str">
        <x:v>TNA-024-10</x:v>
      </x:c>
      <x:c r="B264" s="27" t="str">
        <x:v>ORD-1124</x:v>
      </x:c>
      <x:c r="C264" s="27" t="str">
        <x:v>final QC</x:v>
      </x:c>
      <x:c r="D264" s="30" t="n">
        <x:v>46220</x:v>
      </x:c>
      <x:c r="E264" s="30"/>
      <x:c r="F264" s="34" t="str">
        <x:f>IF(E264="","",E264-D264)</x:f>
      </x:c>
      <x:c r="G264" s="27" t="str">
        <x:v>Open</x:v>
      </x:c>
      <x:c r="H264" s="27" t="str">
        <x:v>Yes</x:v>
      </x:c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</x:row>
    <x:row r="265">
      <x:c r="A265" s="27" t="str">
        <x:v>TNA-024-11</x:v>
      </x:c>
      <x:c r="B265" s="27" t="str">
        <x:v>ORD-1124</x:v>
      </x:c>
      <x:c r="C265" s="27" t="str">
        <x:v>ex-factory handover</x:v>
      </x:c>
      <x:c r="D265" s="30" t="n">
        <x:v>46223</x:v>
      </x:c>
      <x:c r="E265" s="30"/>
      <x:c r="F265" s="34" t="str">
        <x:f>IF(E265="","",E265-D265)</x:f>
      </x:c>
      <x:c r="G265" s="27" t="str">
        <x:v>Open</x:v>
      </x:c>
      <x:c r="H265" s="27" t="str">
        <x:v>Yes</x:v>
      </x:c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</x:row>
    <x:row r="266">
      <x:c r="A266" s="27" t="str">
        <x:v>TNA-025-01</x:v>
      </x:c>
      <x:c r="B266" s="27" t="str">
        <x:v>ORD-1125</x:v>
      </x:c>
      <x:c r="C266" s="27" t="str">
        <x:v>tech pack freeze</x:v>
      </x:c>
      <x:c r="D266" s="30" t="n">
        <x:v>46169</x:v>
      </x:c>
      <x:c r="E266" s="30" t="n">
        <x:v>46169</x:v>
      </x:c>
      <x:c r="F266" s="34" t="n">
        <x:f>IF(E266="","",E266-D266)</x:f>
        <x:v>0</x:v>
      </x:c>
      <x:c r="G266" s="27" t="str">
        <x:v>Done</x:v>
      </x:c>
      <x:c r="H266" s="27" t="str">
        <x:v>No</x:v>
      </x:c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</x:row>
    <x:row r="267">
      <x:c r="A267" s="27" t="str">
        <x:v>TNA-025-02</x:v>
      </x:c>
      <x:c r="B267" s="27" t="str">
        <x:v>ORD-1125</x:v>
      </x:c>
      <x:c r="C267" s="27" t="str">
        <x:v>line booking</x:v>
      </x:c>
      <x:c r="D267" s="30" t="n">
        <x:v>46173</x:v>
      </x:c>
      <x:c r="E267" s="30"/>
      <x:c r="F267" s="34" t="str">
        <x:f>IF(E267="","",E267-D267)</x:f>
      </x:c>
      <x:c r="G267" s="27" t="str">
        <x:v>Open</x:v>
      </x:c>
      <x:c r="H267" s="27" t="str">
        <x:v>No</x:v>
      </x:c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</x:row>
    <x:row r="268">
      <x:c r="A268" s="27" t="str">
        <x:v>TNA-025-03</x:v>
      </x:c>
      <x:c r="B268" s="27" t="str">
        <x:v>ORD-1125</x:v>
      </x:c>
      <x:c r="C268" s="27" t="str">
        <x:v>fabric/trim confirmation</x:v>
      </x:c>
      <x:c r="D268" s="30" t="n">
        <x:v>46177</x:v>
      </x:c>
      <x:c r="E268" s="30"/>
      <x:c r="F268" s="34" t="str">
        <x:f>IF(E268="","",E268-D268)</x:f>
      </x:c>
      <x:c r="G268" s="27" t="str">
        <x:v>Open</x:v>
      </x:c>
      <x:c r="H268" s="27" t="str">
        <x:v>No</x:v>
      </x:c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</x:row>
    <x:row r="269">
      <x:c r="A269" s="27" t="str">
        <x:v>TNA-025-04</x:v>
      </x:c>
      <x:c r="B269" s="27" t="str">
        <x:v>ORD-1125</x:v>
      </x:c>
      <x:c r="C269" s="27" t="str">
        <x:v>fit sample sent</x:v>
      </x:c>
      <x:c r="D269" s="30" t="n">
        <x:v>46181</x:v>
      </x:c>
      <x:c r="E269" s="30"/>
      <x:c r="F269" s="34" t="str">
        <x:f>IF(E269="","",E269-D269)</x:f>
      </x:c>
      <x:c r="G269" s="27" t="str">
        <x:v>Open</x:v>
      </x:c>
      <x:c r="H269" s="27" t="str">
        <x:v>No</x:v>
      </x:c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</x:row>
    <x:row r="270">
      <x:c r="A270" s="27" t="str">
        <x:v>TNA-025-05</x:v>
      </x:c>
      <x:c r="B270" s="27" t="str">
        <x:v>ORD-1125</x:v>
      </x:c>
      <x:c r="C270" s="27" t="str">
        <x:v>fit approval</x:v>
      </x:c>
      <x:c r="D270" s="30" t="n">
        <x:v>46185</x:v>
      </x:c>
      <x:c r="E270" s="30"/>
      <x:c r="F270" s="34" t="str">
        <x:f>IF(E270="","",E270-D270)</x:f>
      </x:c>
      <x:c r="G270" s="27" t="str">
        <x:v>Open</x:v>
      </x:c>
      <x:c r="H270" s="27" t="str">
        <x:v>No</x:v>
      </x:c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</x:row>
    <x:row r="271">
      <x:c r="A271" s="27" t="str">
        <x:v>TNA-025-06</x:v>
      </x:c>
      <x:c r="B271" s="27" t="str">
        <x:v>ORD-1125</x:v>
      </x:c>
      <x:c r="C271" s="27" t="str">
        <x:v>size set sample</x:v>
      </x:c>
      <x:c r="D271" s="30" t="n">
        <x:v>46189</x:v>
      </x:c>
      <x:c r="E271" s="30"/>
      <x:c r="F271" s="34" t="str">
        <x:f>IF(E271="","",E271-D271)</x:f>
      </x:c>
      <x:c r="G271" s="27" t="str">
        <x:v>Open</x:v>
      </x:c>
      <x:c r="H271" s="27" t="str">
        <x:v>No</x:v>
      </x:c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</x:row>
    <x:row r="272">
      <x:c r="A272" s="27" t="str">
        <x:v>TNA-025-07</x:v>
      </x:c>
      <x:c r="B272" s="27" t="str">
        <x:v>ORD-1125</x:v>
      </x:c>
      <x:c r="C272" s="27" t="str">
        <x:v>PP sample approval</x:v>
      </x:c>
      <x:c r="D272" s="30" t="n">
        <x:v>46193</x:v>
      </x:c>
      <x:c r="E272" s="30"/>
      <x:c r="F272" s="34" t="str">
        <x:f>IF(E272="","",E272-D272)</x:f>
      </x:c>
      <x:c r="G272" s="27" t="str">
        <x:v>Open</x:v>
      </x:c>
      <x:c r="H272" s="27" t="str">
        <x:v>Yes</x:v>
      </x:c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</x:row>
    <x:row r="273">
      <x:c r="A273" s="27" t="str">
        <x:v>TNA-025-08</x:v>
      </x:c>
      <x:c r="B273" s="27" t="str">
        <x:v>ORD-1125</x:v>
      </x:c>
      <x:c r="C273" s="27" t="str">
        <x:v>cutting start</x:v>
      </x:c>
      <x:c r="D273" s="30" t="n">
        <x:v>46199</x:v>
      </x:c>
      <x:c r="E273" s="30"/>
      <x:c r="F273" s="34" t="str">
        <x:f>IF(E273="","",E273-D273)</x:f>
      </x:c>
      <x:c r="G273" s="27" t="str">
        <x:v>Open</x:v>
      </x:c>
      <x:c r="H273" s="27" t="str">
        <x:v>Yes</x:v>
      </x:c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</x:row>
    <x:row r="274">
      <x:c r="A274" s="27" t="str">
        <x:v>TNA-025-09</x:v>
      </x:c>
      <x:c r="B274" s="27" t="str">
        <x:v>ORD-1125</x:v>
      </x:c>
      <x:c r="C274" s="27" t="str">
        <x:v>sewing start</x:v>
      </x:c>
      <x:c r="D274" s="30" t="n">
        <x:v>46202</x:v>
      </x:c>
      <x:c r="E274" s="30"/>
      <x:c r="F274" s="34" t="str">
        <x:f>IF(E274="","",E274-D274)</x:f>
      </x:c>
      <x:c r="G274" s="27" t="str">
        <x:v>Open</x:v>
      </x:c>
      <x:c r="H274" s="27" t="str">
        <x:v>Yes</x:v>
      </x:c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</x:row>
    <x:row r="275">
      <x:c r="A275" s="27" t="str">
        <x:v>TNA-025-10</x:v>
      </x:c>
      <x:c r="B275" s="27" t="str">
        <x:v>ORD-1125</x:v>
      </x:c>
      <x:c r="C275" s="27" t="str">
        <x:v>final QC</x:v>
      </x:c>
      <x:c r="D275" s="30" t="n">
        <x:v>46221</x:v>
      </x:c>
      <x:c r="E275" s="30"/>
      <x:c r="F275" s="34" t="str">
        <x:f>IF(E275="","",E275-D275)</x:f>
      </x:c>
      <x:c r="G275" s="27" t="str">
        <x:v>Open</x:v>
      </x:c>
      <x:c r="H275" s="27" t="str">
        <x:v>Yes</x:v>
      </x:c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</x:row>
    <x:row r="276">
      <x:c r="A276" s="27" t="str">
        <x:v>TNA-025-11</x:v>
      </x:c>
      <x:c r="B276" s="27" t="str">
        <x:v>ORD-1125</x:v>
      </x:c>
      <x:c r="C276" s="27" t="str">
        <x:v>ex-factory handover</x:v>
      </x:c>
      <x:c r="D276" s="30" t="n">
        <x:v>46224</x:v>
      </x:c>
      <x:c r="E276" s="30"/>
      <x:c r="F276" s="34" t="str">
        <x:f>IF(E276="","",E276-D276)</x:f>
      </x:c>
      <x:c r="G276" s="27" t="str">
        <x:v>Open</x:v>
      </x:c>
      <x:c r="H276" s="27" t="str">
        <x:v>Yes</x:v>
      </x:c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</x:row>
    <x:row r="277">
      <x:c r="A277" s="27" t="str">
        <x:v>TNA-026-01</x:v>
      </x:c>
      <x:c r="B277" s="27" t="str">
        <x:v>ORD-1126</x:v>
      </x:c>
      <x:c r="C277" s="27" t="str">
        <x:v>tech pack freeze</x:v>
      </x:c>
      <x:c r="D277" s="30" t="n">
        <x:v>46171</x:v>
      </x:c>
      <x:c r="E277" s="30"/>
      <x:c r="F277" s="34" t="str">
        <x:f>IF(E277="","",E277-D277)</x:f>
      </x:c>
      <x:c r="G277" s="27" t="str">
        <x:v>Open</x:v>
      </x:c>
      <x:c r="H277" s="27" t="str">
        <x:v>No</x:v>
      </x:c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</x:row>
    <x:row r="278">
      <x:c r="A278" s="27" t="str">
        <x:v>TNA-026-02</x:v>
      </x:c>
      <x:c r="B278" s="27" t="str">
        <x:v>ORD-1126</x:v>
      </x:c>
      <x:c r="C278" s="27" t="str">
        <x:v>line booking</x:v>
      </x:c>
      <x:c r="D278" s="30" t="n">
        <x:v>46175</x:v>
      </x:c>
      <x:c r="E278" s="30"/>
      <x:c r="F278" s="34" t="str">
        <x:f>IF(E278="","",E278-D278)</x:f>
      </x:c>
      <x:c r="G278" s="27" t="str">
        <x:v>Open</x:v>
      </x:c>
      <x:c r="H278" s="27" t="str">
        <x:v>No</x:v>
      </x:c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</x:row>
    <x:row r="279">
      <x:c r="A279" s="27" t="str">
        <x:v>TNA-026-03</x:v>
      </x:c>
      <x:c r="B279" s="27" t="str">
        <x:v>ORD-1126</x:v>
      </x:c>
      <x:c r="C279" s="27" t="str">
        <x:v>fabric/trim confirmation</x:v>
      </x:c>
      <x:c r="D279" s="30" t="n">
        <x:v>46179</x:v>
      </x:c>
      <x:c r="E279" s="30"/>
      <x:c r="F279" s="34" t="str">
        <x:f>IF(E279="","",E279-D279)</x:f>
      </x:c>
      <x:c r="G279" s="27" t="str">
        <x:v>Open</x:v>
      </x:c>
      <x:c r="H279" s="27" t="str">
        <x:v>No</x:v>
      </x:c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</x:row>
    <x:row r="280">
      <x:c r="A280" s="27" t="str">
        <x:v>TNA-026-04</x:v>
      </x:c>
      <x:c r="B280" s="27" t="str">
        <x:v>ORD-1126</x:v>
      </x:c>
      <x:c r="C280" s="27" t="str">
        <x:v>fit sample sent</x:v>
      </x:c>
      <x:c r="D280" s="30" t="n">
        <x:v>46183</x:v>
      </x:c>
      <x:c r="E280" s="30"/>
      <x:c r="F280" s="34" t="str">
        <x:f>IF(E280="","",E280-D280)</x:f>
      </x:c>
      <x:c r="G280" s="27" t="str">
        <x:v>Open</x:v>
      </x:c>
      <x:c r="H280" s="27" t="str">
        <x:v>No</x:v>
      </x:c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</x:row>
    <x:row r="281">
      <x:c r="A281" s="27" t="str">
        <x:v>TNA-026-05</x:v>
      </x:c>
      <x:c r="B281" s="27" t="str">
        <x:v>ORD-1126</x:v>
      </x:c>
      <x:c r="C281" s="27" t="str">
        <x:v>fit approval</x:v>
      </x:c>
      <x:c r="D281" s="30" t="n">
        <x:v>46187</x:v>
      </x:c>
      <x:c r="E281" s="30"/>
      <x:c r="F281" s="34" t="str">
        <x:f>IF(E281="","",E281-D281)</x:f>
      </x:c>
      <x:c r="G281" s="27" t="str">
        <x:v>Open</x:v>
      </x:c>
      <x:c r="H281" s="27" t="str">
        <x:v>No</x:v>
      </x:c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</x:row>
    <x:row r="282">
      <x:c r="A282" s="27" t="str">
        <x:v>TNA-026-06</x:v>
      </x:c>
      <x:c r="B282" s="27" t="str">
        <x:v>ORD-1126</x:v>
      </x:c>
      <x:c r="C282" s="27" t="str">
        <x:v>size set sample</x:v>
      </x:c>
      <x:c r="D282" s="30" t="n">
        <x:v>46191</x:v>
      </x:c>
      <x:c r="E282" s="30"/>
      <x:c r="F282" s="34" t="str">
        <x:f>IF(E282="","",E282-D282)</x:f>
      </x:c>
      <x:c r="G282" s="27" t="str">
        <x:v>Open</x:v>
      </x:c>
      <x:c r="H282" s="27" t="str">
        <x:v>No</x:v>
      </x:c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</x:row>
    <x:row r="283">
      <x:c r="A283" s="27" t="str">
        <x:v>TNA-026-07</x:v>
      </x:c>
      <x:c r="B283" s="27" t="str">
        <x:v>ORD-1126</x:v>
      </x:c>
      <x:c r="C283" s="27" t="str">
        <x:v>PP sample approval</x:v>
      </x:c>
      <x:c r="D283" s="30" t="n">
        <x:v>46195</x:v>
      </x:c>
      <x:c r="E283" s="30"/>
      <x:c r="F283" s="34" t="str">
        <x:f>IF(E283="","",E283-D283)</x:f>
      </x:c>
      <x:c r="G283" s="27" t="str">
        <x:v>Open</x:v>
      </x:c>
      <x:c r="H283" s="27" t="str">
        <x:v>Yes</x:v>
      </x:c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</x:row>
    <x:row r="284">
      <x:c r="A284" s="27" t="str">
        <x:v>TNA-026-08</x:v>
      </x:c>
      <x:c r="B284" s="27" t="str">
        <x:v>ORD-1126</x:v>
      </x:c>
      <x:c r="C284" s="27" t="str">
        <x:v>cutting start</x:v>
      </x:c>
      <x:c r="D284" s="30" t="n">
        <x:v>46201</x:v>
      </x:c>
      <x:c r="E284" s="30"/>
      <x:c r="F284" s="34" t="str">
        <x:f>IF(E284="","",E284-D284)</x:f>
      </x:c>
      <x:c r="G284" s="27" t="str">
        <x:v>Open</x:v>
      </x:c>
      <x:c r="H284" s="27" t="str">
        <x:v>Yes</x:v>
      </x:c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</x:row>
    <x:row r="285">
      <x:c r="A285" s="27" t="str">
        <x:v>TNA-026-09</x:v>
      </x:c>
      <x:c r="B285" s="27" t="str">
        <x:v>ORD-1126</x:v>
      </x:c>
      <x:c r="C285" s="27" t="str">
        <x:v>sewing start</x:v>
      </x:c>
      <x:c r="D285" s="30" t="n">
        <x:v>46204</x:v>
      </x:c>
      <x:c r="E285" s="30"/>
      <x:c r="F285" s="34" t="str">
        <x:f>IF(E285="","",E285-D285)</x:f>
      </x:c>
      <x:c r="G285" s="27" t="str">
        <x:v>Open</x:v>
      </x:c>
      <x:c r="H285" s="27" t="str">
        <x:v>Yes</x:v>
      </x:c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</x:row>
    <x:row r="286">
      <x:c r="A286" s="27" t="str">
        <x:v>TNA-026-10</x:v>
      </x:c>
      <x:c r="B286" s="27" t="str">
        <x:v>ORD-1126</x:v>
      </x:c>
      <x:c r="C286" s="27" t="str">
        <x:v>final QC</x:v>
      </x:c>
      <x:c r="D286" s="30" t="n">
        <x:v>46214</x:v>
      </x:c>
      <x:c r="E286" s="30"/>
      <x:c r="F286" s="34" t="str">
        <x:f>IF(E286="","",E286-D286)</x:f>
      </x:c>
      <x:c r="G286" s="27" t="str">
        <x:v>Open</x:v>
      </x:c>
      <x:c r="H286" s="27" t="str">
        <x:v>Yes</x:v>
      </x:c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</x:row>
    <x:row r="287">
      <x:c r="A287" s="27" t="str">
        <x:v>TNA-026-11</x:v>
      </x:c>
      <x:c r="B287" s="27" t="str">
        <x:v>ORD-1126</x:v>
      </x:c>
      <x:c r="C287" s="27" t="str">
        <x:v>ex-factory handover</x:v>
      </x:c>
      <x:c r="D287" s="30" t="n">
        <x:v>46217</x:v>
      </x:c>
      <x:c r="E287" s="30"/>
      <x:c r="F287" s="34" t="str">
        <x:f>IF(E287="","",E287-D287)</x:f>
      </x:c>
      <x:c r="G287" s="27" t="str">
        <x:v>Open</x:v>
      </x:c>
      <x:c r="H287" s="27" t="str">
        <x:v>Yes</x:v>
      </x:c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</x:row>
    <x:row r="288">
      <x:c r="A288" s="27" t="str">
        <x:v>TNA-027-01</x:v>
      </x:c>
      <x:c r="B288" s="27" t="str">
        <x:v>ORD-1127</x:v>
      </x:c>
      <x:c r="C288" s="27" t="str">
        <x:v>tech pack freeze</x:v>
      </x:c>
      <x:c r="D288" s="30" t="n">
        <x:v>46173</x:v>
      </x:c>
      <x:c r="E288" s="30"/>
      <x:c r="F288" s="34" t="str">
        <x:f>IF(E288="","",E288-D288)</x:f>
      </x:c>
      <x:c r="G288" s="27" t="str">
        <x:v>Open</x:v>
      </x:c>
      <x:c r="H288" s="27" t="str">
        <x:v>No</x:v>
      </x:c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</x:row>
    <x:row r="289">
      <x:c r="A289" s="27" t="str">
        <x:v>TNA-027-02</x:v>
      </x:c>
      <x:c r="B289" s="27" t="str">
        <x:v>ORD-1127</x:v>
      </x:c>
      <x:c r="C289" s="27" t="str">
        <x:v>line booking</x:v>
      </x:c>
      <x:c r="D289" s="30" t="n">
        <x:v>46177</x:v>
      </x:c>
      <x:c r="E289" s="30"/>
      <x:c r="F289" s="34" t="str">
        <x:f>IF(E289="","",E289-D289)</x:f>
      </x:c>
      <x:c r="G289" s="27" t="str">
        <x:v>Open</x:v>
      </x:c>
      <x:c r="H289" s="27" t="str">
        <x:v>No</x:v>
      </x:c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</x:row>
    <x:row r="290">
      <x:c r="A290" s="27" t="str">
        <x:v>TNA-027-03</x:v>
      </x:c>
      <x:c r="B290" s="27" t="str">
        <x:v>ORD-1127</x:v>
      </x:c>
      <x:c r="C290" s="27" t="str">
        <x:v>fabric/trim confirmation</x:v>
      </x:c>
      <x:c r="D290" s="30" t="n">
        <x:v>46181</x:v>
      </x:c>
      <x:c r="E290" s="30"/>
      <x:c r="F290" s="34" t="str">
        <x:f>IF(E290="","",E290-D290)</x:f>
      </x:c>
      <x:c r="G290" s="27" t="str">
        <x:v>Open</x:v>
      </x:c>
      <x:c r="H290" s="27" t="str">
        <x:v>No</x:v>
      </x:c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</x:row>
    <x:row r="291">
      <x:c r="A291" s="27" t="str">
        <x:v>TNA-027-04</x:v>
      </x:c>
      <x:c r="B291" s="27" t="str">
        <x:v>ORD-1127</x:v>
      </x:c>
      <x:c r="C291" s="27" t="str">
        <x:v>fit sample sent</x:v>
      </x:c>
      <x:c r="D291" s="30" t="n">
        <x:v>46185</x:v>
      </x:c>
      <x:c r="E291" s="30"/>
      <x:c r="F291" s="34" t="str">
        <x:f>IF(E291="","",E291-D291)</x:f>
      </x:c>
      <x:c r="G291" s="27" t="str">
        <x:v>Open</x:v>
      </x:c>
      <x:c r="H291" s="27" t="str">
        <x:v>No</x:v>
      </x:c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</x:row>
    <x:row r="292">
      <x:c r="A292" s="27" t="str">
        <x:v>TNA-027-05</x:v>
      </x:c>
      <x:c r="B292" s="27" t="str">
        <x:v>ORD-1127</x:v>
      </x:c>
      <x:c r="C292" s="27" t="str">
        <x:v>fit approval</x:v>
      </x:c>
      <x:c r="D292" s="30" t="n">
        <x:v>46189</x:v>
      </x:c>
      <x:c r="E292" s="30"/>
      <x:c r="F292" s="34" t="str">
        <x:f>IF(E292="","",E292-D292)</x:f>
      </x:c>
      <x:c r="G292" s="27" t="str">
        <x:v>Open</x:v>
      </x:c>
      <x:c r="H292" s="27" t="str">
        <x:v>No</x:v>
      </x:c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</x:row>
    <x:row r="293">
      <x:c r="A293" s="27" t="str">
        <x:v>TNA-027-06</x:v>
      </x:c>
      <x:c r="B293" s="27" t="str">
        <x:v>ORD-1127</x:v>
      </x:c>
      <x:c r="C293" s="27" t="str">
        <x:v>size set sample</x:v>
      </x:c>
      <x:c r="D293" s="30" t="n">
        <x:v>46193</x:v>
      </x:c>
      <x:c r="E293" s="30"/>
      <x:c r="F293" s="34" t="str">
        <x:f>IF(E293="","",E293-D293)</x:f>
      </x:c>
      <x:c r="G293" s="27" t="str">
        <x:v>Open</x:v>
      </x:c>
      <x:c r="H293" s="27" t="str">
        <x:v>No</x:v>
      </x:c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</x:row>
    <x:row r="294">
      <x:c r="A294" s="27" t="str">
        <x:v>TNA-027-07</x:v>
      </x:c>
      <x:c r="B294" s="27" t="str">
        <x:v>ORD-1127</x:v>
      </x:c>
      <x:c r="C294" s="27" t="str">
        <x:v>PP sample approval</x:v>
      </x:c>
      <x:c r="D294" s="30" t="n">
        <x:v>46197</x:v>
      </x:c>
      <x:c r="E294" s="30"/>
      <x:c r="F294" s="34" t="str">
        <x:f>IF(E294="","",E294-D294)</x:f>
      </x:c>
      <x:c r="G294" s="27" t="str">
        <x:v>Open</x:v>
      </x:c>
      <x:c r="H294" s="27" t="str">
        <x:v>Yes</x:v>
      </x:c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</x:row>
    <x:row r="295">
      <x:c r="A295" s="27" t="str">
        <x:v>TNA-027-08</x:v>
      </x:c>
      <x:c r="B295" s="27" t="str">
        <x:v>ORD-1127</x:v>
      </x:c>
      <x:c r="C295" s="27" t="str">
        <x:v>cutting start</x:v>
      </x:c>
      <x:c r="D295" s="30" t="n">
        <x:v>46203</x:v>
      </x:c>
      <x:c r="E295" s="30"/>
      <x:c r="F295" s="34" t="str">
        <x:f>IF(E295="","",E295-D295)</x:f>
      </x:c>
      <x:c r="G295" s="27" t="str">
        <x:v>Open</x:v>
      </x:c>
      <x:c r="H295" s="27" t="str">
        <x:v>Yes</x:v>
      </x:c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</x:row>
    <x:row r="296">
      <x:c r="A296" s="27" t="str">
        <x:v>TNA-027-09</x:v>
      </x:c>
      <x:c r="B296" s="27" t="str">
        <x:v>ORD-1127</x:v>
      </x:c>
      <x:c r="C296" s="27" t="str">
        <x:v>sewing start</x:v>
      </x:c>
      <x:c r="D296" s="30" t="n">
        <x:v>46206</x:v>
      </x:c>
      <x:c r="E296" s="30"/>
      <x:c r="F296" s="34" t="str">
        <x:f>IF(E296="","",E296-D296)</x:f>
      </x:c>
      <x:c r="G296" s="27" t="str">
        <x:v>Open</x:v>
      </x:c>
      <x:c r="H296" s="27" t="str">
        <x:v>Yes</x:v>
      </x:c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</x:row>
    <x:row r="297">
      <x:c r="A297" s="27" t="str">
        <x:v>TNA-027-10</x:v>
      </x:c>
      <x:c r="B297" s="27" t="str">
        <x:v>ORD-1127</x:v>
      </x:c>
      <x:c r="C297" s="27" t="str">
        <x:v>final QC</x:v>
      </x:c>
      <x:c r="D297" s="30" t="n">
        <x:v>46223</x:v>
      </x:c>
      <x:c r="E297" s="30"/>
      <x:c r="F297" s="34" t="str">
        <x:f>IF(E297="","",E297-D297)</x:f>
      </x:c>
      <x:c r="G297" s="27" t="str">
        <x:v>Open</x:v>
      </x:c>
      <x:c r="H297" s="27" t="str">
        <x:v>Yes</x:v>
      </x:c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</x:row>
    <x:row r="298">
      <x:c r="A298" s="27" t="str">
        <x:v>TNA-027-11</x:v>
      </x:c>
      <x:c r="B298" s="27" t="str">
        <x:v>ORD-1127</x:v>
      </x:c>
      <x:c r="C298" s="27" t="str">
        <x:v>ex-factory handover</x:v>
      </x:c>
      <x:c r="D298" s="30" t="n">
        <x:v>46226</x:v>
      </x:c>
      <x:c r="E298" s="30"/>
      <x:c r="F298" s="34" t="str">
        <x:f>IF(E298="","",E298-D298)</x:f>
      </x:c>
      <x:c r="G298" s="27" t="str">
        <x:v>Open</x:v>
      </x:c>
      <x:c r="H298" s="27" t="str">
        <x:v>Yes</x:v>
      </x:c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</x:row>
    <x:row r="299">
      <x:c r="A299" s="27" t="str">
        <x:v>TNA-028-01</x:v>
      </x:c>
      <x:c r="B299" s="27" t="str">
        <x:v>ORD-1128</x:v>
      </x:c>
      <x:c r="C299" s="27" t="str">
        <x:v>tech pack freeze</x:v>
      </x:c>
      <x:c r="D299" s="30" t="n">
        <x:v>46175</x:v>
      </x:c>
      <x:c r="E299" s="30"/>
      <x:c r="F299" s="34" t="str">
        <x:f>IF(E299="","",E299-D299)</x:f>
      </x:c>
      <x:c r="G299" s="27" t="str">
        <x:v>Open</x:v>
      </x:c>
      <x:c r="H299" s="27" t="str">
        <x:v>No</x:v>
      </x:c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</x:row>
    <x:row r="300">
      <x:c r="A300" s="27" t="str">
        <x:v>TNA-028-02</x:v>
      </x:c>
      <x:c r="B300" s="27" t="str">
        <x:v>ORD-1128</x:v>
      </x:c>
      <x:c r="C300" s="27" t="str">
        <x:v>line booking</x:v>
      </x:c>
      <x:c r="D300" s="30" t="n">
        <x:v>46179</x:v>
      </x:c>
      <x:c r="E300" s="30"/>
      <x:c r="F300" s="34" t="str">
        <x:f>IF(E300="","",E300-D300)</x:f>
      </x:c>
      <x:c r="G300" s="27" t="str">
        <x:v>Open</x:v>
      </x:c>
      <x:c r="H300" s="27" t="str">
        <x:v>No</x:v>
      </x:c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</x:row>
    <x:row r="301">
      <x:c r="A301" s="27" t="str">
        <x:v>TNA-028-03</x:v>
      </x:c>
      <x:c r="B301" s="27" t="str">
        <x:v>ORD-1128</x:v>
      </x:c>
      <x:c r="C301" s="27" t="str">
        <x:v>fabric/trim confirmation</x:v>
      </x:c>
      <x:c r="D301" s="30" t="n">
        <x:v>46183</x:v>
      </x:c>
      <x:c r="E301" s="30"/>
      <x:c r="F301" s="34" t="str">
        <x:f>IF(E301="","",E301-D301)</x:f>
      </x:c>
      <x:c r="G301" s="27" t="str">
        <x:v>Open</x:v>
      </x:c>
      <x:c r="H301" s="27" t="str">
        <x:v>No</x:v>
      </x:c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</x:row>
    <x:row r="302">
      <x:c r="A302" s="27" t="str">
        <x:v>TNA-028-04</x:v>
      </x:c>
      <x:c r="B302" s="27" t="str">
        <x:v>ORD-1128</x:v>
      </x:c>
      <x:c r="C302" s="27" t="str">
        <x:v>fit sample sent</x:v>
      </x:c>
      <x:c r="D302" s="30" t="n">
        <x:v>46187</x:v>
      </x:c>
      <x:c r="E302" s="30"/>
      <x:c r="F302" s="34" t="str">
        <x:f>IF(E302="","",E302-D302)</x:f>
      </x:c>
      <x:c r="G302" s="27" t="str">
        <x:v>Open</x:v>
      </x:c>
      <x:c r="H302" s="27" t="str">
        <x:v>No</x:v>
      </x:c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</x:row>
    <x:row r="303">
      <x:c r="A303" s="27" t="str">
        <x:v>TNA-028-05</x:v>
      </x:c>
      <x:c r="B303" s="27" t="str">
        <x:v>ORD-1128</x:v>
      </x:c>
      <x:c r="C303" s="27" t="str">
        <x:v>fit approval</x:v>
      </x:c>
      <x:c r="D303" s="30" t="n">
        <x:v>46191</x:v>
      </x:c>
      <x:c r="E303" s="30"/>
      <x:c r="F303" s="34" t="str">
        <x:f>IF(E303="","",E303-D303)</x:f>
      </x:c>
      <x:c r="G303" s="27" t="str">
        <x:v>Open</x:v>
      </x:c>
      <x:c r="H303" s="27" t="str">
        <x:v>No</x:v>
      </x:c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</x:row>
    <x:row r="304">
      <x:c r="A304" s="27" t="str">
        <x:v>TNA-028-06</x:v>
      </x:c>
      <x:c r="B304" s="27" t="str">
        <x:v>ORD-1128</x:v>
      </x:c>
      <x:c r="C304" s="27" t="str">
        <x:v>size set sample</x:v>
      </x:c>
      <x:c r="D304" s="30" t="n">
        <x:v>46195</x:v>
      </x:c>
      <x:c r="E304" s="30"/>
      <x:c r="F304" s="34" t="str">
        <x:f>IF(E304="","",E304-D304)</x:f>
      </x:c>
      <x:c r="G304" s="27" t="str">
        <x:v>Open</x:v>
      </x:c>
      <x:c r="H304" s="27" t="str">
        <x:v>No</x:v>
      </x:c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</x:row>
    <x:row r="305">
      <x:c r="A305" s="27" t="str">
        <x:v>TNA-028-07</x:v>
      </x:c>
      <x:c r="B305" s="27" t="str">
        <x:v>ORD-1128</x:v>
      </x:c>
      <x:c r="C305" s="27" t="str">
        <x:v>PP sample approval</x:v>
      </x:c>
      <x:c r="D305" s="30" t="n">
        <x:v>46199</x:v>
      </x:c>
      <x:c r="E305" s="30"/>
      <x:c r="F305" s="34" t="str">
        <x:f>IF(E305="","",E305-D305)</x:f>
      </x:c>
      <x:c r="G305" s="27" t="str">
        <x:v>Open</x:v>
      </x:c>
      <x:c r="H305" s="27" t="str">
        <x:v>Yes</x:v>
      </x:c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</x:row>
    <x:row r="306">
      <x:c r="A306" s="27" t="str">
        <x:v>TNA-028-08</x:v>
      </x:c>
      <x:c r="B306" s="27" t="str">
        <x:v>ORD-1128</x:v>
      </x:c>
      <x:c r="C306" s="27" t="str">
        <x:v>cutting start</x:v>
      </x:c>
      <x:c r="D306" s="30" t="n">
        <x:v>46205</x:v>
      </x:c>
      <x:c r="E306" s="30"/>
      <x:c r="F306" s="34" t="str">
        <x:f>IF(E306="","",E306-D306)</x:f>
      </x:c>
      <x:c r="G306" s="27" t="str">
        <x:v>Open</x:v>
      </x:c>
      <x:c r="H306" s="27" t="str">
        <x:v>Yes</x:v>
      </x:c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</x:row>
    <x:row r="307">
      <x:c r="A307" s="27" t="str">
        <x:v>TNA-028-09</x:v>
      </x:c>
      <x:c r="B307" s="27" t="str">
        <x:v>ORD-1128</x:v>
      </x:c>
      <x:c r="C307" s="27" t="str">
        <x:v>sewing start</x:v>
      </x:c>
      <x:c r="D307" s="30" t="n">
        <x:v>46208</x:v>
      </x:c>
      <x:c r="E307" s="30"/>
      <x:c r="F307" s="34" t="str">
        <x:f>IF(E307="","",E307-D307)</x:f>
      </x:c>
      <x:c r="G307" s="27" t="str">
        <x:v>Open</x:v>
      </x:c>
      <x:c r="H307" s="27" t="str">
        <x:v>Yes</x:v>
      </x:c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</x:row>
    <x:row r="308">
      <x:c r="A308" s="27" t="str">
        <x:v>TNA-028-10</x:v>
      </x:c>
      <x:c r="B308" s="27" t="str">
        <x:v>ORD-1128</x:v>
      </x:c>
      <x:c r="C308" s="27" t="str">
        <x:v>final QC</x:v>
      </x:c>
      <x:c r="D308" s="30" t="n">
        <x:v>46222</x:v>
      </x:c>
      <x:c r="E308" s="30"/>
      <x:c r="F308" s="34" t="str">
        <x:f>IF(E308="","",E308-D308)</x:f>
      </x:c>
      <x:c r="G308" s="27" t="str">
        <x:v>Open</x:v>
      </x:c>
      <x:c r="H308" s="27" t="str">
        <x:v>Yes</x:v>
      </x:c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</x:row>
    <x:row r="309">
      <x:c r="A309" s="27" t="str">
        <x:v>TNA-028-11</x:v>
      </x:c>
      <x:c r="B309" s="27" t="str">
        <x:v>ORD-1128</x:v>
      </x:c>
      <x:c r="C309" s="27" t="str">
        <x:v>ex-factory handover</x:v>
      </x:c>
      <x:c r="D309" s="30" t="n">
        <x:v>46225</x:v>
      </x:c>
      <x:c r="E309" s="30"/>
      <x:c r="F309" s="34" t="str">
        <x:f>IF(E309="","",E309-D309)</x:f>
      </x:c>
      <x:c r="G309" s="27" t="str">
        <x:v>Open</x:v>
      </x:c>
      <x:c r="H309" s="27" t="str">
        <x:v>Yes</x:v>
      </x:c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</x:row>
    <x:row r="310">
      <x:c r="A310" s="27" t="str">
        <x:v>TNA-029-01</x:v>
      </x:c>
      <x:c r="B310" s="27" t="str">
        <x:v>ORD-1129</x:v>
      </x:c>
      <x:c r="C310" s="27" t="str">
        <x:v>tech pack freeze</x:v>
      </x:c>
      <x:c r="D310" s="30" t="n">
        <x:v>46177</x:v>
      </x:c>
      <x:c r="E310" s="30"/>
      <x:c r="F310" s="34" t="str">
        <x:f>IF(E310="","",E310-D310)</x:f>
      </x:c>
      <x:c r="G310" s="27" t="str">
        <x:v>Open</x:v>
      </x:c>
      <x:c r="H310" s="27" t="str">
        <x:v>No</x:v>
      </x:c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</x:row>
    <x:row r="311">
      <x:c r="A311" s="27" t="str">
        <x:v>TNA-029-02</x:v>
      </x:c>
      <x:c r="B311" s="27" t="str">
        <x:v>ORD-1129</x:v>
      </x:c>
      <x:c r="C311" s="27" t="str">
        <x:v>line booking</x:v>
      </x:c>
      <x:c r="D311" s="30" t="n">
        <x:v>46181</x:v>
      </x:c>
      <x:c r="E311" s="30"/>
      <x:c r="F311" s="34" t="str">
        <x:f>IF(E311="","",E311-D311)</x:f>
      </x:c>
      <x:c r="G311" s="27" t="str">
        <x:v>Open</x:v>
      </x:c>
      <x:c r="H311" s="27" t="str">
        <x:v>No</x:v>
      </x:c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</x:row>
    <x:row r="312">
      <x:c r="A312" s="27" t="str">
        <x:v>TNA-029-03</x:v>
      </x:c>
      <x:c r="B312" s="27" t="str">
        <x:v>ORD-1129</x:v>
      </x:c>
      <x:c r="C312" s="27" t="str">
        <x:v>fabric/trim confirmation</x:v>
      </x:c>
      <x:c r="D312" s="30" t="n">
        <x:v>46185</x:v>
      </x:c>
      <x:c r="E312" s="30"/>
      <x:c r="F312" s="34" t="str">
        <x:f>IF(E312="","",E312-D312)</x:f>
      </x:c>
      <x:c r="G312" s="27" t="str">
        <x:v>Open</x:v>
      </x:c>
      <x:c r="H312" s="27" t="str">
        <x:v>No</x:v>
      </x:c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</x:row>
    <x:row r="313">
      <x:c r="A313" s="27" t="str">
        <x:v>TNA-029-04</x:v>
      </x:c>
      <x:c r="B313" s="27" t="str">
        <x:v>ORD-1129</x:v>
      </x:c>
      <x:c r="C313" s="27" t="str">
        <x:v>fit sample sent</x:v>
      </x:c>
      <x:c r="D313" s="30" t="n">
        <x:v>46189</x:v>
      </x:c>
      <x:c r="E313" s="30"/>
      <x:c r="F313" s="34" t="str">
        <x:f>IF(E313="","",E313-D313)</x:f>
      </x:c>
      <x:c r="G313" s="27" t="str">
        <x:v>Open</x:v>
      </x:c>
      <x:c r="H313" s="27" t="str">
        <x:v>No</x:v>
      </x:c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</x:row>
    <x:row r="314">
      <x:c r="A314" s="27" t="str">
        <x:v>TNA-029-05</x:v>
      </x:c>
      <x:c r="B314" s="27" t="str">
        <x:v>ORD-1129</x:v>
      </x:c>
      <x:c r="C314" s="27" t="str">
        <x:v>fit approval</x:v>
      </x:c>
      <x:c r="D314" s="30" t="n">
        <x:v>46193</x:v>
      </x:c>
      <x:c r="E314" s="30"/>
      <x:c r="F314" s="34" t="str">
        <x:f>IF(E314="","",E314-D314)</x:f>
      </x:c>
      <x:c r="G314" s="27" t="str">
        <x:v>Open</x:v>
      </x:c>
      <x:c r="H314" s="27" t="str">
        <x:v>No</x:v>
      </x:c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</x:row>
    <x:row r="315">
      <x:c r="A315" s="27" t="str">
        <x:v>TNA-029-06</x:v>
      </x:c>
      <x:c r="B315" s="27" t="str">
        <x:v>ORD-1129</x:v>
      </x:c>
      <x:c r="C315" s="27" t="str">
        <x:v>size set sample</x:v>
      </x:c>
      <x:c r="D315" s="30" t="n">
        <x:v>46197</x:v>
      </x:c>
      <x:c r="E315" s="30"/>
      <x:c r="F315" s="34" t="str">
        <x:f>IF(E315="","",E315-D315)</x:f>
      </x:c>
      <x:c r="G315" s="27" t="str">
        <x:v>Open</x:v>
      </x:c>
      <x:c r="H315" s="27" t="str">
        <x:v>No</x:v>
      </x:c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</x:row>
    <x:row r="316">
      <x:c r="A316" s="27" t="str">
        <x:v>TNA-029-07</x:v>
      </x:c>
      <x:c r="B316" s="27" t="str">
        <x:v>ORD-1129</x:v>
      </x:c>
      <x:c r="C316" s="27" t="str">
        <x:v>PP sample approval</x:v>
      </x:c>
      <x:c r="D316" s="30" t="n">
        <x:v>46201</x:v>
      </x:c>
      <x:c r="E316" s="30"/>
      <x:c r="F316" s="34" t="str">
        <x:f>IF(E316="","",E316-D316)</x:f>
      </x:c>
      <x:c r="G316" s="27" t="str">
        <x:v>Open</x:v>
      </x:c>
      <x:c r="H316" s="27" t="str">
        <x:v>Yes</x:v>
      </x:c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</x:row>
    <x:row r="317">
      <x:c r="A317" s="27" t="str">
        <x:v>TNA-029-08</x:v>
      </x:c>
      <x:c r="B317" s="27" t="str">
        <x:v>ORD-1129</x:v>
      </x:c>
      <x:c r="C317" s="27" t="str">
        <x:v>cutting start</x:v>
      </x:c>
      <x:c r="D317" s="30" t="n">
        <x:v>46207</x:v>
      </x:c>
      <x:c r="E317" s="30"/>
      <x:c r="F317" s="34" t="str">
        <x:f>IF(E317="","",E317-D317)</x:f>
      </x:c>
      <x:c r="G317" s="27" t="str">
        <x:v>Open</x:v>
      </x:c>
      <x:c r="H317" s="27" t="str">
        <x:v>Yes</x:v>
      </x:c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</x:row>
    <x:row r="318">
      <x:c r="A318" s="27" t="str">
        <x:v>TNA-029-09</x:v>
      </x:c>
      <x:c r="B318" s="27" t="str">
        <x:v>ORD-1129</x:v>
      </x:c>
      <x:c r="C318" s="27" t="str">
        <x:v>sewing start</x:v>
      </x:c>
      <x:c r="D318" s="30" t="n">
        <x:v>46210</x:v>
      </x:c>
      <x:c r="E318" s="30"/>
      <x:c r="F318" s="34" t="str">
        <x:f>IF(E318="","",E318-D318)</x:f>
      </x:c>
      <x:c r="G318" s="27" t="str">
        <x:v>Open</x:v>
      </x:c>
      <x:c r="H318" s="27" t="str">
        <x:v>Yes</x:v>
      </x:c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</x:row>
    <x:row r="319">
      <x:c r="A319" s="27" t="str">
        <x:v>TNA-029-10</x:v>
      </x:c>
      <x:c r="B319" s="27" t="str">
        <x:v>ORD-1129</x:v>
      </x:c>
      <x:c r="C319" s="27" t="str">
        <x:v>final QC</x:v>
      </x:c>
      <x:c r="D319" s="30" t="n">
        <x:v>46227</x:v>
      </x:c>
      <x:c r="E319" s="30"/>
      <x:c r="F319" s="34" t="str">
        <x:f>IF(E319="","",E319-D319)</x:f>
      </x:c>
      <x:c r="G319" s="27" t="str">
        <x:v>Open</x:v>
      </x:c>
      <x:c r="H319" s="27" t="str">
        <x:v>Yes</x:v>
      </x:c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</x:row>
    <x:row r="320">
      <x:c r="A320" s="27" t="str">
        <x:v>TNA-029-11</x:v>
      </x:c>
      <x:c r="B320" s="27" t="str">
        <x:v>ORD-1129</x:v>
      </x:c>
      <x:c r="C320" s="27" t="str">
        <x:v>ex-factory handover</x:v>
      </x:c>
      <x:c r="D320" s="30" t="n">
        <x:v>46230</x:v>
      </x:c>
      <x:c r="E320" s="30"/>
      <x:c r="F320" s="34" t="str">
        <x:f>IF(E320="","",E320-D320)</x:f>
      </x:c>
      <x:c r="G320" s="27" t="str">
        <x:v>Open</x:v>
      </x:c>
      <x:c r="H320" s="27" t="str">
        <x:v>Yes</x:v>
      </x:c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</x:row>
    <x:row r="321">
      <x:c r="A321" s="27" t="str">
        <x:v>TNA-030-01</x:v>
      </x:c>
      <x:c r="B321" s="27" t="str">
        <x:v>ORD-1130</x:v>
      </x:c>
      <x:c r="C321" s="27" t="str">
        <x:v>tech pack freeze</x:v>
      </x:c>
      <x:c r="D321" s="30" t="n">
        <x:v>46179</x:v>
      </x:c>
      <x:c r="E321" s="30"/>
      <x:c r="F321" s="34" t="str">
        <x:f>IF(E321="","",E321-D321)</x:f>
      </x:c>
      <x:c r="G321" s="27" t="str">
        <x:v>Open</x:v>
      </x:c>
      <x:c r="H321" s="27" t="str">
        <x:v>No</x:v>
      </x:c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</x:row>
    <x:row r="322">
      <x:c r="A322" s="27" t="str">
        <x:v>TNA-030-02</x:v>
      </x:c>
      <x:c r="B322" s="27" t="str">
        <x:v>ORD-1130</x:v>
      </x:c>
      <x:c r="C322" s="27" t="str">
        <x:v>line booking</x:v>
      </x:c>
      <x:c r="D322" s="30" t="n">
        <x:v>46183</x:v>
      </x:c>
      <x:c r="E322" s="30"/>
      <x:c r="F322" s="34" t="str">
        <x:f>IF(E322="","",E322-D322)</x:f>
      </x:c>
      <x:c r="G322" s="27" t="str">
        <x:v>Open</x:v>
      </x:c>
      <x:c r="H322" s="27" t="str">
        <x:v>No</x:v>
      </x:c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</x:row>
    <x:row r="323">
      <x:c r="A323" s="27" t="str">
        <x:v>TNA-030-03</x:v>
      </x:c>
      <x:c r="B323" s="27" t="str">
        <x:v>ORD-1130</x:v>
      </x:c>
      <x:c r="C323" s="27" t="str">
        <x:v>fabric/trim confirmation</x:v>
      </x:c>
      <x:c r="D323" s="30" t="n">
        <x:v>46187</x:v>
      </x:c>
      <x:c r="E323" s="30"/>
      <x:c r="F323" s="34" t="str">
        <x:f>IF(E323="","",E323-D323)</x:f>
      </x:c>
      <x:c r="G323" s="27" t="str">
        <x:v>Open</x:v>
      </x:c>
      <x:c r="H323" s="27" t="str">
        <x:v>No</x:v>
      </x:c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</x:row>
    <x:row r="324">
      <x:c r="A324" s="27" t="str">
        <x:v>TNA-030-04</x:v>
      </x:c>
      <x:c r="B324" s="27" t="str">
        <x:v>ORD-1130</x:v>
      </x:c>
      <x:c r="C324" s="27" t="str">
        <x:v>fit sample sent</x:v>
      </x:c>
      <x:c r="D324" s="30" t="n">
        <x:v>46191</x:v>
      </x:c>
      <x:c r="E324" s="30"/>
      <x:c r="F324" s="34" t="str">
        <x:f>IF(E324="","",E324-D324)</x:f>
      </x:c>
      <x:c r="G324" s="27" t="str">
        <x:v>Open</x:v>
      </x:c>
      <x:c r="H324" s="27" t="str">
        <x:v>No</x:v>
      </x:c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</x:row>
    <x:row r="325">
      <x:c r="A325" s="27" t="str">
        <x:v>TNA-030-05</x:v>
      </x:c>
      <x:c r="B325" s="27" t="str">
        <x:v>ORD-1130</x:v>
      </x:c>
      <x:c r="C325" s="27" t="str">
        <x:v>fit approval</x:v>
      </x:c>
      <x:c r="D325" s="30" t="n">
        <x:v>46195</x:v>
      </x:c>
      <x:c r="E325" s="30"/>
      <x:c r="F325" s="34" t="str">
        <x:f>IF(E325="","",E325-D325)</x:f>
      </x:c>
      <x:c r="G325" s="27" t="str">
        <x:v>Open</x:v>
      </x:c>
      <x:c r="H325" s="27" t="str">
        <x:v>No</x:v>
      </x:c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</x:row>
    <x:row r="326">
      <x:c r="A326" s="27" t="str">
        <x:v>TNA-030-06</x:v>
      </x:c>
      <x:c r="B326" s="27" t="str">
        <x:v>ORD-1130</x:v>
      </x:c>
      <x:c r="C326" s="27" t="str">
        <x:v>size set sample</x:v>
      </x:c>
      <x:c r="D326" s="30" t="n">
        <x:v>46199</x:v>
      </x:c>
      <x:c r="E326" s="30"/>
      <x:c r="F326" s="34" t="str">
        <x:f>IF(E326="","",E326-D326)</x:f>
      </x:c>
      <x:c r="G326" s="27" t="str">
        <x:v>Open</x:v>
      </x:c>
      <x:c r="H326" s="27" t="str">
        <x:v>No</x:v>
      </x:c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</x:row>
    <x:row r="327">
      <x:c r="A327" s="27" t="str">
        <x:v>TNA-030-07</x:v>
      </x:c>
      <x:c r="B327" s="27" t="str">
        <x:v>ORD-1130</x:v>
      </x:c>
      <x:c r="C327" s="27" t="str">
        <x:v>PP sample approval</x:v>
      </x:c>
      <x:c r="D327" s="30" t="n">
        <x:v>46203</x:v>
      </x:c>
      <x:c r="E327" s="30"/>
      <x:c r="F327" s="34" t="str">
        <x:f>IF(E327="","",E327-D327)</x:f>
      </x:c>
      <x:c r="G327" s="27" t="str">
        <x:v>Open</x:v>
      </x:c>
      <x:c r="H327" s="27" t="str">
        <x:v>Yes</x:v>
      </x:c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</x:row>
    <x:row r="328">
      <x:c r="A328" s="27" t="str">
        <x:v>TNA-030-08</x:v>
      </x:c>
      <x:c r="B328" s="27" t="str">
        <x:v>ORD-1130</x:v>
      </x:c>
      <x:c r="C328" s="27" t="str">
        <x:v>cutting start</x:v>
      </x:c>
      <x:c r="D328" s="30" t="n">
        <x:v>46209</x:v>
      </x:c>
      <x:c r="E328" s="30"/>
      <x:c r="F328" s="34" t="str">
        <x:f>IF(E328="","",E328-D328)</x:f>
      </x:c>
      <x:c r="G328" s="27" t="str">
        <x:v>Open</x:v>
      </x:c>
      <x:c r="H328" s="27" t="str">
        <x:v>Yes</x:v>
      </x:c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</x:row>
    <x:row r="329">
      <x:c r="A329" s="27" t="str">
        <x:v>TNA-030-09</x:v>
      </x:c>
      <x:c r="B329" s="27" t="str">
        <x:v>ORD-1130</x:v>
      </x:c>
      <x:c r="C329" s="27" t="str">
        <x:v>sewing start</x:v>
      </x:c>
      <x:c r="D329" s="30" t="n">
        <x:v>46212</x:v>
      </x:c>
      <x:c r="E329" s="30"/>
      <x:c r="F329" s="34" t="str">
        <x:f>IF(E329="","",E329-D329)</x:f>
      </x:c>
      <x:c r="G329" s="27" t="str">
        <x:v>Open</x:v>
      </x:c>
      <x:c r="H329" s="27" t="str">
        <x:v>Yes</x:v>
      </x:c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</x:row>
    <x:row r="330">
      <x:c r="A330" s="27" t="str">
        <x:v>TNA-030-10</x:v>
      </x:c>
      <x:c r="B330" s="27" t="str">
        <x:v>ORD-1130</x:v>
      </x:c>
      <x:c r="C330" s="27" t="str">
        <x:v>final QC</x:v>
      </x:c>
      <x:c r="D330" s="30" t="n">
        <x:v>46231</x:v>
      </x:c>
      <x:c r="E330" s="30"/>
      <x:c r="F330" s="34" t="str">
        <x:f>IF(E330="","",E330-D330)</x:f>
      </x:c>
      <x:c r="G330" s="27" t="str">
        <x:v>Open</x:v>
      </x:c>
      <x:c r="H330" s="27" t="str">
        <x:v>Yes</x:v>
      </x:c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</x:row>
    <x:row r="331">
      <x:c r="A331" s="27" t="str">
        <x:v>TNA-030-11</x:v>
      </x:c>
      <x:c r="B331" s="27" t="str">
        <x:v>ORD-1130</x:v>
      </x:c>
      <x:c r="C331" s="27" t="str">
        <x:v>ex-factory handover</x:v>
      </x:c>
      <x:c r="D331" s="30" t="n">
        <x:v>46234</x:v>
      </x:c>
      <x:c r="E331" s="30"/>
      <x:c r="F331" s="34" t="str">
        <x:f>IF(E331="","",E331-D331)</x:f>
      </x:c>
      <x:c r="G331" s="27" t="str">
        <x:v>Open</x:v>
      </x:c>
      <x:c r="H331" s="27" t="str">
        <x:v>Yes</x:v>
      </x:c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</x:row>
    <x:row r="332">
      <x:c r="A332" s="27" t="str">
        <x:v>TNA-031-01</x:v>
      </x:c>
      <x:c r="B332" s="27" t="str">
        <x:v>ORD-1131</x:v>
      </x:c>
      <x:c r="C332" s="27" t="str">
        <x:v>tech pack freeze</x:v>
      </x:c>
      <x:c r="D332" s="30" t="n">
        <x:v>46166</x:v>
      </x:c>
      <x:c r="E332" s="30" t="n">
        <x:v>46166</x:v>
      </x:c>
      <x:c r="F332" s="34" t="n">
        <x:f>IF(E332="","",E332-D332)</x:f>
        <x:v>0</x:v>
      </x:c>
      <x:c r="G332" s="27" t="str">
        <x:v>Done</x:v>
      </x:c>
      <x:c r="H332" s="27" t="str">
        <x:v>No</x:v>
      </x:c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</x:row>
    <x:row r="333">
      <x:c r="A333" s="27" t="str">
        <x:v>TNA-031-02</x:v>
      </x:c>
      <x:c r="B333" s="27" t="str">
        <x:v>ORD-1131</x:v>
      </x:c>
      <x:c r="C333" s="27" t="str">
        <x:v>line booking</x:v>
      </x:c>
      <x:c r="D333" s="30" t="n">
        <x:v>46170</x:v>
      </x:c>
      <x:c r="E333" s="30"/>
      <x:c r="F333" s="34" t="str">
        <x:f>IF(E333="","",E333-D333)</x:f>
      </x:c>
      <x:c r="G333" s="27" t="str">
        <x:v>Open</x:v>
      </x:c>
      <x:c r="H333" s="27" t="str">
        <x:v>No</x:v>
      </x:c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</x:row>
    <x:row r="334">
      <x:c r="A334" s="27" t="str">
        <x:v>TNA-031-03</x:v>
      </x:c>
      <x:c r="B334" s="27" t="str">
        <x:v>ORD-1131</x:v>
      </x:c>
      <x:c r="C334" s="27" t="str">
        <x:v>fabric/trim confirmation</x:v>
      </x:c>
      <x:c r="D334" s="30" t="n">
        <x:v>46174</x:v>
      </x:c>
      <x:c r="E334" s="30"/>
      <x:c r="F334" s="34" t="str">
        <x:f>IF(E334="","",E334-D334)</x:f>
      </x:c>
      <x:c r="G334" s="27" t="str">
        <x:v>Open</x:v>
      </x:c>
      <x:c r="H334" s="27" t="str">
        <x:v>No</x:v>
      </x:c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</x:row>
    <x:row r="335">
      <x:c r="A335" s="27" t="str">
        <x:v>TNA-031-04</x:v>
      </x:c>
      <x:c r="B335" s="27" t="str">
        <x:v>ORD-1131</x:v>
      </x:c>
      <x:c r="C335" s="27" t="str">
        <x:v>fit sample sent</x:v>
      </x:c>
      <x:c r="D335" s="30" t="n">
        <x:v>46178</x:v>
      </x:c>
      <x:c r="E335" s="30"/>
      <x:c r="F335" s="34" t="str">
        <x:f>IF(E335="","",E335-D335)</x:f>
      </x:c>
      <x:c r="G335" s="27" t="str">
        <x:v>Open</x:v>
      </x:c>
      <x:c r="H335" s="27" t="str">
        <x:v>No</x:v>
      </x:c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</x:row>
    <x:row r="336">
      <x:c r="A336" s="27" t="str">
        <x:v>TNA-031-05</x:v>
      </x:c>
      <x:c r="B336" s="27" t="str">
        <x:v>ORD-1131</x:v>
      </x:c>
      <x:c r="C336" s="27" t="str">
        <x:v>fit approval</x:v>
      </x:c>
      <x:c r="D336" s="30" t="n">
        <x:v>46182</x:v>
      </x:c>
      <x:c r="E336" s="30"/>
      <x:c r="F336" s="34" t="str">
        <x:f>IF(E336="","",E336-D336)</x:f>
      </x:c>
      <x:c r="G336" s="27" t="str">
        <x:v>Open</x:v>
      </x:c>
      <x:c r="H336" s="27" t="str">
        <x:v>No</x:v>
      </x:c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</x:row>
    <x:row r="337">
      <x:c r="A337" s="27" t="str">
        <x:v>TNA-031-06</x:v>
      </x:c>
      <x:c r="B337" s="27" t="str">
        <x:v>ORD-1131</x:v>
      </x:c>
      <x:c r="C337" s="27" t="str">
        <x:v>size set sample</x:v>
      </x:c>
      <x:c r="D337" s="30" t="n">
        <x:v>46186</x:v>
      </x:c>
      <x:c r="E337" s="30"/>
      <x:c r="F337" s="34" t="str">
        <x:f>IF(E337="","",E337-D337)</x:f>
      </x:c>
      <x:c r="G337" s="27" t="str">
        <x:v>Open</x:v>
      </x:c>
      <x:c r="H337" s="27" t="str">
        <x:v>No</x:v>
      </x:c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</x:row>
    <x:row r="338">
      <x:c r="A338" s="27" t="str">
        <x:v>TNA-031-07</x:v>
      </x:c>
      <x:c r="B338" s="27" t="str">
        <x:v>ORD-1131</x:v>
      </x:c>
      <x:c r="C338" s="27" t="str">
        <x:v>PP sample approval</x:v>
      </x:c>
      <x:c r="D338" s="30" t="n">
        <x:v>46190</x:v>
      </x:c>
      <x:c r="E338" s="30"/>
      <x:c r="F338" s="34" t="str">
        <x:f>IF(E338="","",E338-D338)</x:f>
      </x:c>
      <x:c r="G338" s="27" t="str">
        <x:v>Open</x:v>
      </x:c>
      <x:c r="H338" s="27" t="str">
        <x:v>Yes</x:v>
      </x:c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</x:row>
    <x:row r="339">
      <x:c r="A339" s="27" t="str">
        <x:v>TNA-031-08</x:v>
      </x:c>
      <x:c r="B339" s="27" t="str">
        <x:v>ORD-1131</x:v>
      </x:c>
      <x:c r="C339" s="27" t="str">
        <x:v>cutting start</x:v>
      </x:c>
      <x:c r="D339" s="30" t="n">
        <x:v>46196</x:v>
      </x:c>
      <x:c r="E339" s="30"/>
      <x:c r="F339" s="34" t="str">
        <x:f>IF(E339="","",E339-D339)</x:f>
      </x:c>
      <x:c r="G339" s="27" t="str">
        <x:v>Open</x:v>
      </x:c>
      <x:c r="H339" s="27" t="str">
        <x:v>Yes</x:v>
      </x:c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</x:row>
    <x:row r="340">
      <x:c r="A340" s="27" t="str">
        <x:v>TNA-031-09</x:v>
      </x:c>
      <x:c r="B340" s="27" t="str">
        <x:v>ORD-1131</x:v>
      </x:c>
      <x:c r="C340" s="27" t="str">
        <x:v>sewing start</x:v>
      </x:c>
      <x:c r="D340" s="30" t="n">
        <x:v>46199</x:v>
      </x:c>
      <x:c r="E340" s="30"/>
      <x:c r="F340" s="34" t="str">
        <x:f>IF(E340="","",E340-D340)</x:f>
      </x:c>
      <x:c r="G340" s="27" t="str">
        <x:v>Open</x:v>
      </x:c>
      <x:c r="H340" s="27" t="str">
        <x:v>Yes</x:v>
      </x:c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</x:row>
    <x:row r="341">
      <x:c r="A341" s="27" t="str">
        <x:v>TNA-031-10</x:v>
      </x:c>
      <x:c r="B341" s="27" t="str">
        <x:v>ORD-1131</x:v>
      </x:c>
      <x:c r="C341" s="27" t="str">
        <x:v>final QC</x:v>
      </x:c>
      <x:c r="D341" s="30" t="n">
        <x:v>46209</x:v>
      </x:c>
      <x:c r="E341" s="30"/>
      <x:c r="F341" s="34" t="str">
        <x:f>IF(E341="","",E341-D341)</x:f>
      </x:c>
      <x:c r="G341" s="27" t="str">
        <x:v>Open</x:v>
      </x:c>
      <x:c r="H341" s="27" t="str">
        <x:v>Yes</x:v>
      </x:c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</x:row>
    <x:row r="342">
      <x:c r="A342" s="27" t="str">
        <x:v>TNA-031-11</x:v>
      </x:c>
      <x:c r="B342" s="27" t="str">
        <x:v>ORD-1131</x:v>
      </x:c>
      <x:c r="C342" s="27" t="str">
        <x:v>ex-factory handover</x:v>
      </x:c>
      <x:c r="D342" s="30" t="n">
        <x:v>46212</x:v>
      </x:c>
      <x:c r="E342" s="30"/>
      <x:c r="F342" s="34" t="str">
        <x:f>IF(E342="","",E342-D342)</x:f>
      </x:c>
      <x:c r="G342" s="27" t="str">
        <x:v>Open</x:v>
      </x:c>
      <x:c r="H342" s="27" t="str">
        <x:v>Yes</x:v>
      </x:c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</x:row>
    <x:row r="343">
      <x:c r="A343" s="27" t="str">
        <x:v>TNA-032-01</x:v>
      </x:c>
      <x:c r="B343" s="27" t="str">
        <x:v>ORD-1132</x:v>
      </x:c>
      <x:c r="C343" s="27" t="str">
        <x:v>tech pack freeze</x:v>
      </x:c>
      <x:c r="D343" s="30" t="n">
        <x:v>46168</x:v>
      </x:c>
      <x:c r="E343" s="30" t="n">
        <x:v>46168</x:v>
      </x:c>
      <x:c r="F343" s="34" t="n">
        <x:f>IF(E343="","",E343-D343)</x:f>
        <x:v>0</x:v>
      </x:c>
      <x:c r="G343" s="27" t="str">
        <x:v>Done</x:v>
      </x:c>
      <x:c r="H343" s="27" t="str">
        <x:v>No</x:v>
      </x:c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</x:row>
    <x:row r="344">
      <x:c r="A344" s="27" t="str">
        <x:v>TNA-032-02</x:v>
      </x:c>
      <x:c r="B344" s="27" t="str">
        <x:v>ORD-1132</x:v>
      </x:c>
      <x:c r="C344" s="27" t="str">
        <x:v>line booking</x:v>
      </x:c>
      <x:c r="D344" s="30" t="n">
        <x:v>46172</x:v>
      </x:c>
      <x:c r="E344" s="30"/>
      <x:c r="F344" s="34" t="str">
        <x:f>IF(E344="","",E344-D344)</x:f>
      </x:c>
      <x:c r="G344" s="27" t="str">
        <x:v>Open</x:v>
      </x:c>
      <x:c r="H344" s="27" t="str">
        <x:v>No</x:v>
      </x:c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</x:row>
    <x:row r="345">
      <x:c r="A345" s="27" t="str">
        <x:v>TNA-032-03</x:v>
      </x:c>
      <x:c r="B345" s="27" t="str">
        <x:v>ORD-1132</x:v>
      </x:c>
      <x:c r="C345" s="27" t="str">
        <x:v>fabric/trim confirmation</x:v>
      </x:c>
      <x:c r="D345" s="30" t="n">
        <x:v>46176</x:v>
      </x:c>
      <x:c r="E345" s="30"/>
      <x:c r="F345" s="34" t="str">
        <x:f>IF(E345="","",E345-D345)</x:f>
      </x:c>
      <x:c r="G345" s="27" t="str">
        <x:v>Open</x:v>
      </x:c>
      <x:c r="H345" s="27" t="str">
        <x:v>No</x:v>
      </x:c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</x:row>
    <x:row r="346">
      <x:c r="A346" s="27" t="str">
        <x:v>TNA-032-04</x:v>
      </x:c>
      <x:c r="B346" s="27" t="str">
        <x:v>ORD-1132</x:v>
      </x:c>
      <x:c r="C346" s="27" t="str">
        <x:v>fit sample sent</x:v>
      </x:c>
      <x:c r="D346" s="30" t="n">
        <x:v>46180</x:v>
      </x:c>
      <x:c r="E346" s="30"/>
      <x:c r="F346" s="34" t="str">
        <x:f>IF(E346="","",E346-D346)</x:f>
      </x:c>
      <x:c r="G346" s="27" t="str">
        <x:v>Open</x:v>
      </x:c>
      <x:c r="H346" s="27" t="str">
        <x:v>No</x:v>
      </x:c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</x:row>
    <x:row r="347">
      <x:c r="A347" s="27" t="str">
        <x:v>TNA-032-05</x:v>
      </x:c>
      <x:c r="B347" s="27" t="str">
        <x:v>ORD-1132</x:v>
      </x:c>
      <x:c r="C347" s="27" t="str">
        <x:v>fit approval</x:v>
      </x:c>
      <x:c r="D347" s="30" t="n">
        <x:v>46184</x:v>
      </x:c>
      <x:c r="E347" s="30"/>
      <x:c r="F347" s="34" t="str">
        <x:f>IF(E347="","",E347-D347)</x:f>
      </x:c>
      <x:c r="G347" s="27" t="str">
        <x:v>Open</x:v>
      </x:c>
      <x:c r="H347" s="27" t="str">
        <x:v>No</x:v>
      </x:c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</x:row>
    <x:row r="348">
      <x:c r="A348" s="27" t="str">
        <x:v>TNA-032-06</x:v>
      </x:c>
      <x:c r="B348" s="27" t="str">
        <x:v>ORD-1132</x:v>
      </x:c>
      <x:c r="C348" s="27" t="str">
        <x:v>size set sample</x:v>
      </x:c>
      <x:c r="D348" s="30" t="n">
        <x:v>46188</x:v>
      </x:c>
      <x:c r="E348" s="30"/>
      <x:c r="F348" s="34" t="str">
        <x:f>IF(E348="","",E348-D348)</x:f>
      </x:c>
      <x:c r="G348" s="27" t="str">
        <x:v>Open</x:v>
      </x:c>
      <x:c r="H348" s="27" t="str">
        <x:v>No</x:v>
      </x:c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</x:row>
    <x:row r="349">
      <x:c r="A349" s="27" t="str">
        <x:v>TNA-032-07</x:v>
      </x:c>
      <x:c r="B349" s="27" t="str">
        <x:v>ORD-1132</x:v>
      </x:c>
      <x:c r="C349" s="27" t="str">
        <x:v>PP sample approval</x:v>
      </x:c>
      <x:c r="D349" s="30" t="n">
        <x:v>46192</x:v>
      </x:c>
      <x:c r="E349" s="30"/>
      <x:c r="F349" s="34" t="str">
        <x:f>IF(E349="","",E349-D349)</x:f>
      </x:c>
      <x:c r="G349" s="27" t="str">
        <x:v>Open</x:v>
      </x:c>
      <x:c r="H349" s="27" t="str">
        <x:v>Yes</x:v>
      </x:c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</x:row>
    <x:row r="350">
      <x:c r="A350" s="27" t="str">
        <x:v>TNA-032-08</x:v>
      </x:c>
      <x:c r="B350" s="27" t="str">
        <x:v>ORD-1132</x:v>
      </x:c>
      <x:c r="C350" s="27" t="str">
        <x:v>cutting start</x:v>
      </x:c>
      <x:c r="D350" s="30" t="n">
        <x:v>46198</x:v>
      </x:c>
      <x:c r="E350" s="30"/>
      <x:c r="F350" s="34" t="str">
        <x:f>IF(E350="","",E350-D350)</x:f>
      </x:c>
      <x:c r="G350" s="27" t="str">
        <x:v>Open</x:v>
      </x:c>
      <x:c r="H350" s="27" t="str">
        <x:v>Yes</x:v>
      </x:c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</x:row>
    <x:row r="351">
      <x:c r="A351" s="27" t="str">
        <x:v>TNA-032-09</x:v>
      </x:c>
      <x:c r="B351" s="27" t="str">
        <x:v>ORD-1132</x:v>
      </x:c>
      <x:c r="C351" s="27" t="str">
        <x:v>sewing start</x:v>
      </x:c>
      <x:c r="D351" s="30" t="n">
        <x:v>46201</x:v>
      </x:c>
      <x:c r="E351" s="30"/>
      <x:c r="F351" s="34" t="str">
        <x:f>IF(E351="","",E351-D351)</x:f>
      </x:c>
      <x:c r="G351" s="27" t="str">
        <x:v>Open</x:v>
      </x:c>
      <x:c r="H351" s="27" t="str">
        <x:v>Yes</x:v>
      </x:c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</x:row>
    <x:row r="352">
      <x:c r="A352" s="27" t="str">
        <x:v>TNA-032-10</x:v>
      </x:c>
      <x:c r="B352" s="27" t="str">
        <x:v>ORD-1132</x:v>
      </x:c>
      <x:c r="C352" s="27" t="str">
        <x:v>final QC</x:v>
      </x:c>
      <x:c r="D352" s="30" t="n">
        <x:v>46220</x:v>
      </x:c>
      <x:c r="E352" s="30"/>
      <x:c r="F352" s="34" t="str">
        <x:f>IF(E352="","",E352-D352)</x:f>
      </x:c>
      <x:c r="G352" s="27" t="str">
        <x:v>Open</x:v>
      </x:c>
      <x:c r="H352" s="27" t="str">
        <x:v>Yes</x:v>
      </x:c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</x:row>
    <x:row r="353">
      <x:c r="A353" s="27" t="str">
        <x:v>TNA-032-11</x:v>
      </x:c>
      <x:c r="B353" s="27" t="str">
        <x:v>ORD-1132</x:v>
      </x:c>
      <x:c r="C353" s="27" t="str">
        <x:v>ex-factory handover</x:v>
      </x:c>
      <x:c r="D353" s="30" t="n">
        <x:v>46223</x:v>
      </x:c>
      <x:c r="E353" s="30"/>
      <x:c r="F353" s="34" t="str">
        <x:f>IF(E353="","",E353-D353)</x:f>
      </x:c>
      <x:c r="G353" s="27" t="str">
        <x:v>Open</x:v>
      </x:c>
      <x:c r="H353" s="27" t="str">
        <x:v>Yes</x:v>
      </x:c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</x:row>
    <x:row r="354">
      <x:c r="A354" s="27" t="str">
        <x:v>TNA-033-01</x:v>
      </x:c>
      <x:c r="B354" s="27" t="str">
        <x:v>ORD-1133</x:v>
      </x:c>
      <x:c r="C354" s="27" t="str">
        <x:v>tech pack freeze</x:v>
      </x:c>
      <x:c r="D354" s="30" t="n">
        <x:v>46170</x:v>
      </x:c>
      <x:c r="E354" s="30"/>
      <x:c r="F354" s="34" t="str">
        <x:f>IF(E354="","",E354-D354)</x:f>
      </x:c>
      <x:c r="G354" s="27" t="str">
        <x:v>Open</x:v>
      </x:c>
      <x:c r="H354" s="27" t="str">
        <x:v>No</x:v>
      </x:c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</x:row>
    <x:row r="355">
      <x:c r="A355" s="27" t="str">
        <x:v>TNA-033-02</x:v>
      </x:c>
      <x:c r="B355" s="27" t="str">
        <x:v>ORD-1133</x:v>
      </x:c>
      <x:c r="C355" s="27" t="str">
        <x:v>line booking</x:v>
      </x:c>
      <x:c r="D355" s="30" t="n">
        <x:v>46174</x:v>
      </x:c>
      <x:c r="E355" s="30"/>
      <x:c r="F355" s="34" t="str">
        <x:f>IF(E355="","",E355-D355)</x:f>
      </x:c>
      <x:c r="G355" s="27" t="str">
        <x:v>Open</x:v>
      </x:c>
      <x:c r="H355" s="27" t="str">
        <x:v>No</x:v>
      </x:c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</x:row>
    <x:row r="356">
      <x:c r="A356" s="27" t="str">
        <x:v>TNA-033-03</x:v>
      </x:c>
      <x:c r="B356" s="27" t="str">
        <x:v>ORD-1133</x:v>
      </x:c>
      <x:c r="C356" s="27" t="str">
        <x:v>fabric/trim confirmation</x:v>
      </x:c>
      <x:c r="D356" s="30" t="n">
        <x:v>46178</x:v>
      </x:c>
      <x:c r="E356" s="30"/>
      <x:c r="F356" s="34" t="str">
        <x:f>IF(E356="","",E356-D356)</x:f>
      </x:c>
      <x:c r="G356" s="27" t="str">
        <x:v>Open</x:v>
      </x:c>
      <x:c r="H356" s="27" t="str">
        <x:v>No</x:v>
      </x:c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</x:row>
    <x:row r="357">
      <x:c r="A357" s="27" t="str">
        <x:v>TNA-033-04</x:v>
      </x:c>
      <x:c r="B357" s="27" t="str">
        <x:v>ORD-1133</x:v>
      </x:c>
      <x:c r="C357" s="27" t="str">
        <x:v>fit sample sent</x:v>
      </x:c>
      <x:c r="D357" s="30" t="n">
        <x:v>46182</x:v>
      </x:c>
      <x:c r="E357" s="30"/>
      <x:c r="F357" s="34" t="str">
        <x:f>IF(E357="","",E357-D357)</x:f>
      </x:c>
      <x:c r="G357" s="27" t="str">
        <x:v>Open</x:v>
      </x:c>
      <x:c r="H357" s="27" t="str">
        <x:v>No</x:v>
      </x:c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</x:row>
    <x:row r="358">
      <x:c r="A358" s="27" t="str">
        <x:v>TNA-033-05</x:v>
      </x:c>
      <x:c r="B358" s="27" t="str">
        <x:v>ORD-1133</x:v>
      </x:c>
      <x:c r="C358" s="27" t="str">
        <x:v>fit approval</x:v>
      </x:c>
      <x:c r="D358" s="30" t="n">
        <x:v>46186</x:v>
      </x:c>
      <x:c r="E358" s="30"/>
      <x:c r="F358" s="34" t="str">
        <x:f>IF(E358="","",E358-D358)</x:f>
      </x:c>
      <x:c r="G358" s="27" t="str">
        <x:v>Open</x:v>
      </x:c>
      <x:c r="H358" s="27" t="str">
        <x:v>No</x:v>
      </x:c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</x:row>
    <x:row r="359">
      <x:c r="A359" s="27" t="str">
        <x:v>TNA-033-06</x:v>
      </x:c>
      <x:c r="B359" s="27" t="str">
        <x:v>ORD-1133</x:v>
      </x:c>
      <x:c r="C359" s="27" t="str">
        <x:v>size set sample</x:v>
      </x:c>
      <x:c r="D359" s="30" t="n">
        <x:v>46190</x:v>
      </x:c>
      <x:c r="E359" s="30"/>
      <x:c r="F359" s="34" t="str">
        <x:f>IF(E359="","",E359-D359)</x:f>
      </x:c>
      <x:c r="G359" s="27" t="str">
        <x:v>Open</x:v>
      </x:c>
      <x:c r="H359" s="27" t="str">
        <x:v>No</x:v>
      </x:c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</x:row>
    <x:row r="360">
      <x:c r="A360" s="27" t="str">
        <x:v>TNA-033-07</x:v>
      </x:c>
      <x:c r="B360" s="27" t="str">
        <x:v>ORD-1133</x:v>
      </x:c>
      <x:c r="C360" s="27" t="str">
        <x:v>PP sample approval</x:v>
      </x:c>
      <x:c r="D360" s="30" t="n">
        <x:v>46194</x:v>
      </x:c>
      <x:c r="E360" s="30"/>
      <x:c r="F360" s="34" t="str">
        <x:f>IF(E360="","",E360-D360)</x:f>
      </x:c>
      <x:c r="G360" s="27" t="str">
        <x:v>Open</x:v>
      </x:c>
      <x:c r="H360" s="27" t="str">
        <x:v>Yes</x:v>
      </x:c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</x:row>
    <x:row r="361">
      <x:c r="A361" s="27" t="str">
        <x:v>TNA-033-08</x:v>
      </x:c>
      <x:c r="B361" s="27" t="str">
        <x:v>ORD-1133</x:v>
      </x:c>
      <x:c r="C361" s="27" t="str">
        <x:v>cutting start</x:v>
      </x:c>
      <x:c r="D361" s="30" t="n">
        <x:v>46200</x:v>
      </x:c>
      <x:c r="E361" s="30"/>
      <x:c r="F361" s="34" t="str">
        <x:f>IF(E361="","",E361-D361)</x:f>
      </x:c>
      <x:c r="G361" s="27" t="str">
        <x:v>Open</x:v>
      </x:c>
      <x:c r="H361" s="27" t="str">
        <x:v>Yes</x:v>
      </x:c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</x:row>
    <x:row r="362">
      <x:c r="A362" s="27" t="str">
        <x:v>TNA-033-09</x:v>
      </x:c>
      <x:c r="B362" s="27" t="str">
        <x:v>ORD-1133</x:v>
      </x:c>
      <x:c r="C362" s="27" t="str">
        <x:v>sewing start</x:v>
      </x:c>
      <x:c r="D362" s="30" t="n">
        <x:v>46203</x:v>
      </x:c>
      <x:c r="E362" s="30"/>
      <x:c r="F362" s="34" t="str">
        <x:f>IF(E362="","",E362-D362)</x:f>
      </x:c>
      <x:c r="G362" s="27" t="str">
        <x:v>Open</x:v>
      </x:c>
      <x:c r="H362" s="27" t="str">
        <x:v>Yes</x:v>
      </x:c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</x:row>
    <x:row r="363">
      <x:c r="A363" s="27" t="str">
        <x:v>TNA-033-10</x:v>
      </x:c>
      <x:c r="B363" s="27" t="str">
        <x:v>ORD-1133</x:v>
      </x:c>
      <x:c r="C363" s="27" t="str">
        <x:v>final QC</x:v>
      </x:c>
      <x:c r="D363" s="30" t="n">
        <x:v>46240</x:v>
      </x:c>
      <x:c r="E363" s="30"/>
      <x:c r="F363" s="34" t="str">
        <x:f>IF(E363="","",E363-D363)</x:f>
      </x:c>
      <x:c r="G363" s="27" t="str">
        <x:v>Open</x:v>
      </x:c>
      <x:c r="H363" s="27" t="str">
        <x:v>Yes</x:v>
      </x:c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</x:row>
    <x:row r="364">
      <x:c r="A364" s="27" t="str">
        <x:v>TNA-033-11</x:v>
      </x:c>
      <x:c r="B364" s="27" t="str">
        <x:v>ORD-1133</x:v>
      </x:c>
      <x:c r="C364" s="27" t="str">
        <x:v>ex-factory handover</x:v>
      </x:c>
      <x:c r="D364" s="30" t="n">
        <x:v>46243</x:v>
      </x:c>
      <x:c r="E364" s="30"/>
      <x:c r="F364" s="34" t="str">
        <x:f>IF(E364="","",E364-D364)</x:f>
      </x:c>
      <x:c r="G364" s="27" t="str">
        <x:v>Open</x:v>
      </x:c>
      <x:c r="H364" s="27" t="str">
        <x:v>Yes</x:v>
      </x:c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</x:row>
    <x:row r="365">
      <x:c r="A365" s="27" t="str">
        <x:v>TNA-034-01</x:v>
      </x:c>
      <x:c r="B365" s="27" t="str">
        <x:v>ORD-1134</x:v>
      </x:c>
      <x:c r="C365" s="27" t="str">
        <x:v>tech pack freeze</x:v>
      </x:c>
      <x:c r="D365" s="30" t="n">
        <x:v>46172</x:v>
      </x:c>
      <x:c r="E365" s="30"/>
      <x:c r="F365" s="34" t="str">
        <x:f>IF(E365="","",E365-D365)</x:f>
      </x:c>
      <x:c r="G365" s="27" t="str">
        <x:v>Open</x:v>
      </x:c>
      <x:c r="H365" s="27" t="str">
        <x:v>No</x:v>
      </x:c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</x:row>
    <x:row r="366">
      <x:c r="A366" s="27" t="str">
        <x:v>TNA-034-02</x:v>
      </x:c>
      <x:c r="B366" s="27" t="str">
        <x:v>ORD-1134</x:v>
      </x:c>
      <x:c r="C366" s="27" t="str">
        <x:v>line booking</x:v>
      </x:c>
      <x:c r="D366" s="30" t="n">
        <x:v>46176</x:v>
      </x:c>
      <x:c r="E366" s="30"/>
      <x:c r="F366" s="34" t="str">
        <x:f>IF(E366="","",E366-D366)</x:f>
      </x:c>
      <x:c r="G366" s="27" t="str">
        <x:v>Open</x:v>
      </x:c>
      <x:c r="H366" s="27" t="str">
        <x:v>No</x:v>
      </x:c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</x:row>
    <x:row r="367">
      <x:c r="A367" s="27" t="str">
        <x:v>TNA-034-03</x:v>
      </x:c>
      <x:c r="B367" s="27" t="str">
        <x:v>ORD-1134</x:v>
      </x:c>
      <x:c r="C367" s="27" t="str">
        <x:v>fabric/trim confirmation</x:v>
      </x:c>
      <x:c r="D367" s="30" t="n">
        <x:v>46180</x:v>
      </x:c>
      <x:c r="E367" s="30"/>
      <x:c r="F367" s="34" t="str">
        <x:f>IF(E367="","",E367-D367)</x:f>
      </x:c>
      <x:c r="G367" s="27" t="str">
        <x:v>Open</x:v>
      </x:c>
      <x:c r="H367" s="27" t="str">
        <x:v>No</x:v>
      </x:c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</x:row>
    <x:row r="368">
      <x:c r="A368" s="27" t="str">
        <x:v>TNA-034-04</x:v>
      </x:c>
      <x:c r="B368" s="27" t="str">
        <x:v>ORD-1134</x:v>
      </x:c>
      <x:c r="C368" s="27" t="str">
        <x:v>fit sample sent</x:v>
      </x:c>
      <x:c r="D368" s="30" t="n">
        <x:v>46184</x:v>
      </x:c>
      <x:c r="E368" s="30"/>
      <x:c r="F368" s="34" t="str">
        <x:f>IF(E368="","",E368-D368)</x:f>
      </x:c>
      <x:c r="G368" s="27" t="str">
        <x:v>Open</x:v>
      </x:c>
      <x:c r="H368" s="27" t="str">
        <x:v>No</x:v>
      </x:c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</x:row>
    <x:row r="369">
      <x:c r="A369" s="27" t="str">
        <x:v>TNA-034-05</x:v>
      </x:c>
      <x:c r="B369" s="27" t="str">
        <x:v>ORD-1134</x:v>
      </x:c>
      <x:c r="C369" s="27" t="str">
        <x:v>fit approval</x:v>
      </x:c>
      <x:c r="D369" s="30" t="n">
        <x:v>46188</x:v>
      </x:c>
      <x:c r="E369" s="30"/>
      <x:c r="F369" s="34" t="str">
        <x:f>IF(E369="","",E369-D369)</x:f>
      </x:c>
      <x:c r="G369" s="27" t="str">
        <x:v>Open</x:v>
      </x:c>
      <x:c r="H369" s="27" t="str">
        <x:v>No</x:v>
      </x:c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</x:row>
    <x:row r="370">
      <x:c r="A370" s="27" t="str">
        <x:v>TNA-034-06</x:v>
      </x:c>
      <x:c r="B370" s="27" t="str">
        <x:v>ORD-1134</x:v>
      </x:c>
      <x:c r="C370" s="27" t="str">
        <x:v>size set sample</x:v>
      </x:c>
      <x:c r="D370" s="30" t="n">
        <x:v>46192</x:v>
      </x:c>
      <x:c r="E370" s="30"/>
      <x:c r="F370" s="34" t="str">
        <x:f>IF(E370="","",E370-D370)</x:f>
      </x:c>
      <x:c r="G370" s="27" t="str">
        <x:v>Open</x:v>
      </x:c>
      <x:c r="H370" s="27" t="str">
        <x:v>No</x:v>
      </x:c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</x:row>
    <x:row r="371">
      <x:c r="A371" s="27" t="str">
        <x:v>TNA-034-07</x:v>
      </x:c>
      <x:c r="B371" s="27" t="str">
        <x:v>ORD-1134</x:v>
      </x:c>
      <x:c r="C371" s="27" t="str">
        <x:v>PP sample approval</x:v>
      </x:c>
      <x:c r="D371" s="30" t="n">
        <x:v>46196</x:v>
      </x:c>
      <x:c r="E371" s="30"/>
      <x:c r="F371" s="34" t="str">
        <x:f>IF(E371="","",E371-D371)</x:f>
      </x:c>
      <x:c r="G371" s="27" t="str">
        <x:v>Open</x:v>
      </x:c>
      <x:c r="H371" s="27" t="str">
        <x:v>Yes</x:v>
      </x:c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</x:row>
    <x:row r="372">
      <x:c r="A372" s="27" t="str">
        <x:v>TNA-034-08</x:v>
      </x:c>
      <x:c r="B372" s="27" t="str">
        <x:v>ORD-1134</x:v>
      </x:c>
      <x:c r="C372" s="27" t="str">
        <x:v>cutting start</x:v>
      </x:c>
      <x:c r="D372" s="30" t="n">
        <x:v>46202</x:v>
      </x:c>
      <x:c r="E372" s="30"/>
      <x:c r="F372" s="34" t="str">
        <x:f>IF(E372="","",E372-D372)</x:f>
      </x:c>
      <x:c r="G372" s="27" t="str">
        <x:v>Open</x:v>
      </x:c>
      <x:c r="H372" s="27" t="str">
        <x:v>Yes</x:v>
      </x:c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</x:row>
    <x:row r="373">
      <x:c r="A373" s="27" t="str">
        <x:v>TNA-034-09</x:v>
      </x:c>
      <x:c r="B373" s="27" t="str">
        <x:v>ORD-1134</x:v>
      </x:c>
      <x:c r="C373" s="27" t="str">
        <x:v>sewing start</x:v>
      </x:c>
      <x:c r="D373" s="30" t="n">
        <x:v>46205</x:v>
      </x:c>
      <x:c r="E373" s="30"/>
      <x:c r="F373" s="34" t="str">
        <x:f>IF(E373="","",E373-D373)</x:f>
      </x:c>
      <x:c r="G373" s="27" t="str">
        <x:v>Open</x:v>
      </x:c>
      <x:c r="H373" s="27" t="str">
        <x:v>Yes</x:v>
      </x:c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</x:row>
    <x:row r="374">
      <x:c r="A374" s="27" t="str">
        <x:v>TNA-034-10</x:v>
      </x:c>
      <x:c r="B374" s="27" t="str">
        <x:v>ORD-1134</x:v>
      </x:c>
      <x:c r="C374" s="27" t="str">
        <x:v>final QC</x:v>
      </x:c>
      <x:c r="D374" s="30" t="n">
        <x:v>46223</x:v>
      </x:c>
      <x:c r="E374" s="30"/>
      <x:c r="F374" s="34" t="str">
        <x:f>IF(E374="","",E374-D374)</x:f>
      </x:c>
      <x:c r="G374" s="27" t="str">
        <x:v>Open</x:v>
      </x:c>
      <x:c r="H374" s="27" t="str">
        <x:v>Yes</x:v>
      </x:c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</x:row>
    <x:row r="375">
      <x:c r="A375" s="27" t="str">
        <x:v>TNA-034-11</x:v>
      </x:c>
      <x:c r="B375" s="27" t="str">
        <x:v>ORD-1134</x:v>
      </x:c>
      <x:c r="C375" s="27" t="str">
        <x:v>ex-factory handover</x:v>
      </x:c>
      <x:c r="D375" s="30" t="n">
        <x:v>46226</x:v>
      </x:c>
      <x:c r="E375" s="30"/>
      <x:c r="F375" s="34" t="str">
        <x:f>IF(E375="","",E375-D375)</x:f>
      </x:c>
      <x:c r="G375" s="27" t="str">
        <x:v>Open</x:v>
      </x:c>
      <x:c r="H375" s="27" t="str">
        <x:v>Yes</x:v>
      </x:c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</x:row>
    <x:row r="376">
      <x:c r="A376" s="27" t="str">
        <x:v>TNA-035-01</x:v>
      </x:c>
      <x:c r="B376" s="27" t="str">
        <x:v>ORD-1135</x:v>
      </x:c>
      <x:c r="C376" s="27" t="str">
        <x:v>tech pack freeze</x:v>
      </x:c>
      <x:c r="D376" s="30" t="n">
        <x:v>46174</x:v>
      </x:c>
      <x:c r="E376" s="30"/>
      <x:c r="F376" s="34" t="str">
        <x:f>IF(E376="","",E376-D376)</x:f>
      </x:c>
      <x:c r="G376" s="27" t="str">
        <x:v>Open</x:v>
      </x:c>
      <x:c r="H376" s="27" t="str">
        <x:v>No</x:v>
      </x:c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</x:row>
    <x:row r="377">
      <x:c r="A377" s="27" t="str">
        <x:v>TNA-035-02</x:v>
      </x:c>
      <x:c r="B377" s="27" t="str">
        <x:v>ORD-1135</x:v>
      </x:c>
      <x:c r="C377" s="27" t="str">
        <x:v>line booking</x:v>
      </x:c>
      <x:c r="D377" s="30" t="n">
        <x:v>46178</x:v>
      </x:c>
      <x:c r="E377" s="30"/>
      <x:c r="F377" s="34" t="str">
        <x:f>IF(E377="","",E377-D377)</x:f>
      </x:c>
      <x:c r="G377" s="27" t="str">
        <x:v>Open</x:v>
      </x:c>
      <x:c r="H377" s="27" t="str">
        <x:v>No</x:v>
      </x:c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</x:row>
    <x:row r="378">
      <x:c r="A378" s="27" t="str">
        <x:v>TNA-035-03</x:v>
      </x:c>
      <x:c r="B378" s="27" t="str">
        <x:v>ORD-1135</x:v>
      </x:c>
      <x:c r="C378" s="27" t="str">
        <x:v>fabric/trim confirmation</x:v>
      </x:c>
      <x:c r="D378" s="30" t="n">
        <x:v>46182</x:v>
      </x:c>
      <x:c r="E378" s="30"/>
      <x:c r="F378" s="34" t="str">
        <x:f>IF(E378="","",E378-D378)</x:f>
      </x:c>
      <x:c r="G378" s="27" t="str">
        <x:v>Open</x:v>
      </x:c>
      <x:c r="H378" s="27" t="str">
        <x:v>No</x:v>
      </x:c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</x:row>
    <x:row r="379">
      <x:c r="A379" s="27" t="str">
        <x:v>TNA-035-04</x:v>
      </x:c>
      <x:c r="B379" s="27" t="str">
        <x:v>ORD-1135</x:v>
      </x:c>
      <x:c r="C379" s="27" t="str">
        <x:v>fit sample sent</x:v>
      </x:c>
      <x:c r="D379" s="30" t="n">
        <x:v>46186</x:v>
      </x:c>
      <x:c r="E379" s="30"/>
      <x:c r="F379" s="34" t="str">
        <x:f>IF(E379="","",E379-D379)</x:f>
      </x:c>
      <x:c r="G379" s="27" t="str">
        <x:v>Open</x:v>
      </x:c>
      <x:c r="H379" s="27" t="str">
        <x:v>No</x:v>
      </x:c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</x:row>
    <x:row r="380">
      <x:c r="A380" s="27" t="str">
        <x:v>TNA-035-05</x:v>
      </x:c>
      <x:c r="B380" s="27" t="str">
        <x:v>ORD-1135</x:v>
      </x:c>
      <x:c r="C380" s="27" t="str">
        <x:v>fit approval</x:v>
      </x:c>
      <x:c r="D380" s="30" t="n">
        <x:v>46190</x:v>
      </x:c>
      <x:c r="E380" s="30"/>
      <x:c r="F380" s="34" t="str">
        <x:f>IF(E380="","",E380-D380)</x:f>
      </x:c>
      <x:c r="G380" s="27" t="str">
        <x:v>Open</x:v>
      </x:c>
      <x:c r="H380" s="27" t="str">
        <x:v>No</x:v>
      </x:c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</x:row>
    <x:row r="381">
      <x:c r="A381" s="27" t="str">
        <x:v>TNA-035-06</x:v>
      </x:c>
      <x:c r="B381" s="27" t="str">
        <x:v>ORD-1135</x:v>
      </x:c>
      <x:c r="C381" s="27" t="str">
        <x:v>size set sample</x:v>
      </x:c>
      <x:c r="D381" s="30" t="n">
        <x:v>46194</x:v>
      </x:c>
      <x:c r="E381" s="30"/>
      <x:c r="F381" s="34" t="str">
        <x:f>IF(E381="","",E381-D381)</x:f>
      </x:c>
      <x:c r="G381" s="27" t="str">
        <x:v>Open</x:v>
      </x:c>
      <x:c r="H381" s="27" t="str">
        <x:v>No</x:v>
      </x:c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</x:row>
    <x:row r="382">
      <x:c r="A382" s="27" t="str">
        <x:v>TNA-035-07</x:v>
      </x:c>
      <x:c r="B382" s="27" t="str">
        <x:v>ORD-1135</x:v>
      </x:c>
      <x:c r="C382" s="27" t="str">
        <x:v>PP sample approval</x:v>
      </x:c>
      <x:c r="D382" s="30" t="n">
        <x:v>46198</x:v>
      </x:c>
      <x:c r="E382" s="30"/>
      <x:c r="F382" s="34" t="str">
        <x:f>IF(E382="","",E382-D382)</x:f>
      </x:c>
      <x:c r="G382" s="27" t="str">
        <x:v>Open</x:v>
      </x:c>
      <x:c r="H382" s="27" t="str">
        <x:v>Yes</x:v>
      </x:c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</x:row>
    <x:row r="383">
      <x:c r="A383" s="27" t="str">
        <x:v>TNA-035-08</x:v>
      </x:c>
      <x:c r="B383" s="27" t="str">
        <x:v>ORD-1135</x:v>
      </x:c>
      <x:c r="C383" s="27" t="str">
        <x:v>cutting start</x:v>
      </x:c>
      <x:c r="D383" s="30" t="n">
        <x:v>46204</x:v>
      </x:c>
      <x:c r="E383" s="30"/>
      <x:c r="F383" s="34" t="str">
        <x:f>IF(E383="","",E383-D383)</x:f>
      </x:c>
      <x:c r="G383" s="27" t="str">
        <x:v>Open</x:v>
      </x:c>
      <x:c r="H383" s="27" t="str">
        <x:v>Yes</x:v>
      </x:c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</x:row>
    <x:row r="384">
      <x:c r="A384" s="27" t="str">
        <x:v>TNA-035-09</x:v>
      </x:c>
      <x:c r="B384" s="27" t="str">
        <x:v>ORD-1135</x:v>
      </x:c>
      <x:c r="C384" s="27" t="str">
        <x:v>sewing start</x:v>
      </x:c>
      <x:c r="D384" s="30" t="n">
        <x:v>46207</x:v>
      </x:c>
      <x:c r="E384" s="30"/>
      <x:c r="F384" s="34" t="str">
        <x:f>IF(E384="","",E384-D384)</x:f>
      </x:c>
      <x:c r="G384" s="27" t="str">
        <x:v>Open</x:v>
      </x:c>
      <x:c r="H384" s="27" t="str">
        <x:v>Yes</x:v>
      </x:c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</x:row>
    <x:row r="385">
      <x:c r="A385" s="27" t="str">
        <x:v>TNA-035-10</x:v>
      </x:c>
      <x:c r="B385" s="27" t="str">
        <x:v>ORD-1135</x:v>
      </x:c>
      <x:c r="C385" s="27" t="str">
        <x:v>final QC</x:v>
      </x:c>
      <x:c r="D385" s="30" t="n">
        <x:v>46231</x:v>
      </x:c>
      <x:c r="E385" s="30"/>
      <x:c r="F385" s="34" t="str">
        <x:f>IF(E385="","",E385-D385)</x:f>
      </x:c>
      <x:c r="G385" s="27" t="str">
        <x:v>Open</x:v>
      </x:c>
      <x:c r="H385" s="27" t="str">
        <x:v>Yes</x:v>
      </x:c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</x:row>
    <x:row r="386">
      <x:c r="A386" s="27" t="str">
        <x:v>TNA-035-11</x:v>
      </x:c>
      <x:c r="B386" s="27" t="str">
        <x:v>ORD-1135</x:v>
      </x:c>
      <x:c r="C386" s="27" t="str">
        <x:v>ex-factory handover</x:v>
      </x:c>
      <x:c r="D386" s="30" t="n">
        <x:v>46234</x:v>
      </x:c>
      <x:c r="E386" s="30"/>
      <x:c r="F386" s="34" t="str">
        <x:f>IF(E386="","",E386-D386)</x:f>
      </x:c>
      <x:c r="G386" s="27" t="str">
        <x:v>Open</x:v>
      </x:c>
      <x:c r="H386" s="27" t="str">
        <x:v>Yes</x:v>
      </x:c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</x:row>
    <x:row r="387">
      <x:c r="A387" s="27" t="str">
        <x:v>TNA-036-01</x:v>
      </x:c>
      <x:c r="B387" s="27" t="str">
        <x:v>ORD-1136</x:v>
      </x:c>
      <x:c r="C387" s="27" t="str">
        <x:v>tech pack freeze</x:v>
      </x:c>
      <x:c r="D387" s="30" t="n">
        <x:v>46176</x:v>
      </x:c>
      <x:c r="E387" s="30"/>
      <x:c r="F387" s="34" t="str">
        <x:f>IF(E387="","",E387-D387)</x:f>
      </x:c>
      <x:c r="G387" s="27" t="str">
        <x:v>Open</x:v>
      </x:c>
      <x:c r="H387" s="27" t="str">
        <x:v>No</x:v>
      </x:c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</x:row>
    <x:row r="388">
      <x:c r="A388" s="27" t="str">
        <x:v>TNA-036-02</x:v>
      </x:c>
      <x:c r="B388" s="27" t="str">
        <x:v>ORD-1136</x:v>
      </x:c>
      <x:c r="C388" s="27" t="str">
        <x:v>line booking</x:v>
      </x:c>
      <x:c r="D388" s="30" t="n">
        <x:v>46180</x:v>
      </x:c>
      <x:c r="E388" s="30"/>
      <x:c r="F388" s="34" t="str">
        <x:f>IF(E388="","",E388-D388)</x:f>
      </x:c>
      <x:c r="G388" s="27" t="str">
        <x:v>Open</x:v>
      </x:c>
      <x:c r="H388" s="27" t="str">
        <x:v>No</x:v>
      </x:c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</x:row>
    <x:row r="389">
      <x:c r="A389" s="27" t="str">
        <x:v>TNA-036-03</x:v>
      </x:c>
      <x:c r="B389" s="27" t="str">
        <x:v>ORD-1136</x:v>
      </x:c>
      <x:c r="C389" s="27" t="str">
        <x:v>fabric/trim confirmation</x:v>
      </x:c>
      <x:c r="D389" s="30" t="n">
        <x:v>46184</x:v>
      </x:c>
      <x:c r="E389" s="30"/>
      <x:c r="F389" s="34" t="str">
        <x:f>IF(E389="","",E389-D389)</x:f>
      </x:c>
      <x:c r="G389" s="27" t="str">
        <x:v>Open</x:v>
      </x:c>
      <x:c r="H389" s="27" t="str">
        <x:v>No</x:v>
      </x:c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</x:row>
    <x:row r="390">
      <x:c r="A390" s="27" t="str">
        <x:v>TNA-036-04</x:v>
      </x:c>
      <x:c r="B390" s="27" t="str">
        <x:v>ORD-1136</x:v>
      </x:c>
      <x:c r="C390" s="27" t="str">
        <x:v>fit sample sent</x:v>
      </x:c>
      <x:c r="D390" s="30" t="n">
        <x:v>46188</x:v>
      </x:c>
      <x:c r="E390" s="30"/>
      <x:c r="F390" s="34" t="str">
        <x:f>IF(E390="","",E390-D390)</x:f>
      </x:c>
      <x:c r="G390" s="27" t="str">
        <x:v>Open</x:v>
      </x:c>
      <x:c r="H390" s="27" t="str">
        <x:v>No</x:v>
      </x:c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</x:row>
    <x:row r="391">
      <x:c r="A391" s="27" t="str">
        <x:v>TNA-036-05</x:v>
      </x:c>
      <x:c r="B391" s="27" t="str">
        <x:v>ORD-1136</x:v>
      </x:c>
      <x:c r="C391" s="27" t="str">
        <x:v>fit approval</x:v>
      </x:c>
      <x:c r="D391" s="30" t="n">
        <x:v>46192</x:v>
      </x:c>
      <x:c r="E391" s="30"/>
      <x:c r="F391" s="34" t="str">
        <x:f>IF(E391="","",E391-D391)</x:f>
      </x:c>
      <x:c r="G391" s="27" t="str">
        <x:v>Open</x:v>
      </x:c>
      <x:c r="H391" s="27" t="str">
        <x:v>No</x:v>
      </x:c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</x:row>
    <x:row r="392">
      <x:c r="A392" s="27" t="str">
        <x:v>TNA-036-06</x:v>
      </x:c>
      <x:c r="B392" s="27" t="str">
        <x:v>ORD-1136</x:v>
      </x:c>
      <x:c r="C392" s="27" t="str">
        <x:v>size set sample</x:v>
      </x:c>
      <x:c r="D392" s="30" t="n">
        <x:v>46196</x:v>
      </x:c>
      <x:c r="E392" s="30"/>
      <x:c r="F392" s="34" t="str">
        <x:f>IF(E392="","",E392-D392)</x:f>
      </x:c>
      <x:c r="G392" s="27" t="str">
        <x:v>Open</x:v>
      </x:c>
      <x:c r="H392" s="27" t="str">
        <x:v>No</x:v>
      </x:c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</x:row>
    <x:row r="393">
      <x:c r="A393" s="27" t="str">
        <x:v>TNA-036-07</x:v>
      </x:c>
      <x:c r="B393" s="27" t="str">
        <x:v>ORD-1136</x:v>
      </x:c>
      <x:c r="C393" s="27" t="str">
        <x:v>PP sample approval</x:v>
      </x:c>
      <x:c r="D393" s="30" t="n">
        <x:v>46200</x:v>
      </x:c>
      <x:c r="E393" s="30"/>
      <x:c r="F393" s="34" t="str">
        <x:f>IF(E393="","",E393-D393)</x:f>
      </x:c>
      <x:c r="G393" s="27" t="str">
        <x:v>Open</x:v>
      </x:c>
      <x:c r="H393" s="27" t="str">
        <x:v>Yes</x:v>
      </x:c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</x:row>
    <x:row r="394">
      <x:c r="A394" s="27" t="str">
        <x:v>TNA-036-08</x:v>
      </x:c>
      <x:c r="B394" s="27" t="str">
        <x:v>ORD-1136</x:v>
      </x:c>
      <x:c r="C394" s="27" t="str">
        <x:v>cutting start</x:v>
      </x:c>
      <x:c r="D394" s="30" t="n">
        <x:v>46206</x:v>
      </x:c>
      <x:c r="E394" s="30"/>
      <x:c r="F394" s="34" t="str">
        <x:f>IF(E394="","",E394-D394)</x:f>
      </x:c>
      <x:c r="G394" s="27" t="str">
        <x:v>Open</x:v>
      </x:c>
      <x:c r="H394" s="27" t="str">
        <x:v>Yes</x:v>
      </x:c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</x:row>
    <x:row r="395">
      <x:c r="A395" s="27" t="str">
        <x:v>TNA-036-09</x:v>
      </x:c>
      <x:c r="B395" s="27" t="str">
        <x:v>ORD-1136</x:v>
      </x:c>
      <x:c r="C395" s="27" t="str">
        <x:v>sewing start</x:v>
      </x:c>
      <x:c r="D395" s="30" t="n">
        <x:v>46209</x:v>
      </x:c>
      <x:c r="E395" s="30"/>
      <x:c r="F395" s="34" t="str">
        <x:f>IF(E395="","",E395-D395)</x:f>
      </x:c>
      <x:c r="G395" s="27" t="str">
        <x:v>Open</x:v>
      </x:c>
      <x:c r="H395" s="27" t="str">
        <x:v>Yes</x:v>
      </x:c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</x:row>
    <x:row r="396">
      <x:c r="A396" s="27" t="str">
        <x:v>TNA-036-10</x:v>
      </x:c>
      <x:c r="B396" s="27" t="str">
        <x:v>ORD-1136</x:v>
      </x:c>
      <x:c r="C396" s="27" t="str">
        <x:v>final QC</x:v>
      </x:c>
      <x:c r="D396" s="30" t="n">
        <x:v>46222</x:v>
      </x:c>
      <x:c r="E396" s="30"/>
      <x:c r="F396" s="34" t="str">
        <x:f>IF(E396="","",E396-D396)</x:f>
      </x:c>
      <x:c r="G396" s="27" t="str">
        <x:v>Open</x:v>
      </x:c>
      <x:c r="H396" s="27" t="str">
        <x:v>Yes</x:v>
      </x:c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</x:row>
    <x:row r="397">
      <x:c r="A397" s="27" t="str">
        <x:v>TNA-036-11</x:v>
      </x:c>
      <x:c r="B397" s="27" t="str">
        <x:v>ORD-1136</x:v>
      </x:c>
      <x:c r="C397" s="27" t="str">
        <x:v>ex-factory handover</x:v>
      </x:c>
      <x:c r="D397" s="30" t="n">
        <x:v>46225</x:v>
      </x:c>
      <x:c r="E397" s="30"/>
      <x:c r="F397" s="34" t="str">
        <x:f>IF(E397="","",E397-D397)</x:f>
      </x:c>
      <x:c r="G397" s="27" t="str">
        <x:v>Open</x:v>
      </x:c>
      <x:c r="H397" s="27" t="str">
        <x:v>Yes</x:v>
      </x:c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</x:row>
    <x:row r="398">
      <x:c r="A398" s="27" t="str">
        <x:v>TNA-037-01</x:v>
      </x:c>
      <x:c r="B398" s="27" t="str">
        <x:v>ORD-1137</x:v>
      </x:c>
      <x:c r="C398" s="27" t="str">
        <x:v>tech pack freeze</x:v>
      </x:c>
      <x:c r="D398" s="30" t="n">
        <x:v>46178</x:v>
      </x:c>
      <x:c r="E398" s="30"/>
      <x:c r="F398" s="34" t="str">
        <x:f>IF(E398="","",E398-D398)</x:f>
      </x:c>
      <x:c r="G398" s="27" t="str">
        <x:v>Open</x:v>
      </x:c>
      <x:c r="H398" s="27" t="str">
        <x:v>No</x:v>
      </x:c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</x:row>
    <x:row r="399">
      <x:c r="A399" s="27" t="str">
        <x:v>TNA-037-02</x:v>
      </x:c>
      <x:c r="B399" s="27" t="str">
        <x:v>ORD-1137</x:v>
      </x:c>
      <x:c r="C399" s="27" t="str">
        <x:v>line booking</x:v>
      </x:c>
      <x:c r="D399" s="30" t="n">
        <x:v>46182</x:v>
      </x:c>
      <x:c r="E399" s="30"/>
      <x:c r="F399" s="34" t="str">
        <x:f>IF(E399="","",E399-D399)</x:f>
      </x:c>
      <x:c r="G399" s="27" t="str">
        <x:v>Open</x:v>
      </x:c>
      <x:c r="H399" s="27" t="str">
        <x:v>No</x:v>
      </x:c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</x:row>
    <x:row r="400">
      <x:c r="A400" s="27" t="str">
        <x:v>TNA-037-03</x:v>
      </x:c>
      <x:c r="B400" s="27" t="str">
        <x:v>ORD-1137</x:v>
      </x:c>
      <x:c r="C400" s="27" t="str">
        <x:v>fabric/trim confirmation</x:v>
      </x:c>
      <x:c r="D400" s="30" t="n">
        <x:v>46186</x:v>
      </x:c>
      <x:c r="E400" s="30"/>
      <x:c r="F400" s="34" t="str">
        <x:f>IF(E400="","",E400-D400)</x:f>
      </x:c>
      <x:c r="G400" s="27" t="str">
        <x:v>Open</x:v>
      </x:c>
      <x:c r="H400" s="27" t="str">
        <x:v>No</x:v>
      </x:c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</x:row>
    <x:row r="401">
      <x:c r="A401" s="27" t="str">
        <x:v>TNA-037-04</x:v>
      </x:c>
      <x:c r="B401" s="27" t="str">
        <x:v>ORD-1137</x:v>
      </x:c>
      <x:c r="C401" s="27" t="str">
        <x:v>fit sample sent</x:v>
      </x:c>
      <x:c r="D401" s="30" t="n">
        <x:v>46190</x:v>
      </x:c>
      <x:c r="E401" s="30"/>
      <x:c r="F401" s="34" t="str">
        <x:f>IF(E401="","",E401-D401)</x:f>
      </x:c>
      <x:c r="G401" s="27" t="str">
        <x:v>Open</x:v>
      </x:c>
      <x:c r="H401" s="27" t="str">
        <x:v>No</x:v>
      </x:c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</x:row>
    <x:row r="402">
      <x:c r="A402" s="27" t="str">
        <x:v>TNA-037-05</x:v>
      </x:c>
      <x:c r="B402" s="27" t="str">
        <x:v>ORD-1137</x:v>
      </x:c>
      <x:c r="C402" s="27" t="str">
        <x:v>fit approval</x:v>
      </x:c>
      <x:c r="D402" s="30" t="n">
        <x:v>46194</x:v>
      </x:c>
      <x:c r="E402" s="30"/>
      <x:c r="F402" s="34" t="str">
        <x:f>IF(E402="","",E402-D402)</x:f>
      </x:c>
      <x:c r="G402" s="27" t="str">
        <x:v>Open</x:v>
      </x:c>
      <x:c r="H402" s="27" t="str">
        <x:v>No</x:v>
      </x:c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</x:row>
    <x:row r="403">
      <x:c r="A403" s="27" t="str">
        <x:v>TNA-037-06</x:v>
      </x:c>
      <x:c r="B403" s="27" t="str">
        <x:v>ORD-1137</x:v>
      </x:c>
      <x:c r="C403" s="27" t="str">
        <x:v>size set sample</x:v>
      </x:c>
      <x:c r="D403" s="30" t="n">
        <x:v>46198</x:v>
      </x:c>
      <x:c r="E403" s="30"/>
      <x:c r="F403" s="34" t="str">
        <x:f>IF(E403="","",E403-D403)</x:f>
      </x:c>
      <x:c r="G403" s="27" t="str">
        <x:v>Open</x:v>
      </x:c>
      <x:c r="H403" s="27" t="str">
        <x:v>No</x:v>
      </x:c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</x:row>
    <x:row r="404">
      <x:c r="A404" s="27" t="str">
        <x:v>TNA-037-07</x:v>
      </x:c>
      <x:c r="B404" s="27" t="str">
        <x:v>ORD-1137</x:v>
      </x:c>
      <x:c r="C404" s="27" t="str">
        <x:v>PP sample approval</x:v>
      </x:c>
      <x:c r="D404" s="30" t="n">
        <x:v>46202</x:v>
      </x:c>
      <x:c r="E404" s="30"/>
      <x:c r="F404" s="34" t="str">
        <x:f>IF(E404="","",E404-D404)</x:f>
      </x:c>
      <x:c r="G404" s="27" t="str">
        <x:v>Open</x:v>
      </x:c>
      <x:c r="H404" s="27" t="str">
        <x:v>Yes</x:v>
      </x:c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</x:row>
    <x:row r="405">
      <x:c r="A405" s="27" t="str">
        <x:v>TNA-037-08</x:v>
      </x:c>
      <x:c r="B405" s="27" t="str">
        <x:v>ORD-1137</x:v>
      </x:c>
      <x:c r="C405" s="27" t="str">
        <x:v>cutting start</x:v>
      </x:c>
      <x:c r="D405" s="30" t="n">
        <x:v>46208</x:v>
      </x:c>
      <x:c r="E405" s="30"/>
      <x:c r="F405" s="34" t="str">
        <x:f>IF(E405="","",E405-D405)</x:f>
      </x:c>
      <x:c r="G405" s="27" t="str">
        <x:v>Open</x:v>
      </x:c>
      <x:c r="H405" s="27" t="str">
        <x:v>Yes</x:v>
      </x:c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</x:row>
    <x:row r="406">
      <x:c r="A406" s="27" t="str">
        <x:v>TNA-037-09</x:v>
      </x:c>
      <x:c r="B406" s="27" t="str">
        <x:v>ORD-1137</x:v>
      </x:c>
      <x:c r="C406" s="27" t="str">
        <x:v>sewing start</x:v>
      </x:c>
      <x:c r="D406" s="30" t="n">
        <x:v>46211</x:v>
      </x:c>
      <x:c r="E406" s="30"/>
      <x:c r="F406" s="34" t="str">
        <x:f>IF(E406="","",E406-D406)</x:f>
      </x:c>
      <x:c r="G406" s="27" t="str">
        <x:v>Open</x:v>
      </x:c>
      <x:c r="H406" s="27" t="str">
        <x:v>Yes</x:v>
      </x:c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</x:row>
    <x:row r="407">
      <x:c r="A407" s="27" t="str">
        <x:v>TNA-037-10</x:v>
      </x:c>
      <x:c r="B407" s="27" t="str">
        <x:v>ORD-1137</x:v>
      </x:c>
      <x:c r="C407" s="27" t="str">
        <x:v>final QC</x:v>
      </x:c>
      <x:c r="D407" s="30" t="n">
        <x:v>46223</x:v>
      </x:c>
      <x:c r="E407" s="30"/>
      <x:c r="F407" s="34" t="str">
        <x:f>IF(E407="","",E407-D407)</x:f>
      </x:c>
      <x:c r="G407" s="27" t="str">
        <x:v>Open</x:v>
      </x:c>
      <x:c r="H407" s="27" t="str">
        <x:v>Yes</x:v>
      </x:c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</x:row>
    <x:row r="408">
      <x:c r="A408" s="27" t="str">
        <x:v>TNA-037-11</x:v>
      </x:c>
      <x:c r="B408" s="27" t="str">
        <x:v>ORD-1137</x:v>
      </x:c>
      <x:c r="C408" s="27" t="str">
        <x:v>ex-factory handover</x:v>
      </x:c>
      <x:c r="D408" s="30" t="n">
        <x:v>46226</x:v>
      </x:c>
      <x:c r="E408" s="30"/>
      <x:c r="F408" s="34" t="str">
        <x:f>IF(E408="","",E408-D408)</x:f>
      </x:c>
      <x:c r="G408" s="27" t="str">
        <x:v>Open</x:v>
      </x:c>
      <x:c r="H408" s="27" t="str">
        <x:v>Yes</x:v>
      </x:c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</x:row>
    <x:row r="409">
      <x:c r="A409" s="27" t="str">
        <x:v>TNA-038-01</x:v>
      </x:c>
      <x:c r="B409" s="27" t="str">
        <x:v>ORD-1138</x:v>
      </x:c>
      <x:c r="C409" s="27" t="str">
        <x:v>tech pack freeze</x:v>
      </x:c>
      <x:c r="D409" s="30" t="n">
        <x:v>46180</x:v>
      </x:c>
      <x:c r="E409" s="30"/>
      <x:c r="F409" s="34" t="str">
        <x:f>IF(E409="","",E409-D409)</x:f>
      </x:c>
      <x:c r="G409" s="27" t="str">
        <x:v>Open</x:v>
      </x:c>
      <x:c r="H409" s="27" t="str">
        <x:v>No</x:v>
      </x:c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</x:row>
    <x:row r="410">
      <x:c r="A410" s="27" t="str">
        <x:v>TNA-038-02</x:v>
      </x:c>
      <x:c r="B410" s="27" t="str">
        <x:v>ORD-1138</x:v>
      </x:c>
      <x:c r="C410" s="27" t="str">
        <x:v>line booking</x:v>
      </x:c>
      <x:c r="D410" s="30" t="n">
        <x:v>46184</x:v>
      </x:c>
      <x:c r="E410" s="30"/>
      <x:c r="F410" s="34" t="str">
        <x:f>IF(E410="","",E410-D410)</x:f>
      </x:c>
      <x:c r="G410" s="27" t="str">
        <x:v>Open</x:v>
      </x:c>
      <x:c r="H410" s="27" t="str">
        <x:v>No</x:v>
      </x:c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</x:row>
    <x:row r="411">
      <x:c r="A411" s="27" t="str">
        <x:v>TNA-038-03</x:v>
      </x:c>
      <x:c r="B411" s="27" t="str">
        <x:v>ORD-1138</x:v>
      </x:c>
      <x:c r="C411" s="27" t="str">
        <x:v>fabric/trim confirmation</x:v>
      </x:c>
      <x:c r="D411" s="30" t="n">
        <x:v>46188</x:v>
      </x:c>
      <x:c r="E411" s="30"/>
      <x:c r="F411" s="34" t="str">
        <x:f>IF(E411="","",E411-D411)</x:f>
      </x:c>
      <x:c r="G411" s="27" t="str">
        <x:v>Open</x:v>
      </x:c>
      <x:c r="H411" s="27" t="str">
        <x:v>No</x:v>
      </x:c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</x:row>
    <x:row r="412">
      <x:c r="A412" s="27" t="str">
        <x:v>TNA-038-04</x:v>
      </x:c>
      <x:c r="B412" s="27" t="str">
        <x:v>ORD-1138</x:v>
      </x:c>
      <x:c r="C412" s="27" t="str">
        <x:v>fit sample sent</x:v>
      </x:c>
      <x:c r="D412" s="30" t="n">
        <x:v>46192</x:v>
      </x:c>
      <x:c r="E412" s="30"/>
      <x:c r="F412" s="34" t="str">
        <x:f>IF(E412="","",E412-D412)</x:f>
      </x:c>
      <x:c r="G412" s="27" t="str">
        <x:v>Open</x:v>
      </x:c>
      <x:c r="H412" s="27" t="str">
        <x:v>No</x:v>
      </x:c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</x:row>
    <x:row r="413">
      <x:c r="A413" s="27" t="str">
        <x:v>TNA-038-05</x:v>
      </x:c>
      <x:c r="B413" s="27" t="str">
        <x:v>ORD-1138</x:v>
      </x:c>
      <x:c r="C413" s="27" t="str">
        <x:v>fit approval</x:v>
      </x:c>
      <x:c r="D413" s="30" t="n">
        <x:v>46196</x:v>
      </x:c>
      <x:c r="E413" s="30"/>
      <x:c r="F413" s="34" t="str">
        <x:f>IF(E413="","",E413-D413)</x:f>
      </x:c>
      <x:c r="G413" s="27" t="str">
        <x:v>Open</x:v>
      </x:c>
      <x:c r="H413" s="27" t="str">
        <x:v>No</x:v>
      </x:c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</x:row>
    <x:row r="414">
      <x:c r="A414" s="27" t="str">
        <x:v>TNA-038-06</x:v>
      </x:c>
      <x:c r="B414" s="27" t="str">
        <x:v>ORD-1138</x:v>
      </x:c>
      <x:c r="C414" s="27" t="str">
        <x:v>size set sample</x:v>
      </x:c>
      <x:c r="D414" s="30" t="n">
        <x:v>46200</x:v>
      </x:c>
      <x:c r="E414" s="30"/>
      <x:c r="F414" s="34" t="str">
        <x:f>IF(E414="","",E414-D414)</x:f>
      </x:c>
      <x:c r="G414" s="27" t="str">
        <x:v>Open</x:v>
      </x:c>
      <x:c r="H414" s="27" t="str">
        <x:v>No</x:v>
      </x:c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</x:row>
    <x:row r="415">
      <x:c r="A415" s="27" t="str">
        <x:v>TNA-038-07</x:v>
      </x:c>
      <x:c r="B415" s="27" t="str">
        <x:v>ORD-1138</x:v>
      </x:c>
      <x:c r="C415" s="27" t="str">
        <x:v>PP sample approval</x:v>
      </x:c>
      <x:c r="D415" s="30" t="n">
        <x:v>46204</x:v>
      </x:c>
      <x:c r="E415" s="30"/>
      <x:c r="F415" s="34" t="str">
        <x:f>IF(E415="","",E415-D415)</x:f>
      </x:c>
      <x:c r="G415" s="27" t="str">
        <x:v>Open</x:v>
      </x:c>
      <x:c r="H415" s="27" t="str">
        <x:v>Yes</x:v>
      </x:c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</x:row>
    <x:row r="416">
      <x:c r="A416" s="27" t="str">
        <x:v>TNA-038-08</x:v>
      </x:c>
      <x:c r="B416" s="27" t="str">
        <x:v>ORD-1138</x:v>
      </x:c>
      <x:c r="C416" s="27" t="str">
        <x:v>cutting start</x:v>
      </x:c>
      <x:c r="D416" s="30" t="n">
        <x:v>46210</x:v>
      </x:c>
      <x:c r="E416" s="30"/>
      <x:c r="F416" s="34" t="str">
        <x:f>IF(E416="","",E416-D416)</x:f>
      </x:c>
      <x:c r="G416" s="27" t="str">
        <x:v>Open</x:v>
      </x:c>
      <x:c r="H416" s="27" t="str">
        <x:v>Yes</x:v>
      </x:c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</x:row>
    <x:row r="417">
      <x:c r="A417" s="27" t="str">
        <x:v>TNA-038-09</x:v>
      </x:c>
      <x:c r="B417" s="27" t="str">
        <x:v>ORD-1138</x:v>
      </x:c>
      <x:c r="C417" s="27" t="str">
        <x:v>sewing start</x:v>
      </x:c>
      <x:c r="D417" s="30" t="n">
        <x:v>46213</x:v>
      </x:c>
      <x:c r="E417" s="30"/>
      <x:c r="F417" s="34" t="str">
        <x:f>IF(E417="","",E417-D417)</x:f>
      </x:c>
      <x:c r="G417" s="27" t="str">
        <x:v>Open</x:v>
      </x:c>
      <x:c r="H417" s="27" t="str">
        <x:v>Yes</x:v>
      </x:c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</x:row>
    <x:row r="418">
      <x:c r="A418" s="27" t="str">
        <x:v>TNA-038-10</x:v>
      </x:c>
      <x:c r="B418" s="27" t="str">
        <x:v>ORD-1138</x:v>
      </x:c>
      <x:c r="C418" s="27" t="str">
        <x:v>final QC</x:v>
      </x:c>
      <x:c r="D418" s="30" t="n">
        <x:v>46227</x:v>
      </x:c>
      <x:c r="E418" s="30"/>
      <x:c r="F418" s="34" t="str">
        <x:f>IF(E418="","",E418-D418)</x:f>
      </x:c>
      <x:c r="G418" s="27" t="str">
        <x:v>Open</x:v>
      </x:c>
      <x:c r="H418" s="27" t="str">
        <x:v>Yes</x:v>
      </x:c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</x:row>
    <x:row r="419">
      <x:c r="A419" s="27" t="str">
        <x:v>TNA-038-11</x:v>
      </x:c>
      <x:c r="B419" s="27" t="str">
        <x:v>ORD-1138</x:v>
      </x:c>
      <x:c r="C419" s="27" t="str">
        <x:v>ex-factory handover</x:v>
      </x:c>
      <x:c r="D419" s="30" t="n">
        <x:v>46230</x:v>
      </x:c>
      <x:c r="E419" s="30"/>
      <x:c r="F419" s="34" t="str">
        <x:f>IF(E419="","",E419-D419)</x:f>
      </x:c>
      <x:c r="G419" s="27" t="str">
        <x:v>Open</x:v>
      </x:c>
      <x:c r="H419" s="27" t="str">
        <x:v>Yes</x:v>
      </x:c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</x:row>
    <x:row r="420">
      <x:c r="A420" s="27" t="str">
        <x:v>TNA-039-01</x:v>
      </x:c>
      <x:c r="B420" s="27" t="str">
        <x:v>ORD-1139</x:v>
      </x:c>
      <x:c r="C420" s="27" t="str">
        <x:v>tech pack freeze</x:v>
      </x:c>
      <x:c r="D420" s="30" t="n">
        <x:v>46182</x:v>
      </x:c>
      <x:c r="E420" s="30"/>
      <x:c r="F420" s="34" t="str">
        <x:f>IF(E420="","",E420-D420)</x:f>
      </x:c>
      <x:c r="G420" s="27" t="str">
        <x:v>Open</x:v>
      </x:c>
      <x:c r="H420" s="27" t="str">
        <x:v>No</x:v>
      </x:c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</x:row>
    <x:row r="421">
      <x:c r="A421" s="27" t="str">
        <x:v>TNA-039-02</x:v>
      </x:c>
      <x:c r="B421" s="27" t="str">
        <x:v>ORD-1139</x:v>
      </x:c>
      <x:c r="C421" s="27" t="str">
        <x:v>line booking</x:v>
      </x:c>
      <x:c r="D421" s="30" t="n">
        <x:v>46186</x:v>
      </x:c>
      <x:c r="E421" s="30"/>
      <x:c r="F421" s="34" t="str">
        <x:f>IF(E421="","",E421-D421)</x:f>
      </x:c>
      <x:c r="G421" s="27" t="str">
        <x:v>Open</x:v>
      </x:c>
      <x:c r="H421" s="27" t="str">
        <x:v>No</x:v>
      </x:c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</x:row>
    <x:row r="422">
      <x:c r="A422" s="27" t="str">
        <x:v>TNA-039-03</x:v>
      </x:c>
      <x:c r="B422" s="27" t="str">
        <x:v>ORD-1139</x:v>
      </x:c>
      <x:c r="C422" s="27" t="str">
        <x:v>fabric/trim confirmation</x:v>
      </x:c>
      <x:c r="D422" s="30" t="n">
        <x:v>46190</x:v>
      </x:c>
      <x:c r="E422" s="30"/>
      <x:c r="F422" s="34" t="str">
        <x:f>IF(E422="","",E422-D422)</x:f>
      </x:c>
      <x:c r="G422" s="27" t="str">
        <x:v>Open</x:v>
      </x:c>
      <x:c r="H422" s="27" t="str">
        <x:v>No</x:v>
      </x:c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</x:row>
    <x:row r="423">
      <x:c r="A423" s="27" t="str">
        <x:v>TNA-039-04</x:v>
      </x:c>
      <x:c r="B423" s="27" t="str">
        <x:v>ORD-1139</x:v>
      </x:c>
      <x:c r="C423" s="27" t="str">
        <x:v>fit sample sent</x:v>
      </x:c>
      <x:c r="D423" s="30" t="n">
        <x:v>46194</x:v>
      </x:c>
      <x:c r="E423" s="30"/>
      <x:c r="F423" s="34" t="str">
        <x:f>IF(E423="","",E423-D423)</x:f>
      </x:c>
      <x:c r="G423" s="27" t="str">
        <x:v>Open</x:v>
      </x:c>
      <x:c r="H423" s="27" t="str">
        <x:v>No</x:v>
      </x:c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</x:row>
    <x:row r="424">
      <x:c r="A424" s="27" t="str">
        <x:v>TNA-039-05</x:v>
      </x:c>
      <x:c r="B424" s="27" t="str">
        <x:v>ORD-1139</x:v>
      </x:c>
      <x:c r="C424" s="27" t="str">
        <x:v>fit approval</x:v>
      </x:c>
      <x:c r="D424" s="30" t="n">
        <x:v>46198</x:v>
      </x:c>
      <x:c r="E424" s="30"/>
      <x:c r="F424" s="34" t="str">
        <x:f>IF(E424="","",E424-D424)</x:f>
      </x:c>
      <x:c r="G424" s="27" t="str">
        <x:v>Open</x:v>
      </x:c>
      <x:c r="H424" s="27" t="str">
        <x:v>No</x:v>
      </x:c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</x:row>
    <x:row r="425">
      <x:c r="A425" s="27" t="str">
        <x:v>TNA-039-06</x:v>
      </x:c>
      <x:c r="B425" s="27" t="str">
        <x:v>ORD-1139</x:v>
      </x:c>
      <x:c r="C425" s="27" t="str">
        <x:v>size set sample</x:v>
      </x:c>
      <x:c r="D425" s="30" t="n">
        <x:v>46202</x:v>
      </x:c>
      <x:c r="E425" s="30"/>
      <x:c r="F425" s="34" t="str">
        <x:f>IF(E425="","",E425-D425)</x:f>
      </x:c>
      <x:c r="G425" s="27" t="str">
        <x:v>Open</x:v>
      </x:c>
      <x:c r="H425" s="27" t="str">
        <x:v>No</x:v>
      </x:c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</x:row>
    <x:row r="426">
      <x:c r="A426" s="27" t="str">
        <x:v>TNA-039-07</x:v>
      </x:c>
      <x:c r="B426" s="27" t="str">
        <x:v>ORD-1139</x:v>
      </x:c>
      <x:c r="C426" s="27" t="str">
        <x:v>PP sample approval</x:v>
      </x:c>
      <x:c r="D426" s="30" t="n">
        <x:v>46206</x:v>
      </x:c>
      <x:c r="E426" s="30"/>
      <x:c r="F426" s="34" t="str">
        <x:f>IF(E426="","",E426-D426)</x:f>
      </x:c>
      <x:c r="G426" s="27" t="str">
        <x:v>Open</x:v>
      </x:c>
      <x:c r="H426" s="27" t="str">
        <x:v>Yes</x:v>
      </x:c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</x:row>
    <x:row r="427">
      <x:c r="A427" s="27" t="str">
        <x:v>TNA-039-08</x:v>
      </x:c>
      <x:c r="B427" s="27" t="str">
        <x:v>ORD-1139</x:v>
      </x:c>
      <x:c r="C427" s="27" t="str">
        <x:v>cutting start</x:v>
      </x:c>
      <x:c r="D427" s="30" t="n">
        <x:v>46212</x:v>
      </x:c>
      <x:c r="E427" s="30"/>
      <x:c r="F427" s="34" t="str">
        <x:f>IF(E427="","",E427-D427)</x:f>
      </x:c>
      <x:c r="G427" s="27" t="str">
        <x:v>Open</x:v>
      </x:c>
      <x:c r="H427" s="27" t="str">
        <x:v>Yes</x:v>
      </x:c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</x:row>
    <x:row r="428">
      <x:c r="A428" s="27" t="str">
        <x:v>TNA-039-09</x:v>
      </x:c>
      <x:c r="B428" s="27" t="str">
        <x:v>ORD-1139</x:v>
      </x:c>
      <x:c r="C428" s="27" t="str">
        <x:v>sewing start</x:v>
      </x:c>
      <x:c r="D428" s="30" t="n">
        <x:v>46215</x:v>
      </x:c>
      <x:c r="E428" s="30"/>
      <x:c r="F428" s="34" t="str">
        <x:f>IF(E428="","",E428-D428)</x:f>
      </x:c>
      <x:c r="G428" s="27" t="str">
        <x:v>Open</x:v>
      </x:c>
      <x:c r="H428" s="27" t="str">
        <x:v>Yes</x:v>
      </x:c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</x:row>
    <x:row r="429">
      <x:c r="A429" s="27" t="str">
        <x:v>TNA-039-10</x:v>
      </x:c>
      <x:c r="B429" s="27" t="str">
        <x:v>ORD-1139</x:v>
      </x:c>
      <x:c r="C429" s="27" t="str">
        <x:v>final QC</x:v>
      </x:c>
      <x:c r="D429" s="30" t="n">
        <x:v>46231</x:v>
      </x:c>
      <x:c r="E429" s="30"/>
      <x:c r="F429" s="34" t="str">
        <x:f>IF(E429="","",E429-D429)</x:f>
      </x:c>
      <x:c r="G429" s="27" t="str">
        <x:v>Open</x:v>
      </x:c>
      <x:c r="H429" s="27" t="str">
        <x:v>Yes</x:v>
      </x:c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</x:row>
    <x:row r="430">
      <x:c r="A430" s="27" t="str">
        <x:v>TNA-039-11</x:v>
      </x:c>
      <x:c r="B430" s="27" t="str">
        <x:v>ORD-1139</x:v>
      </x:c>
      <x:c r="C430" s="27" t="str">
        <x:v>ex-factory handover</x:v>
      </x:c>
      <x:c r="D430" s="30" t="n">
        <x:v>46234</x:v>
      </x:c>
      <x:c r="E430" s="30"/>
      <x:c r="F430" s="34" t="str">
        <x:f>IF(E430="","",E430-D430)</x:f>
      </x:c>
      <x:c r="G430" s="27" t="str">
        <x:v>Open</x:v>
      </x:c>
      <x:c r="H430" s="27" t="str">
        <x:v>Yes</x:v>
      </x:c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</x:row>
    <x:row r="431">
      <x:c r="A431" s="27" t="str">
        <x:v>TNA-040-01</x:v>
      </x:c>
      <x:c r="B431" s="27" t="str">
        <x:v>ORD-1140</x:v>
      </x:c>
      <x:c r="C431" s="27" t="str">
        <x:v>tech pack freeze</x:v>
      </x:c>
      <x:c r="D431" s="30" t="n">
        <x:v>46184</x:v>
      </x:c>
      <x:c r="E431" s="30"/>
      <x:c r="F431" s="34" t="str">
        <x:f>IF(E431="","",E431-D431)</x:f>
      </x:c>
      <x:c r="G431" s="27" t="str">
        <x:v>Open</x:v>
      </x:c>
      <x:c r="H431" s="27" t="str">
        <x:v>No</x:v>
      </x:c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</x:row>
    <x:row r="432">
      <x:c r="A432" s="27" t="str">
        <x:v>TNA-040-02</x:v>
      </x:c>
      <x:c r="B432" s="27" t="str">
        <x:v>ORD-1140</x:v>
      </x:c>
      <x:c r="C432" s="27" t="str">
        <x:v>line booking</x:v>
      </x:c>
      <x:c r="D432" s="30" t="n">
        <x:v>46188</x:v>
      </x:c>
      <x:c r="E432" s="30"/>
      <x:c r="F432" s="34" t="str">
        <x:f>IF(E432="","",E432-D432)</x:f>
      </x:c>
      <x:c r="G432" s="27" t="str">
        <x:v>Open</x:v>
      </x:c>
      <x:c r="H432" s="27" t="str">
        <x:v>No</x:v>
      </x:c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</x:row>
    <x:row r="433">
      <x:c r="A433" s="27" t="str">
        <x:v>TNA-040-03</x:v>
      </x:c>
      <x:c r="B433" s="27" t="str">
        <x:v>ORD-1140</x:v>
      </x:c>
      <x:c r="C433" s="27" t="str">
        <x:v>fabric/trim confirmation</x:v>
      </x:c>
      <x:c r="D433" s="30" t="n">
        <x:v>46192</x:v>
      </x:c>
      <x:c r="E433" s="30"/>
      <x:c r="F433" s="34" t="str">
        <x:f>IF(E433="","",E433-D433)</x:f>
      </x:c>
      <x:c r="G433" s="27" t="str">
        <x:v>Open</x:v>
      </x:c>
      <x:c r="H433" s="27" t="str">
        <x:v>No</x:v>
      </x:c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</x:row>
    <x:row r="434">
      <x:c r="A434" s="27" t="str">
        <x:v>TNA-040-04</x:v>
      </x:c>
      <x:c r="B434" s="27" t="str">
        <x:v>ORD-1140</x:v>
      </x:c>
      <x:c r="C434" s="27" t="str">
        <x:v>fit sample sent</x:v>
      </x:c>
      <x:c r="D434" s="30" t="n">
        <x:v>46196</x:v>
      </x:c>
      <x:c r="E434" s="30"/>
      <x:c r="F434" s="34" t="str">
        <x:f>IF(E434="","",E434-D434)</x:f>
      </x:c>
      <x:c r="G434" s="27" t="str">
        <x:v>Open</x:v>
      </x:c>
      <x:c r="H434" s="27" t="str">
        <x:v>No</x:v>
      </x:c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</x:row>
    <x:row r="435">
      <x:c r="A435" s="27" t="str">
        <x:v>TNA-040-05</x:v>
      </x:c>
      <x:c r="B435" s="27" t="str">
        <x:v>ORD-1140</x:v>
      </x:c>
      <x:c r="C435" s="27" t="str">
        <x:v>fit approval</x:v>
      </x:c>
      <x:c r="D435" s="30" t="n">
        <x:v>46200</x:v>
      </x:c>
      <x:c r="E435" s="30"/>
      <x:c r="F435" s="34" t="str">
        <x:f>IF(E435="","",E435-D435)</x:f>
      </x:c>
      <x:c r="G435" s="27" t="str">
        <x:v>Open</x:v>
      </x:c>
      <x:c r="H435" s="27" t="str">
        <x:v>No</x:v>
      </x:c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</x:row>
    <x:row r="436">
      <x:c r="A436" s="27" t="str">
        <x:v>TNA-040-06</x:v>
      </x:c>
      <x:c r="B436" s="27" t="str">
        <x:v>ORD-1140</x:v>
      </x:c>
      <x:c r="C436" s="27" t="str">
        <x:v>size set sample</x:v>
      </x:c>
      <x:c r="D436" s="30" t="n">
        <x:v>46204</x:v>
      </x:c>
      <x:c r="E436" s="30"/>
      <x:c r="F436" s="34" t="str">
        <x:f>IF(E436="","",E436-D436)</x:f>
      </x:c>
      <x:c r="G436" s="27" t="str">
        <x:v>Open</x:v>
      </x:c>
      <x:c r="H436" s="27" t="str">
        <x:v>No</x:v>
      </x:c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</x:row>
    <x:row r="437">
      <x:c r="A437" s="27" t="str">
        <x:v>TNA-040-07</x:v>
      </x:c>
      <x:c r="B437" s="27" t="str">
        <x:v>ORD-1140</x:v>
      </x:c>
      <x:c r="C437" s="27" t="str">
        <x:v>PP sample approval</x:v>
      </x:c>
      <x:c r="D437" s="30" t="n">
        <x:v>46208</x:v>
      </x:c>
      <x:c r="E437" s="30"/>
      <x:c r="F437" s="34" t="str">
        <x:f>IF(E437="","",E437-D437)</x:f>
      </x:c>
      <x:c r="G437" s="27" t="str">
        <x:v>Open</x:v>
      </x:c>
      <x:c r="H437" s="27" t="str">
        <x:v>Yes</x:v>
      </x:c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</x:row>
    <x:row r="438">
      <x:c r="A438" s="27" t="str">
        <x:v>TNA-040-08</x:v>
      </x:c>
      <x:c r="B438" s="27" t="str">
        <x:v>ORD-1140</x:v>
      </x:c>
      <x:c r="C438" s="27" t="str">
        <x:v>cutting start</x:v>
      </x:c>
      <x:c r="D438" s="30" t="n">
        <x:v>46214</x:v>
      </x:c>
      <x:c r="E438" s="30"/>
      <x:c r="F438" s="34" t="str">
        <x:f>IF(E438="","",E438-D438)</x:f>
      </x:c>
      <x:c r="G438" s="27" t="str">
        <x:v>Open</x:v>
      </x:c>
      <x:c r="H438" s="27" t="str">
        <x:v>Yes</x:v>
      </x:c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</x:row>
    <x:row r="439">
      <x:c r="A439" s="27" t="str">
        <x:v>TNA-040-09</x:v>
      </x:c>
      <x:c r="B439" s="27" t="str">
        <x:v>ORD-1140</x:v>
      </x:c>
      <x:c r="C439" s="27" t="str">
        <x:v>sewing start</x:v>
      </x:c>
      <x:c r="D439" s="30" t="n">
        <x:v>46217</x:v>
      </x:c>
      <x:c r="E439" s="30"/>
      <x:c r="F439" s="34" t="str">
        <x:f>IF(E439="","",E439-D439)</x:f>
      </x:c>
      <x:c r="G439" s="27" t="str">
        <x:v>Open</x:v>
      </x:c>
      <x:c r="H439" s="27" t="str">
        <x:v>Yes</x:v>
      </x:c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</x:row>
    <x:row r="440">
      <x:c r="A440" s="27" t="str">
        <x:v>TNA-040-10</x:v>
      </x:c>
      <x:c r="B440" s="27" t="str">
        <x:v>ORD-1140</x:v>
      </x:c>
      <x:c r="C440" s="27" t="str">
        <x:v>final QC</x:v>
      </x:c>
      <x:c r="D440" s="30" t="n">
        <x:v>46235</x:v>
      </x:c>
      <x:c r="E440" s="30"/>
      <x:c r="F440" s="34" t="str">
        <x:f>IF(E440="","",E440-D440)</x:f>
      </x:c>
      <x:c r="G440" s="27" t="str">
        <x:v>Open</x:v>
      </x:c>
      <x:c r="H440" s="27" t="str">
        <x:v>Yes</x:v>
      </x:c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</x:row>
    <x:row r="441">
      <x:c r="A441" s="27" t="str">
        <x:v>TNA-040-11</x:v>
      </x:c>
      <x:c r="B441" s="27" t="str">
        <x:v>ORD-1140</x:v>
      </x:c>
      <x:c r="C441" s="27" t="str">
        <x:v>ex-factory handover</x:v>
      </x:c>
      <x:c r="D441" s="30" t="n">
        <x:v>46238</x:v>
      </x:c>
      <x:c r="E441" s="30"/>
      <x:c r="F441" s="34" t="str">
        <x:f>IF(E441="","",E441-D441)</x:f>
      </x:c>
      <x:c r="G441" s="27" t="str">
        <x:v>Open</x:v>
      </x:c>
      <x:c r="H441" s="27" t="str">
        <x:v>Yes</x:v>
      </x:c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</x:row>
    <x:row r="442">
      <x:c r="A442" s="27" t="str">
        <x:v>TNA-041-01</x:v>
      </x:c>
      <x:c r="B442" s="27" t="str">
        <x:v>ORD-1141</x:v>
      </x:c>
      <x:c r="C442" s="27" t="str">
        <x:v>tech pack freeze</x:v>
      </x:c>
      <x:c r="D442" s="30" t="n">
        <x:v>46171</x:v>
      </x:c>
      <x:c r="E442" s="30"/>
      <x:c r="F442" s="34" t="str">
        <x:f>IF(E442="","",E442-D442)</x:f>
      </x:c>
      <x:c r="G442" s="27" t="str">
        <x:v>Open</x:v>
      </x:c>
      <x:c r="H442" s="27" t="str">
        <x:v>No</x:v>
      </x:c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</x:row>
    <x:row r="443">
      <x:c r="A443" s="27" t="str">
        <x:v>TNA-041-02</x:v>
      </x:c>
      <x:c r="B443" s="27" t="str">
        <x:v>ORD-1141</x:v>
      </x:c>
      <x:c r="C443" s="27" t="str">
        <x:v>line booking</x:v>
      </x:c>
      <x:c r="D443" s="30" t="n">
        <x:v>46175</x:v>
      </x:c>
      <x:c r="E443" s="30"/>
      <x:c r="F443" s="34" t="str">
        <x:f>IF(E443="","",E443-D443)</x:f>
      </x:c>
      <x:c r="G443" s="27" t="str">
        <x:v>Open</x:v>
      </x:c>
      <x:c r="H443" s="27" t="str">
        <x:v>No</x:v>
      </x:c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</x:row>
    <x:row r="444">
      <x:c r="A444" s="27" t="str">
        <x:v>TNA-041-03</x:v>
      </x:c>
      <x:c r="B444" s="27" t="str">
        <x:v>ORD-1141</x:v>
      </x:c>
      <x:c r="C444" s="27" t="str">
        <x:v>fabric/trim confirmation</x:v>
      </x:c>
      <x:c r="D444" s="30" t="n">
        <x:v>46179</x:v>
      </x:c>
      <x:c r="E444" s="30"/>
      <x:c r="F444" s="34" t="str">
        <x:f>IF(E444="","",E444-D444)</x:f>
      </x:c>
      <x:c r="G444" s="27" t="str">
        <x:v>Open</x:v>
      </x:c>
      <x:c r="H444" s="27" t="str">
        <x:v>No</x:v>
      </x:c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</x:row>
    <x:row r="445">
      <x:c r="A445" s="27" t="str">
        <x:v>TNA-041-04</x:v>
      </x:c>
      <x:c r="B445" s="27" t="str">
        <x:v>ORD-1141</x:v>
      </x:c>
      <x:c r="C445" s="27" t="str">
        <x:v>fit sample sent</x:v>
      </x:c>
      <x:c r="D445" s="30" t="n">
        <x:v>46183</x:v>
      </x:c>
      <x:c r="E445" s="30"/>
      <x:c r="F445" s="34" t="str">
        <x:f>IF(E445="","",E445-D445)</x:f>
      </x:c>
      <x:c r="G445" s="27" t="str">
        <x:v>Open</x:v>
      </x:c>
      <x:c r="H445" s="27" t="str">
        <x:v>No</x:v>
      </x:c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</x:row>
    <x:row r="446">
      <x:c r="A446" s="27" t="str">
        <x:v>TNA-041-05</x:v>
      </x:c>
      <x:c r="B446" s="27" t="str">
        <x:v>ORD-1141</x:v>
      </x:c>
      <x:c r="C446" s="27" t="str">
        <x:v>fit approval</x:v>
      </x:c>
      <x:c r="D446" s="30" t="n">
        <x:v>46187</x:v>
      </x:c>
      <x:c r="E446" s="30"/>
      <x:c r="F446" s="34" t="str">
        <x:f>IF(E446="","",E446-D446)</x:f>
      </x:c>
      <x:c r="G446" s="27" t="str">
        <x:v>Open</x:v>
      </x:c>
      <x:c r="H446" s="27" t="str">
        <x:v>No</x:v>
      </x:c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</x:row>
    <x:row r="447">
      <x:c r="A447" s="27" t="str">
        <x:v>TNA-041-06</x:v>
      </x:c>
      <x:c r="B447" s="27" t="str">
        <x:v>ORD-1141</x:v>
      </x:c>
      <x:c r="C447" s="27" t="str">
        <x:v>PP sample approval</x:v>
      </x:c>
      <x:c r="D447" s="30" t="n">
        <x:v>46195</x:v>
      </x:c>
      <x:c r="E447" s="30"/>
      <x:c r="F447" s="34" t="str">
        <x:f>IF(E447="","",E447-D447)</x:f>
      </x:c>
      <x:c r="G447" s="27" t="str">
        <x:v>Open</x:v>
      </x:c>
      <x:c r="H447" s="27" t="str">
        <x:v>Yes</x:v>
      </x:c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</x:row>
    <x:row r="448">
      <x:c r="A448" s="27" t="str">
        <x:v>TNA-041-07</x:v>
      </x:c>
      <x:c r="B448" s="27" t="str">
        <x:v>ORD-1141</x:v>
      </x:c>
      <x:c r="C448" s="27" t="str">
        <x:v>cutting start</x:v>
      </x:c>
      <x:c r="D448" s="30" t="n">
        <x:v>46201</x:v>
      </x:c>
      <x:c r="E448" s="30"/>
      <x:c r="F448" s="34" t="str">
        <x:f>IF(E448="","",E448-D448)</x:f>
      </x:c>
      <x:c r="G448" s="27" t="str">
        <x:v>Open</x:v>
      </x:c>
      <x:c r="H448" s="27" t="str">
        <x:v>Yes</x:v>
      </x:c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</x:row>
    <x:row r="449">
      <x:c r="A449" s="27" t="str">
        <x:v>TNA-041-08</x:v>
      </x:c>
      <x:c r="B449" s="27" t="str">
        <x:v>ORD-1141</x:v>
      </x:c>
      <x:c r="C449" s="27" t="str">
        <x:v>sewing start</x:v>
      </x:c>
      <x:c r="D449" s="30" t="n">
        <x:v>46204</x:v>
      </x:c>
      <x:c r="E449" s="30"/>
      <x:c r="F449" s="34" t="str">
        <x:f>IF(E449="","",E449-D449)</x:f>
      </x:c>
      <x:c r="G449" s="27" t="str">
        <x:v>Open</x:v>
      </x:c>
      <x:c r="H449" s="27" t="str">
        <x:v>Yes</x:v>
      </x:c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</x:row>
    <x:row r="450">
      <x:c r="A450" s="27" t="str">
        <x:v>TNA-041-09</x:v>
      </x:c>
      <x:c r="B450" s="27" t="str">
        <x:v>ORD-1141</x:v>
      </x:c>
      <x:c r="C450" s="27" t="str">
        <x:v>final QC</x:v>
      </x:c>
      <x:c r="D450" s="30" t="n">
        <x:v>46215</x:v>
      </x:c>
      <x:c r="E450" s="30"/>
      <x:c r="F450" s="34" t="str">
        <x:f>IF(E450="","",E450-D450)</x:f>
      </x:c>
      <x:c r="G450" s="27" t="str">
        <x:v>Open</x:v>
      </x:c>
      <x:c r="H450" s="27" t="str">
        <x:v>Yes</x:v>
      </x:c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</x:row>
    <x:row r="451">
      <x:c r="A451" s="27" t="str">
        <x:v>TNA-041-10</x:v>
      </x:c>
      <x:c r="B451" s="27" t="str">
        <x:v>ORD-1141</x:v>
      </x:c>
      <x:c r="C451" s="27" t="str">
        <x:v>ex-factory handover</x:v>
      </x:c>
      <x:c r="D451" s="30" t="n">
        <x:v>46218</x:v>
      </x:c>
      <x:c r="E451" s="30"/>
      <x:c r="F451" s="34" t="str">
        <x:f>IF(E451="","",E451-D451)</x:f>
      </x:c>
      <x:c r="G451" s="27" t="str">
        <x:v>Open</x:v>
      </x:c>
      <x:c r="H451" s="27" t="str">
        <x:v>Yes</x:v>
      </x:c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</x:row>
    <x:row r="452">
      <x:c r="A452" s="27" t="str">
        <x:v>TNA-042-01</x:v>
      </x:c>
      <x:c r="B452" s="27" t="str">
        <x:v>ORD-1142</x:v>
      </x:c>
      <x:c r="C452" s="27" t="str">
        <x:v>tech pack freeze</x:v>
      </x:c>
      <x:c r="D452" s="30" t="n">
        <x:v>46173</x:v>
      </x:c>
      <x:c r="E452" s="30"/>
      <x:c r="F452" s="34" t="str">
        <x:f>IF(E452="","",E452-D452)</x:f>
      </x:c>
      <x:c r="G452" s="27" t="str">
        <x:v>Open</x:v>
      </x:c>
      <x:c r="H452" s="27" t="str">
        <x:v>No</x:v>
      </x:c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</x:row>
    <x:row r="453">
      <x:c r="A453" s="27" t="str">
        <x:v>TNA-042-02</x:v>
      </x:c>
      <x:c r="B453" s="27" t="str">
        <x:v>ORD-1142</x:v>
      </x:c>
      <x:c r="C453" s="27" t="str">
        <x:v>line booking</x:v>
      </x:c>
      <x:c r="D453" s="30" t="n">
        <x:v>46177</x:v>
      </x:c>
      <x:c r="E453" s="30"/>
      <x:c r="F453" s="34" t="str">
        <x:f>IF(E453="","",E453-D453)</x:f>
      </x:c>
      <x:c r="G453" s="27" t="str">
        <x:v>Open</x:v>
      </x:c>
      <x:c r="H453" s="27" t="str">
        <x:v>No</x:v>
      </x:c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</x:row>
    <x:row r="454">
      <x:c r="A454" s="27" t="str">
        <x:v>TNA-042-03</x:v>
      </x:c>
      <x:c r="B454" s="27" t="str">
        <x:v>ORD-1142</x:v>
      </x:c>
      <x:c r="C454" s="27" t="str">
        <x:v>fabric/trim confirmation</x:v>
      </x:c>
      <x:c r="D454" s="30" t="n">
        <x:v>46181</x:v>
      </x:c>
      <x:c r="E454" s="30"/>
      <x:c r="F454" s="34" t="str">
        <x:f>IF(E454="","",E454-D454)</x:f>
      </x:c>
      <x:c r="G454" s="27" t="str">
        <x:v>Open</x:v>
      </x:c>
      <x:c r="H454" s="27" t="str">
        <x:v>No</x:v>
      </x:c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</x:row>
    <x:row r="455">
      <x:c r="A455" s="27" t="str">
        <x:v>TNA-042-04</x:v>
      </x:c>
      <x:c r="B455" s="27" t="str">
        <x:v>ORD-1142</x:v>
      </x:c>
      <x:c r="C455" s="27" t="str">
        <x:v>fit sample sent</x:v>
      </x:c>
      <x:c r="D455" s="30" t="n">
        <x:v>46185</x:v>
      </x:c>
      <x:c r="E455" s="30"/>
      <x:c r="F455" s="34" t="str">
        <x:f>IF(E455="","",E455-D455)</x:f>
      </x:c>
      <x:c r="G455" s="27" t="str">
        <x:v>Open</x:v>
      </x:c>
      <x:c r="H455" s="27" t="str">
        <x:v>No</x:v>
      </x:c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</x:row>
    <x:row r="456">
      <x:c r="A456" s="27" t="str">
        <x:v>TNA-042-05</x:v>
      </x:c>
      <x:c r="B456" s="27" t="str">
        <x:v>ORD-1142</x:v>
      </x:c>
      <x:c r="C456" s="27" t="str">
        <x:v>fit approval</x:v>
      </x:c>
      <x:c r="D456" s="30" t="n">
        <x:v>46189</x:v>
      </x:c>
      <x:c r="E456" s="30"/>
      <x:c r="F456" s="34" t="str">
        <x:f>IF(E456="","",E456-D456)</x:f>
      </x:c>
      <x:c r="G456" s="27" t="str">
        <x:v>Open</x:v>
      </x:c>
      <x:c r="H456" s="27" t="str">
        <x:v>No</x:v>
      </x:c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</x:row>
    <x:row r="457">
      <x:c r="A457" s="27" t="str">
        <x:v>TNA-042-06</x:v>
      </x:c>
      <x:c r="B457" s="27" t="str">
        <x:v>ORD-1142</x:v>
      </x:c>
      <x:c r="C457" s="27" t="str">
        <x:v>PP sample approval</x:v>
      </x:c>
      <x:c r="D457" s="30" t="n">
        <x:v>46197</x:v>
      </x:c>
      <x:c r="E457" s="30"/>
      <x:c r="F457" s="34" t="str">
        <x:f>IF(E457="","",E457-D457)</x:f>
      </x:c>
      <x:c r="G457" s="27" t="str">
        <x:v>Open</x:v>
      </x:c>
      <x:c r="H457" s="27" t="str">
        <x:v>Yes</x:v>
      </x:c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</x:row>
    <x:row r="458">
      <x:c r="A458" s="27" t="str">
        <x:v>TNA-042-07</x:v>
      </x:c>
      <x:c r="B458" s="27" t="str">
        <x:v>ORD-1142</x:v>
      </x:c>
      <x:c r="C458" s="27" t="str">
        <x:v>cutting start</x:v>
      </x:c>
      <x:c r="D458" s="30" t="n">
        <x:v>46203</x:v>
      </x:c>
      <x:c r="E458" s="30"/>
      <x:c r="F458" s="34" t="str">
        <x:f>IF(E458="","",E458-D458)</x:f>
      </x:c>
      <x:c r="G458" s="27" t="str">
        <x:v>Open</x:v>
      </x:c>
      <x:c r="H458" s="27" t="str">
        <x:v>Yes</x:v>
      </x:c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</x:row>
    <x:row r="459">
      <x:c r="A459" s="27" t="str">
        <x:v>TNA-042-08</x:v>
      </x:c>
      <x:c r="B459" s="27" t="str">
        <x:v>ORD-1142</x:v>
      </x:c>
      <x:c r="C459" s="27" t="str">
        <x:v>sewing start</x:v>
      </x:c>
      <x:c r="D459" s="30" t="n">
        <x:v>46206</x:v>
      </x:c>
      <x:c r="E459" s="30"/>
      <x:c r="F459" s="34" t="str">
        <x:f>IF(E459="","",E459-D459)</x:f>
      </x:c>
      <x:c r="G459" s="27" t="str">
        <x:v>Open</x:v>
      </x:c>
      <x:c r="H459" s="27" t="str">
        <x:v>Yes</x:v>
      </x:c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</x:row>
    <x:row r="460">
      <x:c r="A460" s="27" t="str">
        <x:v>TNA-042-09</x:v>
      </x:c>
      <x:c r="B460" s="27" t="str">
        <x:v>ORD-1142</x:v>
      </x:c>
      <x:c r="C460" s="27" t="str">
        <x:v>final QC</x:v>
      </x:c>
      <x:c r="D460" s="30" t="n">
        <x:v>46221</x:v>
      </x:c>
      <x:c r="E460" s="30"/>
      <x:c r="F460" s="34" t="str">
        <x:f>IF(E460="","",E460-D460)</x:f>
      </x:c>
      <x:c r="G460" s="27" t="str">
        <x:v>Open</x:v>
      </x:c>
      <x:c r="H460" s="27" t="str">
        <x:v>Yes</x:v>
      </x:c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</x:row>
    <x:row r="461">
      <x:c r="A461" s="27" t="str">
        <x:v>TNA-042-10</x:v>
      </x:c>
      <x:c r="B461" s="27" t="str">
        <x:v>ORD-1142</x:v>
      </x:c>
      <x:c r="C461" s="27" t="str">
        <x:v>ex-factory handover</x:v>
      </x:c>
      <x:c r="D461" s="30" t="n">
        <x:v>46224</x:v>
      </x:c>
      <x:c r="E461" s="30"/>
      <x:c r="F461" s="34" t="str">
        <x:f>IF(E461="","",E461-D461)</x:f>
      </x:c>
      <x:c r="G461" s="27" t="str">
        <x:v>Open</x:v>
      </x:c>
      <x:c r="H461" s="27" t="str">
        <x:v>Yes</x:v>
      </x:c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</x:row>
    <x:row r="462">
      <x:c r="A462" s="27" t="str">
        <x:v>TNA-043-01</x:v>
      </x:c>
      <x:c r="B462" s="27" t="str">
        <x:v>ORD-1143</x:v>
      </x:c>
      <x:c r="C462" s="27" t="str">
        <x:v>tech pack freeze</x:v>
      </x:c>
      <x:c r="D462" s="30" t="n">
        <x:v>46175</x:v>
      </x:c>
      <x:c r="E462" s="30"/>
      <x:c r="F462" s="34" t="str">
        <x:f>IF(E462="","",E462-D462)</x:f>
      </x:c>
      <x:c r="G462" s="27" t="str">
        <x:v>Open</x:v>
      </x:c>
      <x:c r="H462" s="27" t="str">
        <x:v>No</x:v>
      </x:c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</x:row>
    <x:row r="463">
      <x:c r="A463" s="27" t="str">
        <x:v>TNA-043-02</x:v>
      </x:c>
      <x:c r="B463" s="27" t="str">
        <x:v>ORD-1143</x:v>
      </x:c>
      <x:c r="C463" s="27" t="str">
        <x:v>line booking</x:v>
      </x:c>
      <x:c r="D463" s="30" t="n">
        <x:v>46179</x:v>
      </x:c>
      <x:c r="E463" s="30"/>
      <x:c r="F463" s="34" t="str">
        <x:f>IF(E463="","",E463-D463)</x:f>
      </x:c>
      <x:c r="G463" s="27" t="str">
        <x:v>Open</x:v>
      </x:c>
      <x:c r="H463" s="27" t="str">
        <x:v>No</x:v>
      </x:c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</x:row>
    <x:row r="464">
      <x:c r="A464" s="27" t="str">
        <x:v>TNA-043-03</x:v>
      </x:c>
      <x:c r="B464" s="27" t="str">
        <x:v>ORD-1143</x:v>
      </x:c>
      <x:c r="C464" s="27" t="str">
        <x:v>fabric/trim confirmation</x:v>
      </x:c>
      <x:c r="D464" s="30" t="n">
        <x:v>46183</x:v>
      </x:c>
      <x:c r="E464" s="30"/>
      <x:c r="F464" s="34" t="str">
        <x:f>IF(E464="","",E464-D464)</x:f>
      </x:c>
      <x:c r="G464" s="27" t="str">
        <x:v>Open</x:v>
      </x:c>
      <x:c r="H464" s="27" t="str">
        <x:v>No</x:v>
      </x:c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</x:row>
    <x:row r="465">
      <x:c r="A465" s="27" t="str">
        <x:v>TNA-043-04</x:v>
      </x:c>
      <x:c r="B465" s="27" t="str">
        <x:v>ORD-1143</x:v>
      </x:c>
      <x:c r="C465" s="27" t="str">
        <x:v>fit sample sent</x:v>
      </x:c>
      <x:c r="D465" s="30" t="n">
        <x:v>46187</x:v>
      </x:c>
      <x:c r="E465" s="30"/>
      <x:c r="F465" s="34" t="str">
        <x:f>IF(E465="","",E465-D465)</x:f>
      </x:c>
      <x:c r="G465" s="27" t="str">
        <x:v>Open</x:v>
      </x:c>
      <x:c r="H465" s="27" t="str">
        <x:v>No</x:v>
      </x:c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</x:row>
    <x:row r="466">
      <x:c r="A466" s="27" t="str">
        <x:v>TNA-043-05</x:v>
      </x:c>
      <x:c r="B466" s="27" t="str">
        <x:v>ORD-1143</x:v>
      </x:c>
      <x:c r="C466" s="27" t="str">
        <x:v>fit approval</x:v>
      </x:c>
      <x:c r="D466" s="30" t="n">
        <x:v>46191</x:v>
      </x:c>
      <x:c r="E466" s="30"/>
      <x:c r="F466" s="34" t="str">
        <x:f>IF(E466="","",E466-D466)</x:f>
      </x:c>
      <x:c r="G466" s="27" t="str">
        <x:v>Open</x:v>
      </x:c>
      <x:c r="H466" s="27" t="str">
        <x:v>No</x:v>
      </x:c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</x:row>
    <x:row r="467">
      <x:c r="A467" s="27" t="str">
        <x:v>TNA-043-06</x:v>
      </x:c>
      <x:c r="B467" s="27" t="str">
        <x:v>ORD-1143</x:v>
      </x:c>
      <x:c r="C467" s="27" t="str">
        <x:v>PP sample approval</x:v>
      </x:c>
      <x:c r="D467" s="30" t="n">
        <x:v>46199</x:v>
      </x:c>
      <x:c r="E467" s="30"/>
      <x:c r="F467" s="34" t="str">
        <x:f>IF(E467="","",E467-D467)</x:f>
      </x:c>
      <x:c r="G467" s="27" t="str">
        <x:v>Open</x:v>
      </x:c>
      <x:c r="H467" s="27" t="str">
        <x:v>Yes</x:v>
      </x:c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</x:row>
    <x:row r="468">
      <x:c r="A468" s="27" t="str">
        <x:v>TNA-043-07</x:v>
      </x:c>
      <x:c r="B468" s="27" t="str">
        <x:v>ORD-1143</x:v>
      </x:c>
      <x:c r="C468" s="27" t="str">
        <x:v>cutting start</x:v>
      </x:c>
      <x:c r="D468" s="30" t="n">
        <x:v>46205</x:v>
      </x:c>
      <x:c r="E468" s="30"/>
      <x:c r="F468" s="34" t="str">
        <x:f>IF(E468="","",E468-D468)</x:f>
      </x:c>
      <x:c r="G468" s="27" t="str">
        <x:v>Open</x:v>
      </x:c>
      <x:c r="H468" s="27" t="str">
        <x:v>Yes</x:v>
      </x:c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</x:row>
    <x:row r="469">
      <x:c r="A469" s="27" t="str">
        <x:v>TNA-043-08</x:v>
      </x:c>
      <x:c r="B469" s="27" t="str">
        <x:v>ORD-1143</x:v>
      </x:c>
      <x:c r="C469" s="27" t="str">
        <x:v>sewing start</x:v>
      </x:c>
      <x:c r="D469" s="30" t="n">
        <x:v>46208</x:v>
      </x:c>
      <x:c r="E469" s="30"/>
      <x:c r="F469" s="34" t="str">
        <x:f>IF(E469="","",E469-D469)</x:f>
      </x:c>
      <x:c r="G469" s="27" t="str">
        <x:v>Open</x:v>
      </x:c>
      <x:c r="H469" s="27" t="str">
        <x:v>Yes</x:v>
      </x:c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</x:row>
    <x:row r="470">
      <x:c r="A470" s="27" t="str">
        <x:v>TNA-043-09</x:v>
      </x:c>
      <x:c r="B470" s="27" t="str">
        <x:v>ORD-1143</x:v>
      </x:c>
      <x:c r="C470" s="27" t="str">
        <x:v>final QC</x:v>
      </x:c>
      <x:c r="D470" s="30" t="n">
        <x:v>46232</x:v>
      </x:c>
      <x:c r="E470" s="30"/>
      <x:c r="F470" s="34" t="str">
        <x:f>IF(E470="","",E470-D470)</x:f>
      </x:c>
      <x:c r="G470" s="27" t="str">
        <x:v>Open</x:v>
      </x:c>
      <x:c r="H470" s="27" t="str">
        <x:v>Yes</x:v>
      </x:c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</x:row>
    <x:row r="471">
      <x:c r="A471" s="27" t="str">
        <x:v>TNA-043-10</x:v>
      </x:c>
      <x:c r="B471" s="27" t="str">
        <x:v>ORD-1143</x:v>
      </x:c>
      <x:c r="C471" s="27" t="str">
        <x:v>ex-factory handover</x:v>
      </x:c>
      <x:c r="D471" s="30" t="n">
        <x:v>46235</x:v>
      </x:c>
      <x:c r="E471" s="30"/>
      <x:c r="F471" s="34" t="str">
        <x:f>IF(E471="","",E471-D471)</x:f>
      </x:c>
      <x:c r="G471" s="27" t="str">
        <x:v>Open</x:v>
      </x:c>
      <x:c r="H471" s="27" t="str">
        <x:v>Yes</x:v>
      </x:c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</x:row>
    <x:row r="472">
      <x:c r="A472" s="27" t="str">
        <x:v>TNA-044-01</x:v>
      </x:c>
      <x:c r="B472" s="27" t="str">
        <x:v>ORD-1144</x:v>
      </x:c>
      <x:c r="C472" s="27" t="str">
        <x:v>tech pack freeze</x:v>
      </x:c>
      <x:c r="D472" s="30" t="n">
        <x:v>46177</x:v>
      </x:c>
      <x:c r="E472" s="30"/>
      <x:c r="F472" s="34" t="str">
        <x:f>IF(E472="","",E472-D472)</x:f>
      </x:c>
      <x:c r="G472" s="27" t="str">
        <x:v>Open</x:v>
      </x:c>
      <x:c r="H472" s="27" t="str">
        <x:v>No</x:v>
      </x:c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</x:row>
    <x:row r="473">
      <x:c r="A473" s="27" t="str">
        <x:v>TNA-044-02</x:v>
      </x:c>
      <x:c r="B473" s="27" t="str">
        <x:v>ORD-1144</x:v>
      </x:c>
      <x:c r="C473" s="27" t="str">
        <x:v>line booking</x:v>
      </x:c>
      <x:c r="D473" s="30" t="n">
        <x:v>46181</x:v>
      </x:c>
      <x:c r="E473" s="30"/>
      <x:c r="F473" s="34" t="str">
        <x:f>IF(E473="","",E473-D473)</x:f>
      </x:c>
      <x:c r="G473" s="27" t="str">
        <x:v>Open</x:v>
      </x:c>
      <x:c r="H473" s="27" t="str">
        <x:v>No</x:v>
      </x:c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</x:row>
    <x:row r="474">
      <x:c r="A474" s="27" t="str">
        <x:v>TNA-044-03</x:v>
      </x:c>
      <x:c r="B474" s="27" t="str">
        <x:v>ORD-1144</x:v>
      </x:c>
      <x:c r="C474" s="27" t="str">
        <x:v>fabric/trim confirmation</x:v>
      </x:c>
      <x:c r="D474" s="30" t="n">
        <x:v>46185</x:v>
      </x:c>
      <x:c r="E474" s="30"/>
      <x:c r="F474" s="34" t="str">
        <x:f>IF(E474="","",E474-D474)</x:f>
      </x:c>
      <x:c r="G474" s="27" t="str">
        <x:v>Open</x:v>
      </x:c>
      <x:c r="H474" s="27" t="str">
        <x:v>No</x:v>
      </x:c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</x:row>
    <x:row r="475">
      <x:c r="A475" s="27" t="str">
        <x:v>TNA-044-04</x:v>
      </x:c>
      <x:c r="B475" s="27" t="str">
        <x:v>ORD-1144</x:v>
      </x:c>
      <x:c r="C475" s="27" t="str">
        <x:v>fit sample sent</x:v>
      </x:c>
      <x:c r="D475" s="30" t="n">
        <x:v>46189</x:v>
      </x:c>
      <x:c r="E475" s="30"/>
      <x:c r="F475" s="34" t="str">
        <x:f>IF(E475="","",E475-D475)</x:f>
      </x:c>
      <x:c r="G475" s="27" t="str">
        <x:v>Open</x:v>
      </x:c>
      <x:c r="H475" s="27" t="str">
        <x:v>No</x:v>
      </x:c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</x:row>
    <x:row r="476">
      <x:c r="A476" s="27" t="str">
        <x:v>TNA-044-05</x:v>
      </x:c>
      <x:c r="B476" s="27" t="str">
        <x:v>ORD-1144</x:v>
      </x:c>
      <x:c r="C476" s="27" t="str">
        <x:v>fit approval</x:v>
      </x:c>
      <x:c r="D476" s="30" t="n">
        <x:v>46193</x:v>
      </x:c>
      <x:c r="E476" s="30"/>
      <x:c r="F476" s="34" t="str">
        <x:f>IF(E476="","",E476-D476)</x:f>
      </x:c>
      <x:c r="G476" s="27" t="str">
        <x:v>Open</x:v>
      </x:c>
      <x:c r="H476" s="27" t="str">
        <x:v>No</x:v>
      </x:c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</x:row>
    <x:row r="477">
      <x:c r="A477" s="27" t="str">
        <x:v>TNA-044-06</x:v>
      </x:c>
      <x:c r="B477" s="27" t="str">
        <x:v>ORD-1144</x:v>
      </x:c>
      <x:c r="C477" s="27" t="str">
        <x:v>PP sample approval</x:v>
      </x:c>
      <x:c r="D477" s="30" t="n">
        <x:v>46201</x:v>
      </x:c>
      <x:c r="E477" s="30"/>
      <x:c r="F477" s="34" t="str">
        <x:f>IF(E477="","",E477-D477)</x:f>
      </x:c>
      <x:c r="G477" s="27" t="str">
        <x:v>Open</x:v>
      </x:c>
      <x:c r="H477" s="27" t="str">
        <x:v>Yes</x:v>
      </x:c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</x:row>
    <x:row r="478">
      <x:c r="A478" s="27" t="str">
        <x:v>TNA-044-07</x:v>
      </x:c>
      <x:c r="B478" s="27" t="str">
        <x:v>ORD-1144</x:v>
      </x:c>
      <x:c r="C478" s="27" t="str">
        <x:v>cutting start</x:v>
      </x:c>
      <x:c r="D478" s="30" t="n">
        <x:v>46207</x:v>
      </x:c>
      <x:c r="E478" s="30"/>
      <x:c r="F478" s="34" t="str">
        <x:f>IF(E478="","",E478-D478)</x:f>
      </x:c>
      <x:c r="G478" s="27" t="str">
        <x:v>Open</x:v>
      </x:c>
      <x:c r="H478" s="27" t="str">
        <x:v>Yes</x:v>
      </x:c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</x:row>
    <x:row r="479">
      <x:c r="A479" s="27" t="str">
        <x:v>TNA-044-08</x:v>
      </x:c>
      <x:c r="B479" s="27" t="str">
        <x:v>ORD-1144</x:v>
      </x:c>
      <x:c r="C479" s="27" t="str">
        <x:v>sewing start</x:v>
      </x:c>
      <x:c r="D479" s="30" t="n">
        <x:v>46210</x:v>
      </x:c>
      <x:c r="E479" s="30"/>
      <x:c r="F479" s="34" t="str">
        <x:f>IF(E479="","",E479-D479)</x:f>
      </x:c>
      <x:c r="G479" s="27" t="str">
        <x:v>Open</x:v>
      </x:c>
      <x:c r="H479" s="27" t="str">
        <x:v>Yes</x:v>
      </x:c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</x:row>
    <x:row r="480">
      <x:c r="A480" s="27" t="str">
        <x:v>TNA-044-09</x:v>
      </x:c>
      <x:c r="B480" s="27" t="str">
        <x:v>ORD-1144</x:v>
      </x:c>
      <x:c r="C480" s="27" t="str">
        <x:v>final QC</x:v>
      </x:c>
      <x:c r="D480" s="30" t="n">
        <x:v>46235</x:v>
      </x:c>
      <x:c r="E480" s="30"/>
      <x:c r="F480" s="34" t="str">
        <x:f>IF(E480="","",E480-D480)</x:f>
      </x:c>
      <x:c r="G480" s="27" t="str">
        <x:v>Open</x:v>
      </x:c>
      <x:c r="H480" s="27" t="str">
        <x:v>Yes</x:v>
      </x:c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</x:row>
    <x:row r="481">
      <x:c r="A481" s="27" t="str">
        <x:v>TNA-044-10</x:v>
      </x:c>
      <x:c r="B481" s="27" t="str">
        <x:v>ORD-1144</x:v>
      </x:c>
      <x:c r="C481" s="27" t="str">
        <x:v>ex-factory handover</x:v>
      </x:c>
      <x:c r="D481" s="30" t="n">
        <x:v>46238</x:v>
      </x:c>
      <x:c r="E481" s="30"/>
      <x:c r="F481" s="34" t="str">
        <x:f>IF(E481="","",E481-D481)</x:f>
      </x:c>
      <x:c r="G481" s="27" t="str">
        <x:v>Open</x:v>
      </x:c>
      <x:c r="H481" s="27" t="str">
        <x:v>Yes</x:v>
      </x:c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</x:row>
    <x:row r="482">
      <x:c r="A482" s="27" t="str">
        <x:v>TNA-045-01</x:v>
      </x:c>
      <x:c r="B482" s="27" t="str">
        <x:v>ORD-1145</x:v>
      </x:c>
      <x:c r="C482" s="27" t="str">
        <x:v>tech pack freeze</x:v>
      </x:c>
      <x:c r="D482" s="30" t="n">
        <x:v>46179</x:v>
      </x:c>
      <x:c r="E482" s="30"/>
      <x:c r="F482" s="34" t="str">
        <x:f>IF(E482="","",E482-D482)</x:f>
      </x:c>
      <x:c r="G482" s="27" t="str">
        <x:v>Open</x:v>
      </x:c>
      <x:c r="H482" s="27" t="str">
        <x:v>No</x:v>
      </x:c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</x:row>
    <x:row r="483">
      <x:c r="A483" s="27" t="str">
        <x:v>TNA-045-02</x:v>
      </x:c>
      <x:c r="B483" s="27" t="str">
        <x:v>ORD-1145</x:v>
      </x:c>
      <x:c r="C483" s="27" t="str">
        <x:v>line booking</x:v>
      </x:c>
      <x:c r="D483" s="30" t="n">
        <x:v>46183</x:v>
      </x:c>
      <x:c r="E483" s="30"/>
      <x:c r="F483" s="34" t="str">
        <x:f>IF(E483="","",E483-D483)</x:f>
      </x:c>
      <x:c r="G483" s="27" t="str">
        <x:v>Open</x:v>
      </x:c>
      <x:c r="H483" s="27" t="str">
        <x:v>No</x:v>
      </x:c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</x:row>
    <x:row r="484">
      <x:c r="A484" s="27" t="str">
        <x:v>TNA-045-03</x:v>
      </x:c>
      <x:c r="B484" s="27" t="str">
        <x:v>ORD-1145</x:v>
      </x:c>
      <x:c r="C484" s="27" t="str">
        <x:v>fabric/trim confirmation</x:v>
      </x:c>
      <x:c r="D484" s="30" t="n">
        <x:v>46187</x:v>
      </x:c>
      <x:c r="E484" s="30"/>
      <x:c r="F484" s="34" t="str">
        <x:f>IF(E484="","",E484-D484)</x:f>
      </x:c>
      <x:c r="G484" s="27" t="str">
        <x:v>Open</x:v>
      </x:c>
      <x:c r="H484" s="27" t="str">
        <x:v>No</x:v>
      </x:c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</x:row>
    <x:row r="485">
      <x:c r="A485" s="27" t="str">
        <x:v>TNA-045-04</x:v>
      </x:c>
      <x:c r="B485" s="27" t="str">
        <x:v>ORD-1145</x:v>
      </x:c>
      <x:c r="C485" s="27" t="str">
        <x:v>fit sample sent</x:v>
      </x:c>
      <x:c r="D485" s="30" t="n">
        <x:v>46191</x:v>
      </x:c>
      <x:c r="E485" s="30"/>
      <x:c r="F485" s="34" t="str">
        <x:f>IF(E485="","",E485-D485)</x:f>
      </x:c>
      <x:c r="G485" s="27" t="str">
        <x:v>Open</x:v>
      </x:c>
      <x:c r="H485" s="27" t="str">
        <x:v>No</x:v>
      </x:c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</x:row>
    <x:row r="486">
      <x:c r="A486" s="27" t="str">
        <x:v>TNA-045-05</x:v>
      </x:c>
      <x:c r="B486" s="27" t="str">
        <x:v>ORD-1145</x:v>
      </x:c>
      <x:c r="C486" s="27" t="str">
        <x:v>fit approval</x:v>
      </x:c>
      <x:c r="D486" s="30" t="n">
        <x:v>46195</x:v>
      </x:c>
      <x:c r="E486" s="30"/>
      <x:c r="F486" s="34" t="str">
        <x:f>IF(E486="","",E486-D486)</x:f>
      </x:c>
      <x:c r="G486" s="27" t="str">
        <x:v>Open</x:v>
      </x:c>
      <x:c r="H486" s="27" t="str">
        <x:v>No</x:v>
      </x:c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</x:row>
    <x:row r="487">
      <x:c r="A487" s="27" t="str">
        <x:v>TNA-045-06</x:v>
      </x:c>
      <x:c r="B487" s="27" t="str">
        <x:v>ORD-1145</x:v>
      </x:c>
      <x:c r="C487" s="27" t="str">
        <x:v>PP sample approval</x:v>
      </x:c>
      <x:c r="D487" s="30" t="n">
        <x:v>46203</x:v>
      </x:c>
      <x:c r="E487" s="30"/>
      <x:c r="F487" s="34" t="str">
        <x:f>IF(E487="","",E487-D487)</x:f>
      </x:c>
      <x:c r="G487" s="27" t="str">
        <x:v>Open</x:v>
      </x:c>
      <x:c r="H487" s="27" t="str">
        <x:v>Yes</x:v>
      </x:c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</x:row>
    <x:row r="488">
      <x:c r="A488" s="27" t="str">
        <x:v>TNA-045-07</x:v>
      </x:c>
      <x:c r="B488" s="27" t="str">
        <x:v>ORD-1145</x:v>
      </x:c>
      <x:c r="C488" s="27" t="str">
        <x:v>cutting start</x:v>
      </x:c>
      <x:c r="D488" s="30" t="n">
        <x:v>46209</x:v>
      </x:c>
      <x:c r="E488" s="30"/>
      <x:c r="F488" s="34" t="str">
        <x:f>IF(E488="","",E488-D488)</x:f>
      </x:c>
      <x:c r="G488" s="27" t="str">
        <x:v>Open</x:v>
      </x:c>
      <x:c r="H488" s="27" t="str">
        <x:v>Yes</x:v>
      </x:c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</x:row>
    <x:row r="489">
      <x:c r="A489" s="27" t="str">
        <x:v>TNA-045-08</x:v>
      </x:c>
      <x:c r="B489" s="27" t="str">
        <x:v>ORD-1145</x:v>
      </x:c>
      <x:c r="C489" s="27" t="str">
        <x:v>sewing start</x:v>
      </x:c>
      <x:c r="D489" s="30" t="n">
        <x:v>46212</x:v>
      </x:c>
      <x:c r="E489" s="30"/>
      <x:c r="F489" s="34" t="str">
        <x:f>IF(E489="","",E489-D489)</x:f>
      </x:c>
      <x:c r="G489" s="27" t="str">
        <x:v>Open</x:v>
      </x:c>
      <x:c r="H489" s="27" t="str">
        <x:v>Yes</x:v>
      </x:c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</x:row>
    <x:row r="490">
      <x:c r="A490" s="27" t="str">
        <x:v>TNA-045-09</x:v>
      </x:c>
      <x:c r="B490" s="27" t="str">
        <x:v>ORD-1145</x:v>
      </x:c>
      <x:c r="C490" s="27" t="str">
        <x:v>final QC</x:v>
      </x:c>
      <x:c r="D490" s="30" t="n">
        <x:v>46232</x:v>
      </x:c>
      <x:c r="E490" s="30"/>
      <x:c r="F490" s="34" t="str">
        <x:f>IF(E490="","",E490-D490)</x:f>
      </x:c>
      <x:c r="G490" s="27" t="str">
        <x:v>Open</x:v>
      </x:c>
      <x:c r="H490" s="27" t="str">
        <x:v>Yes</x:v>
      </x:c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</x:row>
    <x:row r="491">
      <x:c r="A491" s="27" t="str">
        <x:v>TNA-045-10</x:v>
      </x:c>
      <x:c r="B491" s="27" t="str">
        <x:v>ORD-1145</x:v>
      </x:c>
      <x:c r="C491" s="27" t="str">
        <x:v>ex-factory handover</x:v>
      </x:c>
      <x:c r="D491" s="30" t="n">
        <x:v>46235</x:v>
      </x:c>
      <x:c r="E491" s="30"/>
      <x:c r="F491" s="34" t="str">
        <x:f>IF(E491="","",E491-D491)</x:f>
      </x:c>
      <x:c r="G491" s="27" t="str">
        <x:v>Open</x:v>
      </x:c>
      <x:c r="H491" s="27" t="str">
        <x:v>Yes</x:v>
      </x:c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</x:row>
    <x:row r="492">
      <x:c r="A492" s="27" t="str">
        <x:v>TNA-046-01</x:v>
      </x:c>
      <x:c r="B492" s="27" t="str">
        <x:v>ORD-1146</x:v>
      </x:c>
      <x:c r="C492" s="27" t="str">
        <x:v>tech pack freeze</x:v>
      </x:c>
      <x:c r="D492" s="30" t="n">
        <x:v>46181</x:v>
      </x:c>
      <x:c r="E492" s="30"/>
      <x:c r="F492" s="34" t="str">
        <x:f>IF(E492="","",E492-D492)</x:f>
      </x:c>
      <x:c r="G492" s="27" t="str">
        <x:v>Open</x:v>
      </x:c>
      <x:c r="H492" s="27" t="str">
        <x:v>No</x:v>
      </x:c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</x:row>
    <x:row r="493">
      <x:c r="A493" s="27" t="str">
        <x:v>TNA-046-02</x:v>
      </x:c>
      <x:c r="B493" s="27" t="str">
        <x:v>ORD-1146</x:v>
      </x:c>
      <x:c r="C493" s="27" t="str">
        <x:v>line booking</x:v>
      </x:c>
      <x:c r="D493" s="30" t="n">
        <x:v>46185</x:v>
      </x:c>
      <x:c r="E493" s="30"/>
      <x:c r="F493" s="34" t="str">
        <x:f>IF(E493="","",E493-D493)</x:f>
      </x:c>
      <x:c r="G493" s="27" t="str">
        <x:v>Open</x:v>
      </x:c>
      <x:c r="H493" s="27" t="str">
        <x:v>No</x:v>
      </x:c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</x:row>
    <x:row r="494">
      <x:c r="A494" s="27" t="str">
        <x:v>TNA-046-03</x:v>
      </x:c>
      <x:c r="B494" s="27" t="str">
        <x:v>ORD-1146</x:v>
      </x:c>
      <x:c r="C494" s="27" t="str">
        <x:v>fabric/trim confirmation</x:v>
      </x:c>
      <x:c r="D494" s="30" t="n">
        <x:v>46189</x:v>
      </x:c>
      <x:c r="E494" s="30"/>
      <x:c r="F494" s="34" t="str">
        <x:f>IF(E494="","",E494-D494)</x:f>
      </x:c>
      <x:c r="G494" s="27" t="str">
        <x:v>Open</x:v>
      </x:c>
      <x:c r="H494" s="27" t="str">
        <x:v>No</x:v>
      </x:c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</x:row>
    <x:row r="495">
      <x:c r="A495" s="27" t="str">
        <x:v>TNA-046-04</x:v>
      </x:c>
      <x:c r="B495" s="27" t="str">
        <x:v>ORD-1146</x:v>
      </x:c>
      <x:c r="C495" s="27" t="str">
        <x:v>fit sample sent</x:v>
      </x:c>
      <x:c r="D495" s="30" t="n">
        <x:v>46193</x:v>
      </x:c>
      <x:c r="E495" s="30"/>
      <x:c r="F495" s="34" t="str">
        <x:f>IF(E495="","",E495-D495)</x:f>
      </x:c>
      <x:c r="G495" s="27" t="str">
        <x:v>Open</x:v>
      </x:c>
      <x:c r="H495" s="27" t="str">
        <x:v>No</x:v>
      </x:c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</x:row>
    <x:row r="496">
      <x:c r="A496" s="27" t="str">
        <x:v>TNA-046-05</x:v>
      </x:c>
      <x:c r="B496" s="27" t="str">
        <x:v>ORD-1146</x:v>
      </x:c>
      <x:c r="C496" s="27" t="str">
        <x:v>fit approval</x:v>
      </x:c>
      <x:c r="D496" s="30" t="n">
        <x:v>46197</x:v>
      </x:c>
      <x:c r="E496" s="30"/>
      <x:c r="F496" s="34" t="str">
        <x:f>IF(E496="","",E496-D496)</x:f>
      </x:c>
      <x:c r="G496" s="27" t="str">
        <x:v>Open</x:v>
      </x:c>
      <x:c r="H496" s="27" t="str">
        <x:v>No</x:v>
      </x:c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</x:row>
    <x:row r="497">
      <x:c r="A497" s="27" t="str">
        <x:v>TNA-046-06</x:v>
      </x:c>
      <x:c r="B497" s="27" t="str">
        <x:v>ORD-1146</x:v>
      </x:c>
      <x:c r="C497" s="27" t="str">
        <x:v>PP sample approval</x:v>
      </x:c>
      <x:c r="D497" s="30" t="n">
        <x:v>46205</x:v>
      </x:c>
      <x:c r="E497" s="30"/>
      <x:c r="F497" s="34" t="str">
        <x:f>IF(E497="","",E497-D497)</x:f>
      </x:c>
      <x:c r="G497" s="27" t="str">
        <x:v>Open</x:v>
      </x:c>
      <x:c r="H497" s="27" t="str">
        <x:v>Yes</x:v>
      </x:c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</x:row>
    <x:row r="498">
      <x:c r="A498" s="27" t="str">
        <x:v>TNA-046-07</x:v>
      </x:c>
      <x:c r="B498" s="27" t="str">
        <x:v>ORD-1146</x:v>
      </x:c>
      <x:c r="C498" s="27" t="str">
        <x:v>cutting start</x:v>
      </x:c>
      <x:c r="D498" s="30" t="n">
        <x:v>46211</x:v>
      </x:c>
      <x:c r="E498" s="30"/>
      <x:c r="F498" s="34" t="str">
        <x:f>IF(E498="","",E498-D498)</x:f>
      </x:c>
      <x:c r="G498" s="27" t="str">
        <x:v>Open</x:v>
      </x:c>
      <x:c r="H498" s="27" t="str">
        <x:v>Yes</x:v>
      </x:c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</x:row>
    <x:row r="499">
      <x:c r="A499" s="27" t="str">
        <x:v>TNA-046-08</x:v>
      </x:c>
      <x:c r="B499" s="27" t="str">
        <x:v>ORD-1146</x:v>
      </x:c>
      <x:c r="C499" s="27" t="str">
        <x:v>sewing start</x:v>
      </x:c>
      <x:c r="D499" s="30" t="n">
        <x:v>46214</x:v>
      </x:c>
      <x:c r="E499" s="30"/>
      <x:c r="F499" s="34" t="str">
        <x:f>IF(E499="","",E499-D499)</x:f>
      </x:c>
      <x:c r="G499" s="27" t="str">
        <x:v>Open</x:v>
      </x:c>
      <x:c r="H499" s="27" t="str">
        <x:v>Yes</x:v>
      </x:c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</x:row>
    <x:row r="500">
      <x:c r="A500" s="27" t="str">
        <x:v>TNA-046-09</x:v>
      </x:c>
      <x:c r="B500" s="27" t="str">
        <x:v>ORD-1146</x:v>
      </x:c>
      <x:c r="C500" s="27" t="str">
        <x:v>final QC</x:v>
      </x:c>
      <x:c r="D500" s="30" t="n">
        <x:v>46227</x:v>
      </x:c>
      <x:c r="E500" s="30"/>
      <x:c r="F500" s="34" t="str">
        <x:f>IF(E500="","",E500-D500)</x:f>
      </x:c>
      <x:c r="G500" s="27" t="str">
        <x:v>Open</x:v>
      </x:c>
      <x:c r="H500" s="27" t="str">
        <x:v>Yes</x:v>
      </x:c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</x:row>
    <x:row r="501">
      <x:c r="A501" s="27" t="str">
        <x:v>TNA-046-10</x:v>
      </x:c>
      <x:c r="B501" s="27" t="str">
        <x:v>ORD-1146</x:v>
      </x:c>
      <x:c r="C501" s="27" t="str">
        <x:v>ex-factory handover</x:v>
      </x:c>
      <x:c r="D501" s="30" t="n">
        <x:v>46230</x:v>
      </x:c>
      <x:c r="E501" s="30"/>
      <x:c r="F501" s="34" t="str">
        <x:f>IF(E501="","",E501-D501)</x:f>
      </x:c>
      <x:c r="G501" s="27" t="str">
        <x:v>Open</x:v>
      </x:c>
      <x:c r="H501" s="27" t="str">
        <x:v>Yes</x:v>
      </x:c>
      <x:c r="I501" s="27"/>
      <x:c r="J501" s="27"/>
      <x:c r="K501" s="27"/>
      <x:c r="L501" s="27"/>
      <x:c r="M501" s="27"/>
      <x:c r="N501" s="27"/>
      <x:c r="O501" s="27"/>
      <x:c r="P501" s="27"/>
      <x:c r="Q501" s="27"/>
      <x:c r="R501" s="27"/>
      <x:c r="S501" s="27"/>
      <x:c r="T501" s="27"/>
      <x:c r="U501" s="27"/>
      <x:c r="V501" s="27"/>
      <x:c r="W501" s="27"/>
    </x:row>
    <x:row r="502">
      <x:c r="A502" s="27" t="str">
        <x:v>TNA-047-01</x:v>
      </x:c>
      <x:c r="B502" s="27" t="str">
        <x:v>ORD-1147</x:v>
      </x:c>
      <x:c r="C502" s="27" t="str">
        <x:v>tech pack freeze</x:v>
      </x:c>
      <x:c r="D502" s="30" t="n">
        <x:v>46183</x:v>
      </x:c>
      <x:c r="E502" s="30"/>
      <x:c r="F502" s="34" t="str">
        <x:f>IF(E502="","",E502-D502)</x:f>
      </x:c>
      <x:c r="G502" s="27" t="str">
        <x:v>Open</x:v>
      </x:c>
      <x:c r="H502" s="27" t="str">
        <x:v>No</x:v>
      </x:c>
      <x:c r="I502" s="27"/>
      <x:c r="J502" s="27"/>
      <x:c r="K502" s="27"/>
      <x:c r="L502" s="27"/>
      <x:c r="M502" s="27"/>
      <x:c r="N502" s="27"/>
      <x:c r="O502" s="27"/>
      <x:c r="P502" s="27"/>
      <x:c r="Q502" s="27"/>
      <x:c r="R502" s="27"/>
      <x:c r="S502" s="27"/>
      <x:c r="T502" s="27"/>
      <x:c r="U502" s="27"/>
      <x:c r="V502" s="27"/>
      <x:c r="W502" s="27"/>
    </x:row>
    <x:row r="503">
      <x:c r="A503" s="27" t="str">
        <x:v>TNA-047-02</x:v>
      </x:c>
      <x:c r="B503" s="27" t="str">
        <x:v>ORD-1147</x:v>
      </x:c>
      <x:c r="C503" s="27" t="str">
        <x:v>line booking</x:v>
      </x:c>
      <x:c r="D503" s="30" t="n">
        <x:v>46187</x:v>
      </x:c>
      <x:c r="E503" s="30"/>
      <x:c r="F503" s="34" t="str">
        <x:f>IF(E503="","",E503-D503)</x:f>
      </x:c>
      <x:c r="G503" s="27" t="str">
        <x:v>Open</x:v>
      </x:c>
      <x:c r="H503" s="27" t="str">
        <x:v>No</x:v>
      </x:c>
      <x:c r="I503" s="27"/>
      <x:c r="J503" s="27"/>
      <x:c r="K503" s="27"/>
      <x:c r="L503" s="27"/>
      <x:c r="M503" s="27"/>
      <x:c r="N503" s="27"/>
      <x:c r="O503" s="27"/>
      <x:c r="P503" s="27"/>
      <x:c r="Q503" s="27"/>
      <x:c r="R503" s="27"/>
      <x:c r="S503" s="27"/>
      <x:c r="T503" s="27"/>
      <x:c r="U503" s="27"/>
      <x:c r="V503" s="27"/>
      <x:c r="W503" s="27"/>
    </x:row>
    <x:row r="504">
      <x:c r="A504" s="27" t="str">
        <x:v>TNA-047-03</x:v>
      </x:c>
      <x:c r="B504" s="27" t="str">
        <x:v>ORD-1147</x:v>
      </x:c>
      <x:c r="C504" s="27" t="str">
        <x:v>fabric/trim confirmation</x:v>
      </x:c>
      <x:c r="D504" s="30" t="n">
        <x:v>46191</x:v>
      </x:c>
      <x:c r="E504" s="30"/>
      <x:c r="F504" s="34" t="str">
        <x:f>IF(E504="","",E504-D504)</x:f>
      </x:c>
      <x:c r="G504" s="27" t="str">
        <x:v>Open</x:v>
      </x:c>
      <x:c r="H504" s="27" t="str">
        <x:v>No</x:v>
      </x:c>
      <x:c r="I504" s="27"/>
      <x:c r="J504" s="27"/>
      <x:c r="K504" s="27"/>
      <x:c r="L504" s="27"/>
      <x:c r="M504" s="27"/>
      <x:c r="N504" s="27"/>
      <x:c r="O504" s="27"/>
      <x:c r="P504" s="27"/>
      <x:c r="Q504" s="27"/>
      <x:c r="R504" s="27"/>
      <x:c r="S504" s="27"/>
      <x:c r="T504" s="27"/>
      <x:c r="U504" s="27"/>
      <x:c r="V504" s="27"/>
      <x:c r="W504" s="27"/>
    </x:row>
    <x:row r="505">
      <x:c r="A505" s="27" t="str">
        <x:v>TNA-047-04</x:v>
      </x:c>
      <x:c r="B505" s="27" t="str">
        <x:v>ORD-1147</x:v>
      </x:c>
      <x:c r="C505" s="27" t="str">
        <x:v>fit sample sent</x:v>
      </x:c>
      <x:c r="D505" s="30" t="n">
        <x:v>46195</x:v>
      </x:c>
      <x:c r="E505" s="30"/>
      <x:c r="F505" s="34" t="str">
        <x:f>IF(E505="","",E505-D505)</x:f>
      </x:c>
      <x:c r="G505" s="27" t="str">
        <x:v>Open</x:v>
      </x:c>
      <x:c r="H505" s="27" t="str">
        <x:v>No</x:v>
      </x:c>
      <x:c r="I505" s="27"/>
      <x:c r="J505" s="27"/>
      <x:c r="K505" s="27"/>
      <x:c r="L505" s="27"/>
      <x:c r="M505" s="27"/>
      <x:c r="N505" s="27"/>
      <x:c r="O505" s="27"/>
      <x:c r="P505" s="27"/>
      <x:c r="Q505" s="27"/>
      <x:c r="R505" s="27"/>
      <x:c r="S505" s="27"/>
      <x:c r="T505" s="27"/>
      <x:c r="U505" s="27"/>
      <x:c r="V505" s="27"/>
      <x:c r="W505" s="27"/>
    </x:row>
    <x:row r="506">
      <x:c r="A506" s="27" t="str">
        <x:v>TNA-047-05</x:v>
      </x:c>
      <x:c r="B506" s="27" t="str">
        <x:v>ORD-1147</x:v>
      </x:c>
      <x:c r="C506" s="27" t="str">
        <x:v>fit approval</x:v>
      </x:c>
      <x:c r="D506" s="30" t="n">
        <x:v>46199</x:v>
      </x:c>
      <x:c r="E506" s="30"/>
      <x:c r="F506" s="34" t="str">
        <x:f>IF(E506="","",E506-D506)</x:f>
      </x:c>
      <x:c r="G506" s="27" t="str">
        <x:v>Open</x:v>
      </x:c>
      <x:c r="H506" s="27" t="str">
        <x:v>No</x:v>
      </x:c>
      <x:c r="I506" s="27"/>
      <x:c r="J506" s="27"/>
      <x:c r="K506" s="27"/>
      <x:c r="L506" s="27"/>
      <x:c r="M506" s="27"/>
      <x:c r="N506" s="27"/>
      <x:c r="O506" s="27"/>
      <x:c r="P506" s="27"/>
      <x:c r="Q506" s="27"/>
      <x:c r="R506" s="27"/>
      <x:c r="S506" s="27"/>
      <x:c r="T506" s="27"/>
      <x:c r="U506" s="27"/>
      <x:c r="V506" s="27"/>
      <x:c r="W506" s="27"/>
    </x:row>
    <x:row r="507">
      <x:c r="A507" s="27" t="str">
        <x:v>TNA-047-06</x:v>
      </x:c>
      <x:c r="B507" s="27" t="str">
        <x:v>ORD-1147</x:v>
      </x:c>
      <x:c r="C507" s="27" t="str">
        <x:v>PP sample approval</x:v>
      </x:c>
      <x:c r="D507" s="30" t="n">
        <x:v>46207</x:v>
      </x:c>
      <x:c r="E507" s="30"/>
      <x:c r="F507" s="34" t="str">
        <x:f>IF(E507="","",E507-D507)</x:f>
      </x:c>
      <x:c r="G507" s="27" t="str">
        <x:v>Open</x:v>
      </x:c>
      <x:c r="H507" s="27" t="str">
        <x:v>Yes</x:v>
      </x:c>
      <x:c r="I507" s="27"/>
      <x:c r="J507" s="27"/>
      <x:c r="K507" s="27"/>
      <x:c r="L507" s="27"/>
      <x:c r="M507" s="27"/>
      <x:c r="N507" s="27"/>
      <x:c r="O507" s="27"/>
      <x:c r="P507" s="27"/>
      <x:c r="Q507" s="27"/>
      <x:c r="R507" s="27"/>
      <x:c r="S507" s="27"/>
      <x:c r="T507" s="27"/>
      <x:c r="U507" s="27"/>
      <x:c r="V507" s="27"/>
      <x:c r="W507" s="27"/>
    </x:row>
    <x:row r="508">
      <x:c r="A508" s="27" t="str">
        <x:v>TNA-047-07</x:v>
      </x:c>
      <x:c r="B508" s="27" t="str">
        <x:v>ORD-1147</x:v>
      </x:c>
      <x:c r="C508" s="27" t="str">
        <x:v>cutting start</x:v>
      </x:c>
      <x:c r="D508" s="30" t="n">
        <x:v>46213</x:v>
      </x:c>
      <x:c r="E508" s="30"/>
      <x:c r="F508" s="34" t="str">
        <x:f>IF(E508="","",E508-D508)</x:f>
      </x:c>
      <x:c r="G508" s="27" t="str">
        <x:v>Open</x:v>
      </x:c>
      <x:c r="H508" s="27" t="str">
        <x:v>Yes</x:v>
      </x:c>
      <x:c r="I508" s="27"/>
      <x:c r="J508" s="27"/>
      <x:c r="K508" s="27"/>
      <x:c r="L508" s="27"/>
      <x:c r="M508" s="27"/>
      <x:c r="N508" s="27"/>
      <x:c r="O508" s="27"/>
      <x:c r="P508" s="27"/>
      <x:c r="Q508" s="27"/>
      <x:c r="R508" s="27"/>
      <x:c r="S508" s="27"/>
      <x:c r="T508" s="27"/>
      <x:c r="U508" s="27"/>
      <x:c r="V508" s="27"/>
      <x:c r="W508" s="27"/>
    </x:row>
    <x:row r="509">
      <x:c r="A509" s="27" t="str">
        <x:v>TNA-047-08</x:v>
      </x:c>
      <x:c r="B509" s="27" t="str">
        <x:v>ORD-1147</x:v>
      </x:c>
      <x:c r="C509" s="27" t="str">
        <x:v>sewing start</x:v>
      </x:c>
      <x:c r="D509" s="30" t="n">
        <x:v>46216</x:v>
      </x:c>
      <x:c r="E509" s="30"/>
      <x:c r="F509" s="34" t="str">
        <x:f>IF(E509="","",E509-D509)</x:f>
      </x:c>
      <x:c r="G509" s="27" t="str">
        <x:v>Open</x:v>
      </x:c>
      <x:c r="H509" s="27" t="str">
        <x:v>Yes</x:v>
      </x:c>
      <x:c r="I509" s="27"/>
      <x:c r="J509" s="27"/>
      <x:c r="K509" s="27"/>
      <x:c r="L509" s="27"/>
      <x:c r="M509" s="27"/>
      <x:c r="N509" s="27"/>
      <x:c r="O509" s="27"/>
      <x:c r="P509" s="27"/>
      <x:c r="Q509" s="27"/>
      <x:c r="R509" s="27"/>
      <x:c r="S509" s="27"/>
      <x:c r="T509" s="27"/>
      <x:c r="U509" s="27"/>
      <x:c r="V509" s="27"/>
      <x:c r="W509" s="27"/>
    </x:row>
    <x:row r="510">
      <x:c r="A510" s="27" t="str">
        <x:v>TNA-047-09</x:v>
      </x:c>
      <x:c r="B510" s="27" t="str">
        <x:v>ORD-1147</x:v>
      </x:c>
      <x:c r="C510" s="27" t="str">
        <x:v>final QC</x:v>
      </x:c>
      <x:c r="D510" s="30" t="n">
        <x:v>46228</x:v>
      </x:c>
      <x:c r="E510" s="30"/>
      <x:c r="F510" s="34" t="str">
        <x:f>IF(E510="","",E510-D510)</x:f>
      </x:c>
      <x:c r="G510" s="27" t="str">
        <x:v>Open</x:v>
      </x:c>
      <x:c r="H510" s="27" t="str">
        <x:v>Yes</x:v>
      </x:c>
      <x:c r="I510" s="27"/>
      <x:c r="J510" s="27"/>
      <x:c r="K510" s="27"/>
      <x:c r="L510" s="27"/>
      <x:c r="M510" s="27"/>
      <x:c r="N510" s="27"/>
      <x:c r="O510" s="27"/>
      <x:c r="P510" s="27"/>
      <x:c r="Q510" s="27"/>
      <x:c r="R510" s="27"/>
      <x:c r="S510" s="27"/>
      <x:c r="T510" s="27"/>
      <x:c r="U510" s="27"/>
      <x:c r="V510" s="27"/>
      <x:c r="W510" s="27"/>
    </x:row>
    <x:row r="511">
      <x:c r="A511" s="27" t="str">
        <x:v>TNA-047-10</x:v>
      </x:c>
      <x:c r="B511" s="27" t="str">
        <x:v>ORD-1147</x:v>
      </x:c>
      <x:c r="C511" s="27" t="str">
        <x:v>ex-factory handover</x:v>
      </x:c>
      <x:c r="D511" s="30" t="n">
        <x:v>46231</x:v>
      </x:c>
      <x:c r="E511" s="30"/>
      <x:c r="F511" s="34" t="str">
        <x:f>IF(E511="","",E511-D511)</x:f>
      </x:c>
      <x:c r="G511" s="27" t="str">
        <x:v>Open</x:v>
      </x:c>
      <x:c r="H511" s="27" t="str">
        <x:v>Yes</x:v>
      </x:c>
      <x:c r="I511" s="27"/>
      <x:c r="J511" s="27"/>
      <x:c r="K511" s="27"/>
      <x:c r="L511" s="27"/>
      <x:c r="M511" s="27"/>
      <x:c r="N511" s="27"/>
      <x:c r="O511" s="27"/>
      <x:c r="P511" s="27"/>
      <x:c r="Q511" s="27"/>
      <x:c r="R511" s="27"/>
      <x:c r="S511" s="27"/>
      <x:c r="T511" s="27"/>
      <x:c r="U511" s="27"/>
      <x:c r="V511" s="27"/>
      <x:c r="W511" s="27"/>
    </x:row>
    <x:row r="512">
      <x:c r="A512" s="27" t="str">
        <x:v>TNA-048-01</x:v>
      </x:c>
      <x:c r="B512" s="27" t="str">
        <x:v>ORD-1148</x:v>
      </x:c>
      <x:c r="C512" s="27" t="str">
        <x:v>tech pack freeze</x:v>
      </x:c>
      <x:c r="D512" s="30" t="n">
        <x:v>46185</x:v>
      </x:c>
      <x:c r="E512" s="30"/>
      <x:c r="F512" s="34" t="str">
        <x:f>IF(E512="","",E512-D512)</x:f>
      </x:c>
      <x:c r="G512" s="27" t="str">
        <x:v>Open</x:v>
      </x:c>
      <x:c r="H512" s="27" t="str">
        <x:v>No</x:v>
      </x:c>
      <x:c r="I512" s="27"/>
      <x:c r="J512" s="27"/>
      <x:c r="K512" s="27"/>
      <x:c r="L512" s="27"/>
      <x:c r="M512" s="27"/>
      <x:c r="N512" s="27"/>
      <x:c r="O512" s="27"/>
      <x:c r="P512" s="27"/>
      <x:c r="Q512" s="27"/>
      <x:c r="R512" s="27"/>
      <x:c r="S512" s="27"/>
      <x:c r="T512" s="27"/>
      <x:c r="U512" s="27"/>
      <x:c r="V512" s="27"/>
      <x:c r="W512" s="27"/>
    </x:row>
    <x:row r="513">
      <x:c r="A513" s="27" t="str">
        <x:v>TNA-048-02</x:v>
      </x:c>
      <x:c r="B513" s="27" t="str">
        <x:v>ORD-1148</x:v>
      </x:c>
      <x:c r="C513" s="27" t="str">
        <x:v>line booking</x:v>
      </x:c>
      <x:c r="D513" s="30" t="n">
        <x:v>46189</x:v>
      </x:c>
      <x:c r="E513" s="30"/>
      <x:c r="F513" s="34" t="str">
        <x:f>IF(E513="","",E513-D513)</x:f>
      </x:c>
      <x:c r="G513" s="27" t="str">
        <x:v>Open</x:v>
      </x:c>
      <x:c r="H513" s="27" t="str">
        <x:v>No</x:v>
      </x:c>
      <x:c r="I513" s="27"/>
      <x:c r="J513" s="27"/>
      <x:c r="K513" s="27"/>
      <x:c r="L513" s="27"/>
      <x:c r="M513" s="27"/>
      <x:c r="N513" s="27"/>
      <x:c r="O513" s="27"/>
      <x:c r="P513" s="27"/>
      <x:c r="Q513" s="27"/>
      <x:c r="R513" s="27"/>
      <x:c r="S513" s="27"/>
      <x:c r="T513" s="27"/>
      <x:c r="U513" s="27"/>
      <x:c r="V513" s="27"/>
      <x:c r="W513" s="27"/>
    </x:row>
    <x:row r="514">
      <x:c r="A514" s="27" t="str">
        <x:v>TNA-048-03</x:v>
      </x:c>
      <x:c r="B514" s="27" t="str">
        <x:v>ORD-1148</x:v>
      </x:c>
      <x:c r="C514" s="27" t="str">
        <x:v>fabric/trim confirmation</x:v>
      </x:c>
      <x:c r="D514" s="30" t="n">
        <x:v>46193</x:v>
      </x:c>
      <x:c r="E514" s="30"/>
      <x:c r="F514" s="34" t="str">
        <x:f>IF(E514="","",E514-D514)</x:f>
      </x:c>
      <x:c r="G514" s="27" t="str">
        <x:v>Open</x:v>
      </x:c>
      <x:c r="H514" s="27" t="str">
        <x:v>No</x:v>
      </x:c>
      <x:c r="I514" s="27"/>
      <x:c r="J514" s="27"/>
      <x:c r="K514" s="27"/>
      <x:c r="L514" s="27"/>
      <x:c r="M514" s="27"/>
      <x:c r="N514" s="27"/>
      <x:c r="O514" s="27"/>
      <x:c r="P514" s="27"/>
      <x:c r="Q514" s="27"/>
      <x:c r="R514" s="27"/>
      <x:c r="S514" s="27"/>
      <x:c r="T514" s="27"/>
      <x:c r="U514" s="27"/>
      <x:c r="V514" s="27"/>
      <x:c r="W514" s="27"/>
    </x:row>
    <x:row r="515">
      <x:c r="A515" s="27" t="str">
        <x:v>TNA-048-04</x:v>
      </x:c>
      <x:c r="B515" s="27" t="str">
        <x:v>ORD-1148</x:v>
      </x:c>
      <x:c r="C515" s="27" t="str">
        <x:v>fit sample sent</x:v>
      </x:c>
      <x:c r="D515" s="30" t="n">
        <x:v>46197</x:v>
      </x:c>
      <x:c r="E515" s="30"/>
      <x:c r="F515" s="34" t="str">
        <x:f>IF(E515="","",E515-D515)</x:f>
      </x:c>
      <x:c r="G515" s="27" t="str">
        <x:v>Open</x:v>
      </x:c>
      <x:c r="H515" s="27" t="str">
        <x:v>No</x:v>
      </x:c>
      <x:c r="I515" s="27"/>
      <x:c r="J515" s="27"/>
      <x:c r="K515" s="27"/>
      <x:c r="L515" s="27"/>
      <x:c r="M515" s="27"/>
      <x:c r="N515" s="27"/>
      <x:c r="O515" s="27"/>
      <x:c r="P515" s="27"/>
      <x:c r="Q515" s="27"/>
      <x:c r="R515" s="27"/>
      <x:c r="S515" s="27"/>
      <x:c r="T515" s="27"/>
      <x:c r="U515" s="27"/>
      <x:c r="V515" s="27"/>
      <x:c r="W515" s="27"/>
    </x:row>
    <x:row r="516">
      <x:c r="A516" s="27" t="str">
        <x:v>TNA-048-05</x:v>
      </x:c>
      <x:c r="B516" s="27" t="str">
        <x:v>ORD-1148</x:v>
      </x:c>
      <x:c r="C516" s="27" t="str">
        <x:v>fit approval</x:v>
      </x:c>
      <x:c r="D516" s="30" t="n">
        <x:v>46201</x:v>
      </x:c>
      <x:c r="E516" s="30"/>
      <x:c r="F516" s="34" t="str">
        <x:f>IF(E516="","",E516-D516)</x:f>
      </x:c>
      <x:c r="G516" s="27" t="str">
        <x:v>Open</x:v>
      </x:c>
      <x:c r="H516" s="27" t="str">
        <x:v>No</x:v>
      </x:c>
      <x:c r="I516" s="27"/>
      <x:c r="J516" s="27"/>
      <x:c r="K516" s="27"/>
      <x:c r="L516" s="27"/>
      <x:c r="M516" s="27"/>
      <x:c r="N516" s="27"/>
      <x:c r="O516" s="27"/>
      <x:c r="P516" s="27"/>
      <x:c r="Q516" s="27"/>
      <x:c r="R516" s="27"/>
      <x:c r="S516" s="27"/>
      <x:c r="T516" s="27"/>
      <x:c r="U516" s="27"/>
      <x:c r="V516" s="27"/>
      <x:c r="W516" s="27"/>
    </x:row>
    <x:row r="517">
      <x:c r="A517" s="27" t="str">
        <x:v>TNA-048-06</x:v>
      </x:c>
      <x:c r="B517" s="27" t="str">
        <x:v>ORD-1148</x:v>
      </x:c>
      <x:c r="C517" s="27" t="str">
        <x:v>PP sample approval</x:v>
      </x:c>
      <x:c r="D517" s="30" t="n">
        <x:v>46209</x:v>
      </x:c>
      <x:c r="E517" s="30"/>
      <x:c r="F517" s="34" t="str">
        <x:f>IF(E517="","",E517-D517)</x:f>
      </x:c>
      <x:c r="G517" s="27" t="str">
        <x:v>Open</x:v>
      </x:c>
      <x:c r="H517" s="27" t="str">
        <x:v>Yes</x:v>
      </x:c>
      <x:c r="I517" s="27"/>
      <x:c r="J517" s="27"/>
      <x:c r="K517" s="27"/>
      <x:c r="L517" s="27"/>
      <x:c r="M517" s="27"/>
      <x:c r="N517" s="27"/>
      <x:c r="O517" s="27"/>
      <x:c r="P517" s="27"/>
      <x:c r="Q517" s="27"/>
      <x:c r="R517" s="27"/>
      <x:c r="S517" s="27"/>
      <x:c r="T517" s="27"/>
      <x:c r="U517" s="27"/>
      <x:c r="V517" s="27"/>
      <x:c r="W517" s="27"/>
    </x:row>
    <x:row r="518">
      <x:c r="A518" s="27" t="str">
        <x:v>TNA-048-07</x:v>
      </x:c>
      <x:c r="B518" s="27" t="str">
        <x:v>ORD-1148</x:v>
      </x:c>
      <x:c r="C518" s="27" t="str">
        <x:v>cutting start</x:v>
      </x:c>
      <x:c r="D518" s="30" t="n">
        <x:v>46215</x:v>
      </x:c>
      <x:c r="E518" s="30"/>
      <x:c r="F518" s="34" t="str">
        <x:f>IF(E518="","",E518-D518)</x:f>
      </x:c>
      <x:c r="G518" s="27" t="str">
        <x:v>Open</x:v>
      </x:c>
      <x:c r="H518" s="27" t="str">
        <x:v>Yes</x:v>
      </x:c>
      <x:c r="I518" s="27"/>
      <x:c r="J518" s="27"/>
      <x:c r="K518" s="27"/>
      <x:c r="L518" s="27"/>
      <x:c r="M518" s="27"/>
      <x:c r="N518" s="27"/>
      <x:c r="O518" s="27"/>
      <x:c r="P518" s="27"/>
      <x:c r="Q518" s="27"/>
      <x:c r="R518" s="27"/>
      <x:c r="S518" s="27"/>
      <x:c r="T518" s="27"/>
      <x:c r="U518" s="27"/>
      <x:c r="V518" s="27"/>
      <x:c r="W518" s="27"/>
    </x:row>
    <x:row r="519">
      <x:c r="A519" s="27" t="str">
        <x:v>TNA-048-08</x:v>
      </x:c>
      <x:c r="B519" s="27" t="str">
        <x:v>ORD-1148</x:v>
      </x:c>
      <x:c r="C519" s="27" t="str">
        <x:v>sewing start</x:v>
      </x:c>
      <x:c r="D519" s="30" t="n">
        <x:v>46218</x:v>
      </x:c>
      <x:c r="E519" s="30"/>
      <x:c r="F519" s="34" t="str">
        <x:f>IF(E519="","",E519-D519)</x:f>
      </x:c>
      <x:c r="G519" s="27" t="str">
        <x:v>Open</x:v>
      </x:c>
      <x:c r="H519" s="27" t="str">
        <x:v>Yes</x:v>
      </x:c>
      <x:c r="I519" s="27"/>
      <x:c r="J519" s="27"/>
      <x:c r="K519" s="27"/>
      <x:c r="L519" s="27"/>
      <x:c r="M519" s="27"/>
      <x:c r="N519" s="27"/>
      <x:c r="O519" s="27"/>
      <x:c r="P519" s="27"/>
      <x:c r="Q519" s="27"/>
      <x:c r="R519" s="27"/>
      <x:c r="S519" s="27"/>
      <x:c r="T519" s="27"/>
      <x:c r="U519" s="27"/>
      <x:c r="V519" s="27"/>
      <x:c r="W519" s="27"/>
    </x:row>
    <x:row r="520">
      <x:c r="A520" s="27" t="str">
        <x:v>TNA-048-09</x:v>
      </x:c>
      <x:c r="B520" s="27" t="str">
        <x:v>ORD-1148</x:v>
      </x:c>
      <x:c r="C520" s="27" t="str">
        <x:v>final QC</x:v>
      </x:c>
      <x:c r="D520" s="30" t="n">
        <x:v>46236</x:v>
      </x:c>
      <x:c r="E520" s="30"/>
      <x:c r="F520" s="34" t="str">
        <x:f>IF(E520="","",E520-D520)</x:f>
      </x:c>
      <x:c r="G520" s="27" t="str">
        <x:v>Open</x:v>
      </x:c>
      <x:c r="H520" s="27" t="str">
        <x:v>Yes</x:v>
      </x:c>
      <x:c r="I520" s="27"/>
      <x:c r="J520" s="27"/>
      <x:c r="K520" s="27"/>
      <x:c r="L520" s="27"/>
      <x:c r="M520" s="27"/>
      <x:c r="N520" s="27"/>
      <x:c r="O520" s="27"/>
      <x:c r="P520" s="27"/>
      <x:c r="Q520" s="27"/>
      <x:c r="R520" s="27"/>
      <x:c r="S520" s="27"/>
      <x:c r="T520" s="27"/>
      <x:c r="U520" s="27"/>
      <x:c r="V520" s="27"/>
      <x:c r="W520" s="27"/>
    </x:row>
    <x:row r="521">
      <x:c r="A521" s="27" t="str">
        <x:v>TNA-048-10</x:v>
      </x:c>
      <x:c r="B521" s="27" t="str">
        <x:v>ORD-1148</x:v>
      </x:c>
      <x:c r="C521" s="27" t="str">
        <x:v>ex-factory handover</x:v>
      </x:c>
      <x:c r="D521" s="30" t="n">
        <x:v>46239</x:v>
      </x:c>
      <x:c r="E521" s="30"/>
      <x:c r="F521" s="34" t="str">
        <x:f>IF(E521="","",E521-D521)</x:f>
      </x:c>
      <x:c r="G521" s="27" t="str">
        <x:v>Open</x:v>
      </x:c>
      <x:c r="H521" s="27" t="str">
        <x:v>Yes</x:v>
      </x:c>
      <x:c r="I521" s="27"/>
      <x:c r="J521" s="27"/>
      <x:c r="K521" s="27"/>
      <x:c r="L521" s="27"/>
      <x:c r="M521" s="27"/>
      <x:c r="N521" s="27"/>
      <x:c r="O521" s="27"/>
      <x:c r="P521" s="27"/>
      <x:c r="Q521" s="27"/>
      <x:c r="R521" s="27"/>
      <x:c r="S521" s="27"/>
      <x:c r="T521" s="27"/>
      <x:c r="U521" s="27"/>
      <x:c r="V521" s="27"/>
      <x:c r="W521" s="27"/>
    </x:row>
    <x:row r="522">
      <x:c r="A522" s="27" t="str">
        <x:v>TNA-049-01</x:v>
      </x:c>
      <x:c r="B522" s="27" t="str">
        <x:v>ORD-1149</x:v>
      </x:c>
      <x:c r="C522" s="27" t="str">
        <x:v>tech pack freeze</x:v>
      </x:c>
      <x:c r="D522" s="30" t="n">
        <x:v>46187</x:v>
      </x:c>
      <x:c r="E522" s="30"/>
      <x:c r="F522" s="34" t="str">
        <x:f>IF(E522="","",E522-D522)</x:f>
      </x:c>
      <x:c r="G522" s="27" t="str">
        <x:v>Open</x:v>
      </x:c>
      <x:c r="H522" s="27" t="str">
        <x:v>No</x:v>
      </x:c>
      <x:c r="I522" s="27"/>
      <x:c r="J522" s="27"/>
      <x:c r="K522" s="27"/>
      <x:c r="L522" s="27"/>
      <x:c r="M522" s="27"/>
      <x:c r="N522" s="27"/>
      <x:c r="O522" s="27"/>
      <x:c r="P522" s="27"/>
      <x:c r="Q522" s="27"/>
      <x:c r="R522" s="27"/>
      <x:c r="S522" s="27"/>
      <x:c r="T522" s="27"/>
      <x:c r="U522" s="27"/>
      <x:c r="V522" s="27"/>
      <x:c r="W522" s="27"/>
    </x:row>
    <x:row r="523">
      <x:c r="A523" s="27" t="str">
        <x:v>TNA-049-02</x:v>
      </x:c>
      <x:c r="B523" s="27" t="str">
        <x:v>ORD-1149</x:v>
      </x:c>
      <x:c r="C523" s="27" t="str">
        <x:v>line booking</x:v>
      </x:c>
      <x:c r="D523" s="30" t="n">
        <x:v>46191</x:v>
      </x:c>
      <x:c r="E523" s="30"/>
      <x:c r="F523" s="34" t="str">
        <x:f>IF(E523="","",E523-D523)</x:f>
      </x:c>
      <x:c r="G523" s="27" t="str">
        <x:v>Open</x:v>
      </x:c>
      <x:c r="H523" s="27" t="str">
        <x:v>No</x:v>
      </x:c>
      <x:c r="I523" s="27"/>
      <x:c r="J523" s="27"/>
      <x:c r="K523" s="27"/>
      <x:c r="L523" s="27"/>
      <x:c r="M523" s="27"/>
      <x:c r="N523" s="27"/>
      <x:c r="O523" s="27"/>
      <x:c r="P523" s="27"/>
      <x:c r="Q523" s="27"/>
      <x:c r="R523" s="27"/>
      <x:c r="S523" s="27"/>
      <x:c r="T523" s="27"/>
      <x:c r="U523" s="27"/>
      <x:c r="V523" s="27"/>
      <x:c r="W523" s="27"/>
    </x:row>
    <x:row r="524">
      <x:c r="A524" s="27" t="str">
        <x:v>TNA-049-03</x:v>
      </x:c>
      <x:c r="B524" s="27" t="str">
        <x:v>ORD-1149</x:v>
      </x:c>
      <x:c r="C524" s="27" t="str">
        <x:v>fabric/trim confirmation</x:v>
      </x:c>
      <x:c r="D524" s="30" t="n">
        <x:v>46195</x:v>
      </x:c>
      <x:c r="E524" s="30"/>
      <x:c r="F524" s="34" t="str">
        <x:f>IF(E524="","",E524-D524)</x:f>
      </x:c>
      <x:c r="G524" s="27" t="str">
        <x:v>Open</x:v>
      </x:c>
      <x:c r="H524" s="27" t="str">
        <x:v>No</x:v>
      </x:c>
      <x:c r="I524" s="27"/>
      <x:c r="J524" s="27"/>
      <x:c r="K524" s="27"/>
      <x:c r="L524" s="27"/>
      <x:c r="M524" s="27"/>
      <x:c r="N524" s="27"/>
      <x:c r="O524" s="27"/>
      <x:c r="P524" s="27"/>
      <x:c r="Q524" s="27"/>
      <x:c r="R524" s="27"/>
      <x:c r="S524" s="27"/>
      <x:c r="T524" s="27"/>
      <x:c r="U524" s="27"/>
      <x:c r="V524" s="27"/>
      <x:c r="W524" s="27"/>
    </x:row>
    <x:row r="525">
      <x:c r="A525" s="27" t="str">
        <x:v>TNA-049-04</x:v>
      </x:c>
      <x:c r="B525" s="27" t="str">
        <x:v>ORD-1149</x:v>
      </x:c>
      <x:c r="C525" s="27" t="str">
        <x:v>fit sample sent</x:v>
      </x:c>
      <x:c r="D525" s="30" t="n">
        <x:v>46199</x:v>
      </x:c>
      <x:c r="E525" s="30"/>
      <x:c r="F525" s="34" t="str">
        <x:f>IF(E525="","",E525-D525)</x:f>
      </x:c>
      <x:c r="G525" s="27" t="str">
        <x:v>Open</x:v>
      </x:c>
      <x:c r="H525" s="27" t="str">
        <x:v>No</x:v>
      </x:c>
      <x:c r="I525" s="27"/>
      <x:c r="J525" s="27"/>
      <x:c r="K525" s="27"/>
      <x:c r="L525" s="27"/>
      <x:c r="M525" s="27"/>
      <x:c r="N525" s="27"/>
      <x:c r="O525" s="27"/>
      <x:c r="P525" s="27"/>
      <x:c r="Q525" s="27"/>
      <x:c r="R525" s="27"/>
      <x:c r="S525" s="27"/>
      <x:c r="T525" s="27"/>
      <x:c r="U525" s="27"/>
      <x:c r="V525" s="27"/>
      <x:c r="W525" s="27"/>
    </x:row>
    <x:row r="526">
      <x:c r="A526" s="27" t="str">
        <x:v>TNA-049-05</x:v>
      </x:c>
      <x:c r="B526" s="27" t="str">
        <x:v>ORD-1149</x:v>
      </x:c>
      <x:c r="C526" s="27" t="str">
        <x:v>fit approval</x:v>
      </x:c>
      <x:c r="D526" s="30" t="n">
        <x:v>46203</x:v>
      </x:c>
      <x:c r="E526" s="30"/>
      <x:c r="F526" s="34" t="str">
        <x:f>IF(E526="","",E526-D526)</x:f>
      </x:c>
      <x:c r="G526" s="27" t="str">
        <x:v>Open</x:v>
      </x:c>
      <x:c r="H526" s="27" t="str">
        <x:v>No</x:v>
      </x:c>
      <x:c r="I526" s="27"/>
      <x:c r="J526" s="27"/>
      <x:c r="K526" s="27"/>
      <x:c r="L526" s="27"/>
      <x:c r="M526" s="27"/>
      <x:c r="N526" s="27"/>
      <x:c r="O526" s="27"/>
      <x:c r="P526" s="27"/>
      <x:c r="Q526" s="27"/>
      <x:c r="R526" s="27"/>
      <x:c r="S526" s="27"/>
      <x:c r="T526" s="27"/>
      <x:c r="U526" s="27"/>
      <x:c r="V526" s="27"/>
      <x:c r="W526" s="27"/>
    </x:row>
    <x:row r="527">
      <x:c r="A527" s="27" t="str">
        <x:v>TNA-049-06</x:v>
      </x:c>
      <x:c r="B527" s="27" t="str">
        <x:v>ORD-1149</x:v>
      </x:c>
      <x:c r="C527" s="27" t="str">
        <x:v>PP sample approval</x:v>
      </x:c>
      <x:c r="D527" s="30" t="n">
        <x:v>46211</x:v>
      </x:c>
      <x:c r="E527" s="30"/>
      <x:c r="F527" s="34" t="str">
        <x:f>IF(E527="","",E527-D527)</x:f>
      </x:c>
      <x:c r="G527" s="27" t="str">
        <x:v>Open</x:v>
      </x:c>
      <x:c r="H527" s="27" t="str">
        <x:v>Yes</x:v>
      </x:c>
      <x:c r="I527" s="27"/>
      <x:c r="J527" s="27"/>
      <x:c r="K527" s="27"/>
      <x:c r="L527" s="27"/>
      <x:c r="M527" s="27"/>
      <x:c r="N527" s="27"/>
      <x:c r="O527" s="27"/>
      <x:c r="P527" s="27"/>
      <x:c r="Q527" s="27"/>
      <x:c r="R527" s="27"/>
      <x:c r="S527" s="27"/>
      <x:c r="T527" s="27"/>
      <x:c r="U527" s="27"/>
      <x:c r="V527" s="27"/>
      <x:c r="W527" s="27"/>
    </x:row>
    <x:row r="528">
      <x:c r="A528" s="27" t="str">
        <x:v>TNA-049-07</x:v>
      </x:c>
      <x:c r="B528" s="27" t="str">
        <x:v>ORD-1149</x:v>
      </x:c>
      <x:c r="C528" s="27" t="str">
        <x:v>cutting start</x:v>
      </x:c>
      <x:c r="D528" s="30" t="n">
        <x:v>46217</x:v>
      </x:c>
      <x:c r="E528" s="30"/>
      <x:c r="F528" s="34" t="str">
        <x:f>IF(E528="","",E528-D528)</x:f>
      </x:c>
      <x:c r="G528" s="27" t="str">
        <x:v>Open</x:v>
      </x:c>
      <x:c r="H528" s="27" t="str">
        <x:v>Yes</x:v>
      </x:c>
      <x:c r="I528" s="27"/>
      <x:c r="J528" s="27"/>
      <x:c r="K528" s="27"/>
      <x:c r="L528" s="27"/>
      <x:c r="M528" s="27"/>
      <x:c r="N528" s="27"/>
      <x:c r="O528" s="27"/>
      <x:c r="P528" s="27"/>
      <x:c r="Q528" s="27"/>
      <x:c r="R528" s="27"/>
      <x:c r="S528" s="27"/>
      <x:c r="T528" s="27"/>
      <x:c r="U528" s="27"/>
      <x:c r="V528" s="27"/>
      <x:c r="W528" s="27"/>
    </x:row>
    <x:row r="529">
      <x:c r="A529" s="27" t="str">
        <x:v>TNA-049-08</x:v>
      </x:c>
      <x:c r="B529" s="27" t="str">
        <x:v>ORD-1149</x:v>
      </x:c>
      <x:c r="C529" s="27" t="str">
        <x:v>sewing start</x:v>
      </x:c>
      <x:c r="D529" s="30" t="n">
        <x:v>46220</x:v>
      </x:c>
      <x:c r="E529" s="30"/>
      <x:c r="F529" s="34" t="str">
        <x:f>IF(E529="","",E529-D529)</x:f>
      </x:c>
      <x:c r="G529" s="27" t="str">
        <x:v>Open</x:v>
      </x:c>
      <x:c r="H529" s="27" t="str">
        <x:v>Yes</x:v>
      </x:c>
      <x:c r="I529" s="27"/>
      <x:c r="J529" s="27"/>
      <x:c r="K529" s="27"/>
      <x:c r="L529" s="27"/>
      <x:c r="M529" s="27"/>
      <x:c r="N529" s="27"/>
      <x:c r="O529" s="27"/>
      <x:c r="P529" s="27"/>
      <x:c r="Q529" s="27"/>
      <x:c r="R529" s="27"/>
      <x:c r="S529" s="27"/>
      <x:c r="T529" s="27"/>
      <x:c r="U529" s="27"/>
      <x:c r="V529" s="27"/>
      <x:c r="W529" s="27"/>
    </x:row>
    <x:row r="530">
      <x:c r="A530" s="27" t="str">
        <x:v>TNA-049-09</x:v>
      </x:c>
      <x:c r="B530" s="27" t="str">
        <x:v>ORD-1149</x:v>
      </x:c>
      <x:c r="C530" s="27" t="str">
        <x:v>final QC</x:v>
      </x:c>
      <x:c r="D530" s="30" t="n">
        <x:v>46240</x:v>
      </x:c>
      <x:c r="E530" s="30"/>
      <x:c r="F530" s="34" t="str">
        <x:f>IF(E530="","",E530-D530)</x:f>
      </x:c>
      <x:c r="G530" s="27" t="str">
        <x:v>Open</x:v>
      </x:c>
      <x:c r="H530" s="27" t="str">
        <x:v>Yes</x:v>
      </x:c>
      <x:c r="I530" s="27"/>
      <x:c r="J530" s="27"/>
      <x:c r="K530" s="27"/>
      <x:c r="L530" s="27"/>
      <x:c r="M530" s="27"/>
      <x:c r="N530" s="27"/>
      <x:c r="O530" s="27"/>
      <x:c r="P530" s="27"/>
      <x:c r="Q530" s="27"/>
      <x:c r="R530" s="27"/>
      <x:c r="S530" s="27"/>
      <x:c r="T530" s="27"/>
      <x:c r="U530" s="27"/>
      <x:c r="V530" s="27"/>
      <x:c r="W530" s="27"/>
    </x:row>
    <x:row r="531">
      <x:c r="A531" s="27" t="str">
        <x:v>TNA-049-10</x:v>
      </x:c>
      <x:c r="B531" s="27" t="str">
        <x:v>ORD-1149</x:v>
      </x:c>
      <x:c r="C531" s="27" t="str">
        <x:v>ex-factory handover</x:v>
      </x:c>
      <x:c r="D531" s="30" t="n">
        <x:v>46243</x:v>
      </x:c>
      <x:c r="E531" s="30"/>
      <x:c r="F531" s="34" t="str">
        <x:f>IF(E531="","",E531-D531)</x:f>
      </x:c>
      <x:c r="G531" s="27" t="str">
        <x:v>Open</x:v>
      </x:c>
      <x:c r="H531" s="27" t="str">
        <x:v>Yes</x:v>
      </x:c>
      <x:c r="I531" s="27"/>
      <x:c r="J531" s="27"/>
      <x:c r="K531" s="27"/>
      <x:c r="L531" s="27"/>
      <x:c r="M531" s="27"/>
      <x:c r="N531" s="27"/>
      <x:c r="O531" s="27"/>
      <x:c r="P531" s="27"/>
      <x:c r="Q531" s="27"/>
      <x:c r="R531" s="27"/>
      <x:c r="S531" s="27"/>
      <x:c r="T531" s="27"/>
      <x:c r="U531" s="27"/>
      <x:c r="V531" s="27"/>
      <x:c r="W531" s="27"/>
    </x:row>
    <x:row r="532">
      <x:c r="A532" s="27" t="str">
        <x:v>TNA-050-01</x:v>
      </x:c>
      <x:c r="B532" s="27" t="str">
        <x:v>ORD-1150</x:v>
      </x:c>
      <x:c r="C532" s="27" t="str">
        <x:v>tech pack freeze</x:v>
      </x:c>
      <x:c r="D532" s="30" t="n">
        <x:v>46189</x:v>
      </x:c>
      <x:c r="E532" s="30"/>
      <x:c r="F532" s="34" t="str">
        <x:f>IF(E532="","",E532-D532)</x:f>
      </x:c>
      <x:c r="G532" s="27" t="str">
        <x:v>Open</x:v>
      </x:c>
      <x:c r="H532" s="27" t="str">
        <x:v>No</x:v>
      </x:c>
      <x:c r="I532" s="27"/>
      <x:c r="J532" s="27"/>
      <x:c r="K532" s="27"/>
      <x:c r="L532" s="27"/>
      <x:c r="M532" s="27"/>
      <x:c r="N532" s="27"/>
      <x:c r="O532" s="27"/>
      <x:c r="P532" s="27"/>
      <x:c r="Q532" s="27"/>
      <x:c r="R532" s="27"/>
      <x:c r="S532" s="27"/>
      <x:c r="T532" s="27"/>
      <x:c r="U532" s="27"/>
      <x:c r="V532" s="27"/>
      <x:c r="W532" s="27"/>
    </x:row>
    <x:row r="533">
      <x:c r="A533" s="27" t="str">
        <x:v>TNA-050-02</x:v>
      </x:c>
      <x:c r="B533" s="27" t="str">
        <x:v>ORD-1150</x:v>
      </x:c>
      <x:c r="C533" s="27" t="str">
        <x:v>line booking</x:v>
      </x:c>
      <x:c r="D533" s="30" t="n">
        <x:v>46193</x:v>
      </x:c>
      <x:c r="E533" s="30"/>
      <x:c r="F533" s="34" t="str">
        <x:f>IF(E533="","",E533-D533)</x:f>
      </x:c>
      <x:c r="G533" s="27" t="str">
        <x:v>Open</x:v>
      </x:c>
      <x:c r="H533" s="27" t="str">
        <x:v>No</x:v>
      </x:c>
      <x:c r="I533" s="27"/>
      <x:c r="J533" s="27"/>
      <x:c r="K533" s="27"/>
      <x:c r="L533" s="27"/>
      <x:c r="M533" s="27"/>
      <x:c r="N533" s="27"/>
      <x:c r="O533" s="27"/>
      <x:c r="P533" s="27"/>
      <x:c r="Q533" s="27"/>
      <x:c r="R533" s="27"/>
      <x:c r="S533" s="27"/>
      <x:c r="T533" s="27"/>
      <x:c r="U533" s="27"/>
      <x:c r="V533" s="27"/>
      <x:c r="W533" s="27"/>
    </x:row>
    <x:row r="534">
      <x:c r="A534" s="27" t="str">
        <x:v>TNA-050-03</x:v>
      </x:c>
      <x:c r="B534" s="27" t="str">
        <x:v>ORD-1150</x:v>
      </x:c>
      <x:c r="C534" s="27" t="str">
        <x:v>fabric/trim confirmation</x:v>
      </x:c>
      <x:c r="D534" s="30" t="n">
        <x:v>46197</x:v>
      </x:c>
      <x:c r="E534" s="30"/>
      <x:c r="F534" s="34" t="str">
        <x:f>IF(E534="","",E534-D534)</x:f>
      </x:c>
      <x:c r="G534" s="27" t="str">
        <x:v>Open</x:v>
      </x:c>
      <x:c r="H534" s="27" t="str">
        <x:v>No</x:v>
      </x:c>
      <x:c r="I534" s="27"/>
      <x:c r="J534" s="27"/>
      <x:c r="K534" s="27"/>
      <x:c r="L534" s="27"/>
      <x:c r="M534" s="27"/>
      <x:c r="N534" s="27"/>
      <x:c r="O534" s="27"/>
      <x:c r="P534" s="27"/>
      <x:c r="Q534" s="27"/>
      <x:c r="R534" s="27"/>
      <x:c r="S534" s="27"/>
      <x:c r="T534" s="27"/>
      <x:c r="U534" s="27"/>
      <x:c r="V534" s="27"/>
      <x:c r="W534" s="27"/>
    </x:row>
    <x:row r="535">
      <x:c r="A535" s="27" t="str">
        <x:v>TNA-050-04</x:v>
      </x:c>
      <x:c r="B535" s="27" t="str">
        <x:v>ORD-1150</x:v>
      </x:c>
      <x:c r="C535" s="27" t="str">
        <x:v>fit sample sent</x:v>
      </x:c>
      <x:c r="D535" s="30" t="n">
        <x:v>46201</x:v>
      </x:c>
      <x:c r="E535" s="30"/>
      <x:c r="F535" s="34" t="str">
        <x:f>IF(E535="","",E535-D535)</x:f>
      </x:c>
      <x:c r="G535" s="27" t="str">
        <x:v>Open</x:v>
      </x:c>
      <x:c r="H535" s="27" t="str">
        <x:v>No</x:v>
      </x:c>
      <x:c r="I535" s="27"/>
      <x:c r="J535" s="27"/>
      <x:c r="K535" s="27"/>
      <x:c r="L535" s="27"/>
      <x:c r="M535" s="27"/>
      <x:c r="N535" s="27"/>
      <x:c r="O535" s="27"/>
      <x:c r="P535" s="27"/>
      <x:c r="Q535" s="27"/>
      <x:c r="R535" s="27"/>
      <x:c r="S535" s="27"/>
      <x:c r="T535" s="27"/>
      <x:c r="U535" s="27"/>
      <x:c r="V535" s="27"/>
      <x:c r="W535" s="27"/>
    </x:row>
    <x:row r="536">
      <x:c r="A536" s="27" t="str">
        <x:v>TNA-050-05</x:v>
      </x:c>
      <x:c r="B536" s="27" t="str">
        <x:v>ORD-1150</x:v>
      </x:c>
      <x:c r="C536" s="27" t="str">
        <x:v>fit approval</x:v>
      </x:c>
      <x:c r="D536" s="30" t="n">
        <x:v>46205</x:v>
      </x:c>
      <x:c r="E536" s="30"/>
      <x:c r="F536" s="34" t="str">
        <x:f>IF(E536="","",E536-D536)</x:f>
      </x:c>
      <x:c r="G536" s="27" t="str">
        <x:v>Open</x:v>
      </x:c>
      <x:c r="H536" s="27" t="str">
        <x:v>No</x:v>
      </x:c>
      <x:c r="I536" s="27"/>
      <x:c r="J536" s="27"/>
      <x:c r="K536" s="27"/>
      <x:c r="L536" s="27"/>
      <x:c r="M536" s="27"/>
      <x:c r="N536" s="27"/>
      <x:c r="O536" s="27"/>
      <x:c r="P536" s="27"/>
      <x:c r="Q536" s="27"/>
      <x:c r="R536" s="27"/>
      <x:c r="S536" s="27"/>
      <x:c r="T536" s="27"/>
      <x:c r="U536" s="27"/>
      <x:c r="V536" s="27"/>
      <x:c r="W536" s="27"/>
    </x:row>
    <x:row r="537">
      <x:c r="A537" s="27" t="str">
        <x:v>TNA-050-06</x:v>
      </x:c>
      <x:c r="B537" s="27" t="str">
        <x:v>ORD-1150</x:v>
      </x:c>
      <x:c r="C537" s="27" t="str">
        <x:v>PP sample approval</x:v>
      </x:c>
      <x:c r="D537" s="30" t="n">
        <x:v>46213</x:v>
      </x:c>
      <x:c r="E537" s="30"/>
      <x:c r="F537" s="34" t="str">
        <x:f>IF(E537="","",E537-D537)</x:f>
      </x:c>
      <x:c r="G537" s="27" t="str">
        <x:v>Open</x:v>
      </x:c>
      <x:c r="H537" s="27" t="str">
        <x:v>Yes</x:v>
      </x:c>
      <x:c r="I537" s="27"/>
      <x:c r="J537" s="27"/>
      <x:c r="K537" s="27"/>
      <x:c r="L537" s="27"/>
      <x:c r="M537" s="27"/>
      <x:c r="N537" s="27"/>
      <x:c r="O537" s="27"/>
      <x:c r="P537" s="27"/>
      <x:c r="Q537" s="27"/>
      <x:c r="R537" s="27"/>
      <x:c r="S537" s="27"/>
      <x:c r="T537" s="27"/>
      <x:c r="U537" s="27"/>
      <x:c r="V537" s="27"/>
      <x:c r="W537" s="27"/>
    </x:row>
    <x:row r="538">
      <x:c r="A538" s="27" t="str">
        <x:v>TNA-050-07</x:v>
      </x:c>
      <x:c r="B538" s="27" t="str">
        <x:v>ORD-1150</x:v>
      </x:c>
      <x:c r="C538" s="27" t="str">
        <x:v>cutting start</x:v>
      </x:c>
      <x:c r="D538" s="30" t="n">
        <x:v>46219</x:v>
      </x:c>
      <x:c r="E538" s="30"/>
      <x:c r="F538" s="34" t="str">
        <x:f>IF(E538="","",E538-D538)</x:f>
      </x:c>
      <x:c r="G538" s="27" t="str">
        <x:v>Open</x:v>
      </x:c>
      <x:c r="H538" s="27" t="str">
        <x:v>Yes</x:v>
      </x:c>
      <x:c r="I538" s="27"/>
      <x:c r="J538" s="27"/>
      <x:c r="K538" s="27"/>
      <x:c r="L538" s="27"/>
      <x:c r="M538" s="27"/>
      <x:c r="N538" s="27"/>
      <x:c r="O538" s="27"/>
      <x:c r="P538" s="27"/>
      <x:c r="Q538" s="27"/>
      <x:c r="R538" s="27"/>
      <x:c r="S538" s="27"/>
      <x:c r="T538" s="27"/>
      <x:c r="U538" s="27"/>
      <x:c r="V538" s="27"/>
      <x:c r="W538" s="27"/>
    </x:row>
    <x:row r="539">
      <x:c r="A539" s="27" t="str">
        <x:v>TNA-050-08</x:v>
      </x:c>
      <x:c r="B539" s="27" t="str">
        <x:v>ORD-1150</x:v>
      </x:c>
      <x:c r="C539" s="27" t="str">
        <x:v>sewing start</x:v>
      </x:c>
      <x:c r="D539" s="30" t="n">
        <x:v>46222</x:v>
      </x:c>
      <x:c r="E539" s="30"/>
      <x:c r="F539" s="34" t="str">
        <x:f>IF(E539="","",E539-D539)</x:f>
      </x:c>
      <x:c r="G539" s="27" t="str">
        <x:v>Open</x:v>
      </x:c>
      <x:c r="H539" s="27" t="str">
        <x:v>Yes</x:v>
      </x:c>
      <x:c r="I539" s="27"/>
      <x:c r="J539" s="27"/>
      <x:c r="K539" s="27"/>
      <x:c r="L539" s="27"/>
      <x:c r="M539" s="27"/>
      <x:c r="N539" s="27"/>
      <x:c r="O539" s="27"/>
      <x:c r="P539" s="27"/>
      <x:c r="Q539" s="27"/>
      <x:c r="R539" s="27"/>
      <x:c r="S539" s="27"/>
      <x:c r="T539" s="27"/>
      <x:c r="U539" s="27"/>
      <x:c r="V539" s="27"/>
      <x:c r="W539" s="27"/>
    </x:row>
    <x:row r="540">
      <x:c r="A540" s="27" t="str">
        <x:v>TNA-050-09</x:v>
      </x:c>
      <x:c r="B540" s="27" t="str">
        <x:v>ORD-1150</x:v>
      </x:c>
      <x:c r="C540" s="27" t="str">
        <x:v>final QC</x:v>
      </x:c>
      <x:c r="D540" s="30" t="n">
        <x:v>46240</x:v>
      </x:c>
      <x:c r="E540" s="30"/>
      <x:c r="F540" s="34" t="str">
        <x:f>IF(E540="","",E540-D540)</x:f>
      </x:c>
      <x:c r="G540" s="27" t="str">
        <x:v>Open</x:v>
      </x:c>
      <x:c r="H540" s="27" t="str">
        <x:v>Yes</x:v>
      </x:c>
      <x:c r="I540" s="27"/>
      <x:c r="J540" s="27"/>
      <x:c r="K540" s="27"/>
      <x:c r="L540" s="27"/>
      <x:c r="M540" s="27"/>
      <x:c r="N540" s="27"/>
      <x:c r="O540" s="27"/>
      <x:c r="P540" s="27"/>
      <x:c r="Q540" s="27"/>
      <x:c r="R540" s="27"/>
      <x:c r="S540" s="27"/>
      <x:c r="T540" s="27"/>
      <x:c r="U540" s="27"/>
      <x:c r="V540" s="27"/>
      <x:c r="W540" s="27"/>
    </x:row>
    <x:row r="541">
      <x:c r="A541" s="27" t="str">
        <x:v>TNA-050-10</x:v>
      </x:c>
      <x:c r="B541" s="27" t="str">
        <x:v>ORD-1150</x:v>
      </x:c>
      <x:c r="C541" s="27" t="str">
        <x:v>ex-factory handover</x:v>
      </x:c>
      <x:c r="D541" s="30" t="n">
        <x:v>46243</x:v>
      </x:c>
      <x:c r="E541" s="30"/>
      <x:c r="F541" s="34" t="str">
        <x:f>IF(E541="","",E541-D541)</x:f>
      </x:c>
      <x:c r="G541" s="27" t="str">
        <x:v>Open</x:v>
      </x:c>
      <x:c r="H541" s="27" t="str">
        <x:v>Yes</x:v>
      </x:c>
      <x:c r="I541" s="27"/>
      <x:c r="J541" s="27"/>
      <x:c r="K541" s="27"/>
      <x:c r="L541" s="27"/>
      <x:c r="M541" s="27"/>
      <x:c r="N541" s="27"/>
      <x:c r="O541" s="27"/>
      <x:c r="P541" s="27"/>
      <x:c r="Q541" s="27"/>
      <x:c r="R541" s="27"/>
      <x:c r="S541" s="27"/>
      <x:c r="T541" s="27"/>
      <x:c r="U541" s="27"/>
      <x:c r="V541" s="27"/>
      <x:c r="W541" s="27"/>
    </x:row>
    <x:row r="542">
      <x:c r="A542" s="27" t="str">
        <x:v>TNA-051-01</x:v>
      </x:c>
      <x:c r="B542" s="27" t="str">
        <x:v>ORD-1151</x:v>
      </x:c>
      <x:c r="C542" s="27" t="str">
        <x:v>tech pack freeze</x:v>
      </x:c>
      <x:c r="D542" s="30" t="n">
        <x:v>46176</x:v>
      </x:c>
      <x:c r="E542" s="30"/>
      <x:c r="F542" s="34" t="str">
        <x:f>IF(E542="","",E542-D542)</x:f>
      </x:c>
      <x:c r="G542" s="27" t="str">
        <x:v>Open</x:v>
      </x:c>
      <x:c r="H542" s="27" t="str">
        <x:v>No</x:v>
      </x:c>
      <x:c r="I542" s="27"/>
      <x:c r="J542" s="27"/>
      <x:c r="K542" s="27"/>
      <x:c r="L542" s="27"/>
      <x:c r="M542" s="27"/>
      <x:c r="N542" s="27"/>
      <x:c r="O542" s="27"/>
      <x:c r="P542" s="27"/>
      <x:c r="Q542" s="27"/>
      <x:c r="R542" s="27"/>
      <x:c r="S542" s="27"/>
      <x:c r="T542" s="27"/>
      <x:c r="U542" s="27"/>
      <x:c r="V542" s="27"/>
      <x:c r="W542" s="27"/>
    </x:row>
    <x:row r="543">
      <x:c r="A543" s="27" t="str">
        <x:v>TNA-051-02</x:v>
      </x:c>
      <x:c r="B543" s="27" t="str">
        <x:v>ORD-1151</x:v>
      </x:c>
      <x:c r="C543" s="27" t="str">
        <x:v>line booking</x:v>
      </x:c>
      <x:c r="D543" s="30" t="n">
        <x:v>46180</x:v>
      </x:c>
      <x:c r="E543" s="30"/>
      <x:c r="F543" s="34" t="str">
        <x:f>IF(E543="","",E543-D543)</x:f>
      </x:c>
      <x:c r="G543" s="27" t="str">
        <x:v>Open</x:v>
      </x:c>
      <x:c r="H543" s="27" t="str">
        <x:v>No</x:v>
      </x:c>
      <x:c r="I543" s="27"/>
      <x:c r="J543" s="27"/>
      <x:c r="K543" s="27"/>
      <x:c r="L543" s="27"/>
      <x:c r="M543" s="27"/>
      <x:c r="N543" s="27"/>
      <x:c r="O543" s="27"/>
      <x:c r="P543" s="27"/>
      <x:c r="Q543" s="27"/>
      <x:c r="R543" s="27"/>
      <x:c r="S543" s="27"/>
      <x:c r="T543" s="27"/>
      <x:c r="U543" s="27"/>
      <x:c r="V543" s="27"/>
      <x:c r="W543" s="27"/>
    </x:row>
    <x:row r="544">
      <x:c r="A544" s="27" t="str">
        <x:v>TNA-051-03</x:v>
      </x:c>
      <x:c r="B544" s="27" t="str">
        <x:v>ORD-1151</x:v>
      </x:c>
      <x:c r="C544" s="27" t="str">
        <x:v>fabric/trim confirmation</x:v>
      </x:c>
      <x:c r="D544" s="30" t="n">
        <x:v>46184</x:v>
      </x:c>
      <x:c r="E544" s="30"/>
      <x:c r="F544" s="34" t="str">
        <x:f>IF(E544="","",E544-D544)</x:f>
      </x:c>
      <x:c r="G544" s="27" t="str">
        <x:v>Open</x:v>
      </x:c>
      <x:c r="H544" s="27" t="str">
        <x:v>No</x:v>
      </x:c>
      <x:c r="I544" s="27"/>
      <x:c r="J544" s="27"/>
      <x:c r="K544" s="27"/>
      <x:c r="L544" s="27"/>
      <x:c r="M544" s="27"/>
      <x:c r="N544" s="27"/>
      <x:c r="O544" s="27"/>
      <x:c r="P544" s="27"/>
      <x:c r="Q544" s="27"/>
      <x:c r="R544" s="27"/>
      <x:c r="S544" s="27"/>
      <x:c r="T544" s="27"/>
      <x:c r="U544" s="27"/>
      <x:c r="V544" s="27"/>
      <x:c r="W544" s="27"/>
    </x:row>
    <x:row r="545">
      <x:c r="A545" s="27" t="str">
        <x:v>TNA-051-04</x:v>
      </x:c>
      <x:c r="B545" s="27" t="str">
        <x:v>ORD-1151</x:v>
      </x:c>
      <x:c r="C545" s="27" t="str">
        <x:v>fit sample sent</x:v>
      </x:c>
      <x:c r="D545" s="30" t="n">
        <x:v>46188</x:v>
      </x:c>
      <x:c r="E545" s="30"/>
      <x:c r="F545" s="34" t="str">
        <x:f>IF(E545="","",E545-D545)</x:f>
      </x:c>
      <x:c r="G545" s="27" t="str">
        <x:v>Open</x:v>
      </x:c>
      <x:c r="H545" s="27" t="str">
        <x:v>No</x:v>
      </x:c>
      <x:c r="I545" s="27"/>
      <x:c r="J545" s="27"/>
      <x:c r="K545" s="27"/>
      <x:c r="L545" s="27"/>
      <x:c r="M545" s="27"/>
      <x:c r="N545" s="27"/>
      <x:c r="O545" s="27"/>
      <x:c r="P545" s="27"/>
      <x:c r="Q545" s="27"/>
      <x:c r="R545" s="27"/>
      <x:c r="S545" s="27"/>
      <x:c r="T545" s="27"/>
      <x:c r="U545" s="27"/>
      <x:c r="V545" s="27"/>
      <x:c r="W545" s="27"/>
    </x:row>
    <x:row r="546">
      <x:c r="A546" s="27" t="str">
        <x:v>TNA-051-05</x:v>
      </x:c>
      <x:c r="B546" s="27" t="str">
        <x:v>ORD-1151</x:v>
      </x:c>
      <x:c r="C546" s="27" t="str">
        <x:v>fit approval</x:v>
      </x:c>
      <x:c r="D546" s="30" t="n">
        <x:v>46192</x:v>
      </x:c>
      <x:c r="E546" s="30"/>
      <x:c r="F546" s="34" t="str">
        <x:f>IF(E546="","",E546-D546)</x:f>
      </x:c>
      <x:c r="G546" s="27" t="str">
        <x:v>Open</x:v>
      </x:c>
      <x:c r="H546" s="27" t="str">
        <x:v>No</x:v>
      </x:c>
      <x:c r="I546" s="27"/>
      <x:c r="J546" s="27"/>
      <x:c r="K546" s="27"/>
      <x:c r="L546" s="27"/>
      <x:c r="M546" s="27"/>
      <x:c r="N546" s="27"/>
      <x:c r="O546" s="27"/>
      <x:c r="P546" s="27"/>
      <x:c r="Q546" s="27"/>
      <x:c r="R546" s="27"/>
      <x:c r="S546" s="27"/>
      <x:c r="T546" s="27"/>
      <x:c r="U546" s="27"/>
      <x:c r="V546" s="27"/>
      <x:c r="W546" s="27"/>
    </x:row>
    <x:row r="547">
      <x:c r="A547" s="27" t="str">
        <x:v>TNA-051-06</x:v>
      </x:c>
      <x:c r="B547" s="27" t="str">
        <x:v>ORD-1151</x:v>
      </x:c>
      <x:c r="C547" s="27" t="str">
        <x:v>PP sample approval</x:v>
      </x:c>
      <x:c r="D547" s="30" t="n">
        <x:v>46200</x:v>
      </x:c>
      <x:c r="E547" s="30"/>
      <x:c r="F547" s="34" t="str">
        <x:f>IF(E547="","",E547-D547)</x:f>
      </x:c>
      <x:c r="G547" s="27" t="str">
        <x:v>Open</x:v>
      </x:c>
      <x:c r="H547" s="27" t="str">
        <x:v>Yes</x:v>
      </x:c>
      <x:c r="I547" s="27"/>
      <x:c r="J547" s="27"/>
      <x:c r="K547" s="27"/>
      <x:c r="L547" s="27"/>
      <x:c r="M547" s="27"/>
      <x:c r="N547" s="27"/>
      <x:c r="O547" s="27"/>
      <x:c r="P547" s="27"/>
      <x:c r="Q547" s="27"/>
      <x:c r="R547" s="27"/>
      <x:c r="S547" s="27"/>
      <x:c r="T547" s="27"/>
      <x:c r="U547" s="27"/>
      <x:c r="V547" s="27"/>
      <x:c r="W547" s="27"/>
    </x:row>
    <x:row r="548">
      <x:c r="A548" s="27" t="str">
        <x:v>TNA-051-07</x:v>
      </x:c>
      <x:c r="B548" s="27" t="str">
        <x:v>ORD-1151</x:v>
      </x:c>
      <x:c r="C548" s="27" t="str">
        <x:v>cutting start</x:v>
      </x:c>
      <x:c r="D548" s="30" t="n">
        <x:v>46206</x:v>
      </x:c>
      <x:c r="E548" s="30"/>
      <x:c r="F548" s="34" t="str">
        <x:f>IF(E548="","",E548-D548)</x:f>
      </x:c>
      <x:c r="G548" s="27" t="str">
        <x:v>Open</x:v>
      </x:c>
      <x:c r="H548" s="27" t="str">
        <x:v>Yes</x:v>
      </x:c>
      <x:c r="I548" s="27"/>
      <x:c r="J548" s="27"/>
      <x:c r="K548" s="27"/>
      <x:c r="L548" s="27"/>
      <x:c r="M548" s="27"/>
      <x:c r="N548" s="27"/>
      <x:c r="O548" s="27"/>
      <x:c r="P548" s="27"/>
      <x:c r="Q548" s="27"/>
      <x:c r="R548" s="27"/>
      <x:c r="S548" s="27"/>
      <x:c r="T548" s="27"/>
      <x:c r="U548" s="27"/>
      <x:c r="V548" s="27"/>
      <x:c r="W548" s="27"/>
    </x:row>
    <x:row r="549">
      <x:c r="A549" s="27" t="str">
        <x:v>TNA-051-08</x:v>
      </x:c>
      <x:c r="B549" s="27" t="str">
        <x:v>ORD-1151</x:v>
      </x:c>
      <x:c r="C549" s="27" t="str">
        <x:v>sewing start</x:v>
      </x:c>
      <x:c r="D549" s="30" t="n">
        <x:v>46209</x:v>
      </x:c>
      <x:c r="E549" s="30"/>
      <x:c r="F549" s="34" t="str">
        <x:f>IF(E549="","",E549-D549)</x:f>
      </x:c>
      <x:c r="G549" s="27" t="str">
        <x:v>Open</x:v>
      </x:c>
      <x:c r="H549" s="27" t="str">
        <x:v>Yes</x:v>
      </x:c>
      <x:c r="I549" s="27"/>
      <x:c r="J549" s="27"/>
      <x:c r="K549" s="27"/>
      <x:c r="L549" s="27"/>
      <x:c r="M549" s="27"/>
      <x:c r="N549" s="27"/>
      <x:c r="O549" s="27"/>
      <x:c r="P549" s="27"/>
      <x:c r="Q549" s="27"/>
      <x:c r="R549" s="27"/>
      <x:c r="S549" s="27"/>
      <x:c r="T549" s="27"/>
      <x:c r="U549" s="27"/>
      <x:c r="V549" s="27"/>
      <x:c r="W549" s="27"/>
    </x:row>
    <x:row r="550">
      <x:c r="A550" s="27" t="str">
        <x:v>TNA-051-09</x:v>
      </x:c>
      <x:c r="B550" s="27" t="str">
        <x:v>ORD-1151</x:v>
      </x:c>
      <x:c r="C550" s="27" t="str">
        <x:v>final QC</x:v>
      </x:c>
      <x:c r="D550" s="30" t="n">
        <x:v>46220</x:v>
      </x:c>
      <x:c r="E550" s="30"/>
      <x:c r="F550" s="34" t="str">
        <x:f>IF(E550="","",E550-D550)</x:f>
      </x:c>
      <x:c r="G550" s="27" t="str">
        <x:v>Open</x:v>
      </x:c>
      <x:c r="H550" s="27" t="str">
        <x:v>Yes</x:v>
      </x:c>
      <x:c r="I550" s="27"/>
      <x:c r="J550" s="27"/>
      <x:c r="K550" s="27"/>
      <x:c r="L550" s="27"/>
      <x:c r="M550" s="27"/>
      <x:c r="N550" s="27"/>
      <x:c r="O550" s="27"/>
      <x:c r="P550" s="27"/>
      <x:c r="Q550" s="27"/>
      <x:c r="R550" s="27"/>
      <x:c r="S550" s="27"/>
      <x:c r="T550" s="27"/>
      <x:c r="U550" s="27"/>
      <x:c r="V550" s="27"/>
      <x:c r="W550" s="27"/>
    </x:row>
    <x:row r="551">
      <x:c r="A551" s="27" t="str">
        <x:v>TNA-051-10</x:v>
      </x:c>
      <x:c r="B551" s="27" t="str">
        <x:v>ORD-1151</x:v>
      </x:c>
      <x:c r="C551" s="27" t="str">
        <x:v>ex-factory handover</x:v>
      </x:c>
      <x:c r="D551" s="30" t="n">
        <x:v>46223</x:v>
      </x:c>
      <x:c r="E551" s="30"/>
      <x:c r="F551" s="34" t="str">
        <x:f>IF(E551="","",E551-D551)</x:f>
      </x:c>
      <x:c r="G551" s="27" t="str">
        <x:v>Open</x:v>
      </x:c>
      <x:c r="H551" s="27" t="str">
        <x:v>Yes</x:v>
      </x:c>
      <x:c r="I551" s="27"/>
      <x:c r="J551" s="27"/>
      <x:c r="K551" s="27"/>
      <x:c r="L551" s="27"/>
      <x:c r="M551" s="27"/>
      <x:c r="N551" s="27"/>
      <x:c r="O551" s="27"/>
      <x:c r="P551" s="27"/>
      <x:c r="Q551" s="27"/>
      <x:c r="R551" s="27"/>
      <x:c r="S551" s="27"/>
      <x:c r="T551" s="27"/>
      <x:c r="U551" s="27"/>
      <x:c r="V551" s="27"/>
      <x:c r="W551" s="27"/>
    </x:row>
    <x:row r="552">
      <x:c r="A552" s="27" t="str">
        <x:v>TNA-052-01</x:v>
      </x:c>
      <x:c r="B552" s="27" t="str">
        <x:v>ORD-1152</x:v>
      </x:c>
      <x:c r="C552" s="27" t="str">
        <x:v>tech pack freeze</x:v>
      </x:c>
      <x:c r="D552" s="30" t="n">
        <x:v>46178</x:v>
      </x:c>
      <x:c r="E552" s="30"/>
      <x:c r="F552" s="34" t="str">
        <x:f>IF(E552="","",E552-D552)</x:f>
      </x:c>
      <x:c r="G552" s="27" t="str">
        <x:v>Open</x:v>
      </x:c>
      <x:c r="H552" s="27" t="str">
        <x:v>No</x:v>
      </x:c>
      <x:c r="I552" s="27"/>
      <x:c r="J552" s="27"/>
      <x:c r="K552" s="27"/>
      <x:c r="L552" s="27"/>
      <x:c r="M552" s="27"/>
      <x:c r="N552" s="27"/>
      <x:c r="O552" s="27"/>
      <x:c r="P552" s="27"/>
      <x:c r="Q552" s="27"/>
      <x:c r="R552" s="27"/>
      <x:c r="S552" s="27"/>
      <x:c r="T552" s="27"/>
      <x:c r="U552" s="27"/>
      <x:c r="V552" s="27"/>
      <x:c r="W552" s="27"/>
    </x:row>
    <x:row r="553">
      <x:c r="A553" s="27" t="str">
        <x:v>TNA-052-02</x:v>
      </x:c>
      <x:c r="B553" s="27" t="str">
        <x:v>ORD-1152</x:v>
      </x:c>
      <x:c r="C553" s="27" t="str">
        <x:v>line booking</x:v>
      </x:c>
      <x:c r="D553" s="30" t="n">
        <x:v>46182</x:v>
      </x:c>
      <x:c r="E553" s="30"/>
      <x:c r="F553" s="34" t="str">
        <x:f>IF(E553="","",E553-D553)</x:f>
      </x:c>
      <x:c r="G553" s="27" t="str">
        <x:v>Open</x:v>
      </x:c>
      <x:c r="H553" s="27" t="str">
        <x:v>No</x:v>
      </x:c>
      <x:c r="I553" s="27"/>
      <x:c r="J553" s="27"/>
      <x:c r="K553" s="27"/>
      <x:c r="L553" s="27"/>
      <x:c r="M553" s="27"/>
      <x:c r="N553" s="27"/>
      <x:c r="O553" s="27"/>
      <x:c r="P553" s="27"/>
      <x:c r="Q553" s="27"/>
      <x:c r="R553" s="27"/>
      <x:c r="S553" s="27"/>
      <x:c r="T553" s="27"/>
      <x:c r="U553" s="27"/>
      <x:c r="V553" s="27"/>
      <x:c r="W553" s="27"/>
    </x:row>
    <x:row r="554">
      <x:c r="A554" s="27" t="str">
        <x:v>TNA-052-03</x:v>
      </x:c>
      <x:c r="B554" s="27" t="str">
        <x:v>ORD-1152</x:v>
      </x:c>
      <x:c r="C554" s="27" t="str">
        <x:v>fabric/trim confirmation</x:v>
      </x:c>
      <x:c r="D554" s="30" t="n">
        <x:v>46186</x:v>
      </x:c>
      <x:c r="E554" s="30"/>
      <x:c r="F554" s="34" t="str">
        <x:f>IF(E554="","",E554-D554)</x:f>
      </x:c>
      <x:c r="G554" s="27" t="str">
        <x:v>Open</x:v>
      </x:c>
      <x:c r="H554" s="27" t="str">
        <x:v>No</x:v>
      </x:c>
      <x:c r="I554" s="27"/>
      <x:c r="J554" s="27"/>
      <x:c r="K554" s="27"/>
      <x:c r="L554" s="27"/>
      <x:c r="M554" s="27"/>
      <x:c r="N554" s="27"/>
      <x:c r="O554" s="27"/>
      <x:c r="P554" s="27"/>
      <x:c r="Q554" s="27"/>
      <x:c r="R554" s="27"/>
      <x:c r="S554" s="27"/>
      <x:c r="T554" s="27"/>
      <x:c r="U554" s="27"/>
      <x:c r="V554" s="27"/>
      <x:c r="W554" s="27"/>
    </x:row>
    <x:row r="555">
      <x:c r="A555" s="27" t="str">
        <x:v>TNA-052-04</x:v>
      </x:c>
      <x:c r="B555" s="27" t="str">
        <x:v>ORD-1152</x:v>
      </x:c>
      <x:c r="C555" s="27" t="str">
        <x:v>fit sample sent</x:v>
      </x:c>
      <x:c r="D555" s="30" t="n">
        <x:v>46190</x:v>
      </x:c>
      <x:c r="E555" s="30"/>
      <x:c r="F555" s="34" t="str">
        <x:f>IF(E555="","",E555-D555)</x:f>
      </x:c>
      <x:c r="G555" s="27" t="str">
        <x:v>Open</x:v>
      </x:c>
      <x:c r="H555" s="27" t="str">
        <x:v>No</x:v>
      </x:c>
      <x:c r="I555" s="27"/>
      <x:c r="J555" s="27"/>
      <x:c r="K555" s="27"/>
      <x:c r="L555" s="27"/>
      <x:c r="M555" s="27"/>
      <x:c r="N555" s="27"/>
      <x:c r="O555" s="27"/>
      <x:c r="P555" s="27"/>
      <x:c r="Q555" s="27"/>
      <x:c r="R555" s="27"/>
      <x:c r="S555" s="27"/>
      <x:c r="T555" s="27"/>
      <x:c r="U555" s="27"/>
      <x:c r="V555" s="27"/>
      <x:c r="W555" s="27"/>
    </x:row>
    <x:row r="556">
      <x:c r="A556" s="27" t="str">
        <x:v>TNA-052-05</x:v>
      </x:c>
      <x:c r="B556" s="27" t="str">
        <x:v>ORD-1152</x:v>
      </x:c>
      <x:c r="C556" s="27" t="str">
        <x:v>fit approval</x:v>
      </x:c>
      <x:c r="D556" s="30" t="n">
        <x:v>46194</x:v>
      </x:c>
      <x:c r="E556" s="30"/>
      <x:c r="F556" s="34" t="str">
        <x:f>IF(E556="","",E556-D556)</x:f>
      </x:c>
      <x:c r="G556" s="27" t="str">
        <x:v>Open</x:v>
      </x:c>
      <x:c r="H556" s="27" t="str">
        <x:v>No</x:v>
      </x:c>
      <x:c r="I556" s="27"/>
      <x:c r="J556" s="27"/>
      <x:c r="K556" s="27"/>
      <x:c r="L556" s="27"/>
      <x:c r="M556" s="27"/>
      <x:c r="N556" s="27"/>
      <x:c r="O556" s="27"/>
      <x:c r="P556" s="27"/>
      <x:c r="Q556" s="27"/>
      <x:c r="R556" s="27"/>
      <x:c r="S556" s="27"/>
      <x:c r="T556" s="27"/>
      <x:c r="U556" s="27"/>
      <x:c r="V556" s="27"/>
      <x:c r="W556" s="27"/>
    </x:row>
    <x:row r="557">
      <x:c r="A557" s="27" t="str">
        <x:v>TNA-052-06</x:v>
      </x:c>
      <x:c r="B557" s="27" t="str">
        <x:v>ORD-1152</x:v>
      </x:c>
      <x:c r="C557" s="27" t="str">
        <x:v>PP sample approval</x:v>
      </x:c>
      <x:c r="D557" s="30" t="n">
        <x:v>46202</x:v>
      </x:c>
      <x:c r="E557" s="30"/>
      <x:c r="F557" s="34" t="str">
        <x:f>IF(E557="","",E557-D557)</x:f>
      </x:c>
      <x:c r="G557" s="27" t="str">
        <x:v>Open</x:v>
      </x:c>
      <x:c r="H557" s="27" t="str">
        <x:v>Yes</x:v>
      </x:c>
      <x:c r="I557" s="27"/>
      <x:c r="J557" s="27"/>
      <x:c r="K557" s="27"/>
      <x:c r="L557" s="27"/>
      <x:c r="M557" s="27"/>
      <x:c r="N557" s="27"/>
      <x:c r="O557" s="27"/>
      <x:c r="P557" s="27"/>
      <x:c r="Q557" s="27"/>
      <x:c r="R557" s="27"/>
      <x:c r="S557" s="27"/>
      <x:c r="T557" s="27"/>
      <x:c r="U557" s="27"/>
      <x:c r="V557" s="27"/>
      <x:c r="W557" s="27"/>
    </x:row>
    <x:row r="558">
      <x:c r="A558" s="27" t="str">
        <x:v>TNA-052-07</x:v>
      </x:c>
      <x:c r="B558" s="27" t="str">
        <x:v>ORD-1152</x:v>
      </x:c>
      <x:c r="C558" s="27" t="str">
        <x:v>cutting start</x:v>
      </x:c>
      <x:c r="D558" s="30" t="n">
        <x:v>46208</x:v>
      </x:c>
      <x:c r="E558" s="30"/>
      <x:c r="F558" s="34" t="str">
        <x:f>IF(E558="","",E558-D558)</x:f>
      </x:c>
      <x:c r="G558" s="27" t="str">
        <x:v>Open</x:v>
      </x:c>
      <x:c r="H558" s="27" t="str">
        <x:v>Yes</x:v>
      </x:c>
      <x:c r="I558" s="27"/>
      <x:c r="J558" s="27"/>
      <x:c r="K558" s="27"/>
      <x:c r="L558" s="27"/>
      <x:c r="M558" s="27"/>
      <x:c r="N558" s="27"/>
      <x:c r="O558" s="27"/>
      <x:c r="P558" s="27"/>
      <x:c r="Q558" s="27"/>
      <x:c r="R558" s="27"/>
      <x:c r="S558" s="27"/>
      <x:c r="T558" s="27"/>
      <x:c r="U558" s="27"/>
      <x:c r="V558" s="27"/>
      <x:c r="W558" s="27"/>
    </x:row>
    <x:row r="559">
      <x:c r="A559" s="27" t="str">
        <x:v>TNA-052-08</x:v>
      </x:c>
      <x:c r="B559" s="27" t="str">
        <x:v>ORD-1152</x:v>
      </x:c>
      <x:c r="C559" s="27" t="str">
        <x:v>sewing start</x:v>
      </x:c>
      <x:c r="D559" s="30" t="n">
        <x:v>46211</x:v>
      </x:c>
      <x:c r="E559" s="30"/>
      <x:c r="F559" s="34" t="str">
        <x:f>IF(E559="","",E559-D559)</x:f>
      </x:c>
      <x:c r="G559" s="27" t="str">
        <x:v>Open</x:v>
      </x:c>
      <x:c r="H559" s="27" t="str">
        <x:v>Yes</x:v>
      </x:c>
      <x:c r="I559" s="27"/>
      <x:c r="J559" s="27"/>
      <x:c r="K559" s="27"/>
      <x:c r="L559" s="27"/>
      <x:c r="M559" s="27"/>
      <x:c r="N559" s="27"/>
      <x:c r="O559" s="27"/>
      <x:c r="P559" s="27"/>
      <x:c r="Q559" s="27"/>
      <x:c r="R559" s="27"/>
      <x:c r="S559" s="27"/>
      <x:c r="T559" s="27"/>
      <x:c r="U559" s="27"/>
      <x:c r="V559" s="27"/>
      <x:c r="W559" s="27"/>
    </x:row>
    <x:row r="560">
      <x:c r="A560" s="27" t="str">
        <x:v>TNA-052-09</x:v>
      </x:c>
      <x:c r="B560" s="27" t="str">
        <x:v>ORD-1152</x:v>
      </x:c>
      <x:c r="C560" s="27" t="str">
        <x:v>final QC</x:v>
      </x:c>
      <x:c r="D560" s="30" t="n">
        <x:v>46226</x:v>
      </x:c>
      <x:c r="E560" s="30"/>
      <x:c r="F560" s="34" t="str">
        <x:f>IF(E560="","",E560-D560)</x:f>
      </x:c>
      <x:c r="G560" s="27" t="str">
        <x:v>Open</x:v>
      </x:c>
      <x:c r="H560" s="27" t="str">
        <x:v>Yes</x:v>
      </x:c>
      <x:c r="I560" s="27"/>
      <x:c r="J560" s="27"/>
      <x:c r="K560" s="27"/>
      <x:c r="L560" s="27"/>
      <x:c r="M560" s="27"/>
      <x:c r="N560" s="27"/>
      <x:c r="O560" s="27"/>
      <x:c r="P560" s="27"/>
      <x:c r="Q560" s="27"/>
      <x:c r="R560" s="27"/>
      <x:c r="S560" s="27"/>
      <x:c r="T560" s="27"/>
      <x:c r="U560" s="27"/>
      <x:c r="V560" s="27"/>
      <x:c r="W560" s="27"/>
    </x:row>
    <x:row r="561">
      <x:c r="A561" s="27" t="str">
        <x:v>TNA-052-10</x:v>
      </x:c>
      <x:c r="B561" s="27" t="str">
        <x:v>ORD-1152</x:v>
      </x:c>
      <x:c r="C561" s="27" t="str">
        <x:v>ex-factory handover</x:v>
      </x:c>
      <x:c r="D561" s="30" t="n">
        <x:v>46229</x:v>
      </x:c>
      <x:c r="E561" s="30"/>
      <x:c r="F561" s="34" t="str">
        <x:f>IF(E561="","",E561-D561)</x:f>
      </x:c>
      <x:c r="G561" s="27" t="str">
        <x:v>Open</x:v>
      </x:c>
      <x:c r="H561" s="27" t="str">
        <x:v>Yes</x:v>
      </x:c>
      <x:c r="I561" s="27"/>
      <x:c r="J561" s="27"/>
      <x:c r="K561" s="27"/>
      <x:c r="L561" s="27"/>
      <x:c r="M561" s="27"/>
      <x:c r="N561" s="27"/>
      <x:c r="O561" s="27"/>
      <x:c r="P561" s="27"/>
      <x:c r="Q561" s="27"/>
      <x:c r="R561" s="27"/>
      <x:c r="S561" s="27"/>
      <x:c r="T561" s="27"/>
      <x:c r="U561" s="27"/>
      <x:c r="V561" s="27"/>
      <x:c r="W561" s="27"/>
    </x:row>
    <x:row r="562">
      <x:c r="A562" s="27" t="str">
        <x:v>TNA-053-01</x:v>
      </x:c>
      <x:c r="B562" s="27" t="str">
        <x:v>ORD-1153</x:v>
      </x:c>
      <x:c r="C562" s="27" t="str">
        <x:v>tech pack freeze</x:v>
      </x:c>
      <x:c r="D562" s="30" t="n">
        <x:v>46180</x:v>
      </x:c>
      <x:c r="E562" s="30"/>
      <x:c r="F562" s="34" t="str">
        <x:f>IF(E562="","",E562-D562)</x:f>
      </x:c>
      <x:c r="G562" s="27" t="str">
        <x:v>Open</x:v>
      </x:c>
      <x:c r="H562" s="27" t="str">
        <x:v>No</x:v>
      </x:c>
      <x:c r="I562" s="27"/>
      <x:c r="J562" s="27"/>
      <x:c r="K562" s="27"/>
      <x:c r="L562" s="27"/>
      <x:c r="M562" s="27"/>
      <x:c r="N562" s="27"/>
      <x:c r="O562" s="27"/>
      <x:c r="P562" s="27"/>
      <x:c r="Q562" s="27"/>
      <x:c r="R562" s="27"/>
      <x:c r="S562" s="27"/>
      <x:c r="T562" s="27"/>
      <x:c r="U562" s="27"/>
      <x:c r="V562" s="27"/>
      <x:c r="W562" s="27"/>
    </x:row>
    <x:row r="563">
      <x:c r="A563" s="27" t="str">
        <x:v>TNA-053-02</x:v>
      </x:c>
      <x:c r="B563" s="27" t="str">
        <x:v>ORD-1153</x:v>
      </x:c>
      <x:c r="C563" s="27" t="str">
        <x:v>line booking</x:v>
      </x:c>
      <x:c r="D563" s="30" t="n">
        <x:v>46184</x:v>
      </x:c>
      <x:c r="E563" s="30"/>
      <x:c r="F563" s="34" t="str">
        <x:f>IF(E563="","",E563-D563)</x:f>
      </x:c>
      <x:c r="G563" s="27" t="str">
        <x:v>Open</x:v>
      </x:c>
      <x:c r="H563" s="27" t="str">
        <x:v>No</x:v>
      </x:c>
      <x:c r="I563" s="27"/>
      <x:c r="J563" s="27"/>
      <x:c r="K563" s="27"/>
      <x:c r="L563" s="27"/>
      <x:c r="M563" s="27"/>
      <x:c r="N563" s="27"/>
      <x:c r="O563" s="27"/>
      <x:c r="P563" s="27"/>
      <x:c r="Q563" s="27"/>
      <x:c r="R563" s="27"/>
      <x:c r="S563" s="27"/>
      <x:c r="T563" s="27"/>
      <x:c r="U563" s="27"/>
      <x:c r="V563" s="27"/>
      <x:c r="W563" s="27"/>
    </x:row>
    <x:row r="564">
      <x:c r="A564" s="27" t="str">
        <x:v>TNA-053-03</x:v>
      </x:c>
      <x:c r="B564" s="27" t="str">
        <x:v>ORD-1153</x:v>
      </x:c>
      <x:c r="C564" s="27" t="str">
        <x:v>fabric/trim confirmation</x:v>
      </x:c>
      <x:c r="D564" s="30" t="n">
        <x:v>46188</x:v>
      </x:c>
      <x:c r="E564" s="30"/>
      <x:c r="F564" s="34" t="str">
        <x:f>IF(E564="","",E564-D564)</x:f>
      </x:c>
      <x:c r="G564" s="27" t="str">
        <x:v>Open</x:v>
      </x:c>
      <x:c r="H564" s="27" t="str">
        <x:v>No</x:v>
      </x:c>
      <x:c r="I564" s="27"/>
      <x:c r="J564" s="27"/>
      <x:c r="K564" s="27"/>
      <x:c r="L564" s="27"/>
      <x:c r="M564" s="27"/>
      <x:c r="N564" s="27"/>
      <x:c r="O564" s="27"/>
      <x:c r="P564" s="27"/>
      <x:c r="Q564" s="27"/>
      <x:c r="R564" s="27"/>
      <x:c r="S564" s="27"/>
      <x:c r="T564" s="27"/>
      <x:c r="U564" s="27"/>
      <x:c r="V564" s="27"/>
      <x:c r="W564" s="27"/>
    </x:row>
    <x:row r="565">
      <x:c r="A565" s="27" t="str">
        <x:v>TNA-053-04</x:v>
      </x:c>
      <x:c r="B565" s="27" t="str">
        <x:v>ORD-1153</x:v>
      </x:c>
      <x:c r="C565" s="27" t="str">
        <x:v>fit sample sent</x:v>
      </x:c>
      <x:c r="D565" s="30" t="n">
        <x:v>46192</x:v>
      </x:c>
      <x:c r="E565" s="30"/>
      <x:c r="F565" s="34" t="str">
        <x:f>IF(E565="","",E565-D565)</x:f>
      </x:c>
      <x:c r="G565" s="27" t="str">
        <x:v>Open</x:v>
      </x:c>
      <x:c r="H565" s="27" t="str">
        <x:v>No</x:v>
      </x:c>
      <x:c r="I565" s="27"/>
      <x:c r="J565" s="27"/>
      <x:c r="K565" s="27"/>
      <x:c r="L565" s="27"/>
      <x:c r="M565" s="27"/>
      <x:c r="N565" s="27"/>
      <x:c r="O565" s="27"/>
      <x:c r="P565" s="27"/>
      <x:c r="Q565" s="27"/>
      <x:c r="R565" s="27"/>
      <x:c r="S565" s="27"/>
      <x:c r="T565" s="27"/>
      <x:c r="U565" s="27"/>
      <x:c r="V565" s="27"/>
      <x:c r="W565" s="27"/>
    </x:row>
    <x:row r="566">
      <x:c r="A566" s="27" t="str">
        <x:v>TNA-053-05</x:v>
      </x:c>
      <x:c r="B566" s="27" t="str">
        <x:v>ORD-1153</x:v>
      </x:c>
      <x:c r="C566" s="27" t="str">
        <x:v>fit approval</x:v>
      </x:c>
      <x:c r="D566" s="30" t="n">
        <x:v>46196</x:v>
      </x:c>
      <x:c r="E566" s="30"/>
      <x:c r="F566" s="34" t="str">
        <x:f>IF(E566="","",E566-D566)</x:f>
      </x:c>
      <x:c r="G566" s="27" t="str">
        <x:v>Open</x:v>
      </x:c>
      <x:c r="H566" s="27" t="str">
        <x:v>No</x:v>
      </x:c>
      <x:c r="I566" s="27"/>
      <x:c r="J566" s="27"/>
      <x:c r="K566" s="27"/>
      <x:c r="L566" s="27"/>
      <x:c r="M566" s="27"/>
      <x:c r="N566" s="27"/>
      <x:c r="O566" s="27"/>
      <x:c r="P566" s="27"/>
      <x:c r="Q566" s="27"/>
      <x:c r="R566" s="27"/>
      <x:c r="S566" s="27"/>
      <x:c r="T566" s="27"/>
      <x:c r="U566" s="27"/>
      <x:c r="V566" s="27"/>
      <x:c r="W566" s="27"/>
    </x:row>
    <x:row r="567">
      <x:c r="A567" s="27" t="str">
        <x:v>TNA-053-06</x:v>
      </x:c>
      <x:c r="B567" s="27" t="str">
        <x:v>ORD-1153</x:v>
      </x:c>
      <x:c r="C567" s="27" t="str">
        <x:v>PP sample approval</x:v>
      </x:c>
      <x:c r="D567" s="30" t="n">
        <x:v>46204</x:v>
      </x:c>
      <x:c r="E567" s="30"/>
      <x:c r="F567" s="34" t="str">
        <x:f>IF(E567="","",E567-D567)</x:f>
      </x:c>
      <x:c r="G567" s="27" t="str">
        <x:v>Open</x:v>
      </x:c>
      <x:c r="H567" s="27" t="str">
        <x:v>Yes</x:v>
      </x:c>
      <x:c r="I567" s="27"/>
      <x:c r="J567" s="27"/>
      <x:c r="K567" s="27"/>
      <x:c r="L567" s="27"/>
      <x:c r="M567" s="27"/>
      <x:c r="N567" s="27"/>
      <x:c r="O567" s="27"/>
      <x:c r="P567" s="27"/>
      <x:c r="Q567" s="27"/>
      <x:c r="R567" s="27"/>
      <x:c r="S567" s="27"/>
      <x:c r="T567" s="27"/>
      <x:c r="U567" s="27"/>
      <x:c r="V567" s="27"/>
      <x:c r="W567" s="27"/>
    </x:row>
    <x:row r="568">
      <x:c r="A568" s="27" t="str">
        <x:v>TNA-053-07</x:v>
      </x:c>
      <x:c r="B568" s="27" t="str">
        <x:v>ORD-1153</x:v>
      </x:c>
      <x:c r="C568" s="27" t="str">
        <x:v>cutting start</x:v>
      </x:c>
      <x:c r="D568" s="30" t="n">
        <x:v>46210</x:v>
      </x:c>
      <x:c r="E568" s="30"/>
      <x:c r="F568" s="34" t="str">
        <x:f>IF(E568="","",E568-D568)</x:f>
      </x:c>
      <x:c r="G568" s="27" t="str">
        <x:v>Open</x:v>
      </x:c>
      <x:c r="H568" s="27" t="str">
        <x:v>Yes</x:v>
      </x:c>
      <x:c r="I568" s="27"/>
      <x:c r="J568" s="27"/>
      <x:c r="K568" s="27"/>
      <x:c r="L568" s="27"/>
      <x:c r="M568" s="27"/>
      <x:c r="N568" s="27"/>
      <x:c r="O568" s="27"/>
      <x:c r="P568" s="27"/>
      <x:c r="Q568" s="27"/>
      <x:c r="R568" s="27"/>
      <x:c r="S568" s="27"/>
      <x:c r="T568" s="27"/>
      <x:c r="U568" s="27"/>
      <x:c r="V568" s="27"/>
      <x:c r="W568" s="27"/>
    </x:row>
    <x:row r="569">
      <x:c r="A569" s="27" t="str">
        <x:v>TNA-053-08</x:v>
      </x:c>
      <x:c r="B569" s="27" t="str">
        <x:v>ORD-1153</x:v>
      </x:c>
      <x:c r="C569" s="27" t="str">
        <x:v>sewing start</x:v>
      </x:c>
      <x:c r="D569" s="30" t="n">
        <x:v>46213</x:v>
      </x:c>
      <x:c r="E569" s="30"/>
      <x:c r="F569" s="34" t="str">
        <x:f>IF(E569="","",E569-D569)</x:f>
      </x:c>
      <x:c r="G569" s="27" t="str">
        <x:v>Open</x:v>
      </x:c>
      <x:c r="H569" s="27" t="str">
        <x:v>Yes</x:v>
      </x:c>
      <x:c r="I569" s="27"/>
      <x:c r="J569" s="27"/>
      <x:c r="K569" s="27"/>
      <x:c r="L569" s="27"/>
      <x:c r="M569" s="27"/>
      <x:c r="N569" s="27"/>
      <x:c r="O569" s="27"/>
      <x:c r="P569" s="27"/>
      <x:c r="Q569" s="27"/>
      <x:c r="R569" s="27"/>
      <x:c r="S569" s="27"/>
      <x:c r="T569" s="27"/>
      <x:c r="U569" s="27"/>
      <x:c r="V569" s="27"/>
      <x:c r="W569" s="27"/>
    </x:row>
    <x:row r="570">
      <x:c r="A570" s="27" t="str">
        <x:v>TNA-053-09</x:v>
      </x:c>
      <x:c r="B570" s="27" t="str">
        <x:v>ORD-1153</x:v>
      </x:c>
      <x:c r="C570" s="27" t="str">
        <x:v>final QC</x:v>
      </x:c>
      <x:c r="D570" s="30" t="n">
        <x:v>46227</x:v>
      </x:c>
      <x:c r="E570" s="30"/>
      <x:c r="F570" s="34" t="str">
        <x:f>IF(E570="","",E570-D570)</x:f>
      </x:c>
      <x:c r="G570" s="27" t="str">
        <x:v>Open</x:v>
      </x:c>
      <x:c r="H570" s="27" t="str">
        <x:v>Yes</x:v>
      </x:c>
      <x:c r="I570" s="27"/>
      <x:c r="J570" s="27"/>
      <x:c r="K570" s="27"/>
      <x:c r="L570" s="27"/>
      <x:c r="M570" s="27"/>
      <x:c r="N570" s="27"/>
      <x:c r="O570" s="27"/>
      <x:c r="P570" s="27"/>
      <x:c r="Q570" s="27"/>
      <x:c r="R570" s="27"/>
      <x:c r="S570" s="27"/>
      <x:c r="T570" s="27"/>
      <x:c r="U570" s="27"/>
      <x:c r="V570" s="27"/>
      <x:c r="W570" s="27"/>
    </x:row>
    <x:row r="571">
      <x:c r="A571" s="27" t="str">
        <x:v>TNA-053-10</x:v>
      </x:c>
      <x:c r="B571" s="27" t="str">
        <x:v>ORD-1153</x:v>
      </x:c>
      <x:c r="C571" s="27" t="str">
        <x:v>ex-factory handover</x:v>
      </x:c>
      <x:c r="D571" s="30" t="n">
        <x:v>46230</x:v>
      </x:c>
      <x:c r="E571" s="30"/>
      <x:c r="F571" s="34" t="str">
        <x:f>IF(E571="","",E571-D571)</x:f>
      </x:c>
      <x:c r="G571" s="27" t="str">
        <x:v>Open</x:v>
      </x:c>
      <x:c r="H571" s="27" t="str">
        <x:v>Yes</x:v>
      </x:c>
      <x:c r="I571" s="27"/>
      <x:c r="J571" s="27"/>
      <x:c r="K571" s="27"/>
      <x:c r="L571" s="27"/>
      <x:c r="M571" s="27"/>
      <x:c r="N571" s="27"/>
      <x:c r="O571" s="27"/>
      <x:c r="P571" s="27"/>
      <x:c r="Q571" s="27"/>
      <x:c r="R571" s="27"/>
      <x:c r="S571" s="27"/>
      <x:c r="T571" s="27"/>
      <x:c r="U571" s="27"/>
      <x:c r="V571" s="27"/>
      <x:c r="W571" s="27"/>
    </x:row>
    <x:row r="572">
      <x:c r="A572" s="27" t="str">
        <x:v>TNA-054-01</x:v>
      </x:c>
      <x:c r="B572" s="27" t="str">
        <x:v>ORD-1154</x:v>
      </x:c>
      <x:c r="C572" s="27" t="str">
        <x:v>tech pack freeze</x:v>
      </x:c>
      <x:c r="D572" s="30" t="n">
        <x:v>46182</x:v>
      </x:c>
      <x:c r="E572" s="30"/>
      <x:c r="F572" s="34" t="str">
        <x:f>IF(E572="","",E572-D572)</x:f>
      </x:c>
      <x:c r="G572" s="27" t="str">
        <x:v>Open</x:v>
      </x:c>
      <x:c r="H572" s="27" t="str">
        <x:v>No</x:v>
      </x:c>
      <x:c r="I572" s="27"/>
      <x:c r="J572" s="27"/>
      <x:c r="K572" s="27"/>
      <x:c r="L572" s="27"/>
      <x:c r="M572" s="27"/>
      <x:c r="N572" s="27"/>
      <x:c r="O572" s="27"/>
      <x:c r="P572" s="27"/>
      <x:c r="Q572" s="27"/>
      <x:c r="R572" s="27"/>
      <x:c r="S572" s="27"/>
      <x:c r="T572" s="27"/>
      <x:c r="U572" s="27"/>
      <x:c r="V572" s="27"/>
      <x:c r="W572" s="27"/>
    </x:row>
    <x:row r="573">
      <x:c r="A573" s="27" t="str">
        <x:v>TNA-054-02</x:v>
      </x:c>
      <x:c r="B573" s="27" t="str">
        <x:v>ORD-1154</x:v>
      </x:c>
      <x:c r="C573" s="27" t="str">
        <x:v>line booking</x:v>
      </x:c>
      <x:c r="D573" s="30" t="n">
        <x:v>46186</x:v>
      </x:c>
      <x:c r="E573" s="30"/>
      <x:c r="F573" s="34" t="str">
        <x:f>IF(E573="","",E573-D573)</x:f>
      </x:c>
      <x:c r="G573" s="27" t="str">
        <x:v>Open</x:v>
      </x:c>
      <x:c r="H573" s="27" t="str">
        <x:v>No</x:v>
      </x:c>
      <x:c r="I573" s="27"/>
      <x:c r="J573" s="27"/>
      <x:c r="K573" s="27"/>
      <x:c r="L573" s="27"/>
      <x:c r="M573" s="27"/>
      <x:c r="N573" s="27"/>
      <x:c r="O573" s="27"/>
      <x:c r="P573" s="27"/>
      <x:c r="Q573" s="27"/>
      <x:c r="R573" s="27"/>
      <x:c r="S573" s="27"/>
      <x:c r="T573" s="27"/>
      <x:c r="U573" s="27"/>
      <x:c r="V573" s="27"/>
      <x:c r="W573" s="27"/>
    </x:row>
    <x:row r="574">
      <x:c r="A574" s="27" t="str">
        <x:v>TNA-054-03</x:v>
      </x:c>
      <x:c r="B574" s="27" t="str">
        <x:v>ORD-1154</x:v>
      </x:c>
      <x:c r="C574" s="27" t="str">
        <x:v>fabric/trim confirmation</x:v>
      </x:c>
      <x:c r="D574" s="30" t="n">
        <x:v>46190</x:v>
      </x:c>
      <x:c r="E574" s="30"/>
      <x:c r="F574" s="34" t="str">
        <x:f>IF(E574="","",E574-D574)</x:f>
      </x:c>
      <x:c r="G574" s="27" t="str">
        <x:v>Open</x:v>
      </x:c>
      <x:c r="H574" s="27" t="str">
        <x:v>No</x:v>
      </x:c>
      <x:c r="I574" s="27"/>
      <x:c r="J574" s="27"/>
      <x:c r="K574" s="27"/>
      <x:c r="L574" s="27"/>
      <x:c r="M574" s="27"/>
      <x:c r="N574" s="27"/>
      <x:c r="O574" s="27"/>
      <x:c r="P574" s="27"/>
      <x:c r="Q574" s="27"/>
      <x:c r="R574" s="27"/>
      <x:c r="S574" s="27"/>
      <x:c r="T574" s="27"/>
      <x:c r="U574" s="27"/>
      <x:c r="V574" s="27"/>
      <x:c r="W574" s="27"/>
    </x:row>
    <x:row r="575">
      <x:c r="A575" s="27" t="str">
        <x:v>TNA-054-04</x:v>
      </x:c>
      <x:c r="B575" s="27" t="str">
        <x:v>ORD-1154</x:v>
      </x:c>
      <x:c r="C575" s="27" t="str">
        <x:v>fit sample sent</x:v>
      </x:c>
      <x:c r="D575" s="30" t="n">
        <x:v>46194</x:v>
      </x:c>
      <x:c r="E575" s="30"/>
      <x:c r="F575" s="34" t="str">
        <x:f>IF(E575="","",E575-D575)</x:f>
      </x:c>
      <x:c r="G575" s="27" t="str">
        <x:v>Open</x:v>
      </x:c>
      <x:c r="H575" s="27" t="str">
        <x:v>No</x:v>
      </x:c>
      <x:c r="I575" s="27"/>
      <x:c r="J575" s="27"/>
      <x:c r="K575" s="27"/>
      <x:c r="L575" s="27"/>
      <x:c r="M575" s="27"/>
      <x:c r="N575" s="27"/>
      <x:c r="O575" s="27"/>
      <x:c r="P575" s="27"/>
      <x:c r="Q575" s="27"/>
      <x:c r="R575" s="27"/>
      <x:c r="S575" s="27"/>
      <x:c r="T575" s="27"/>
      <x:c r="U575" s="27"/>
      <x:c r="V575" s="27"/>
      <x:c r="W575" s="27"/>
    </x:row>
    <x:row r="576">
      <x:c r="A576" s="27" t="str">
        <x:v>TNA-054-05</x:v>
      </x:c>
      <x:c r="B576" s="27" t="str">
        <x:v>ORD-1154</x:v>
      </x:c>
      <x:c r="C576" s="27" t="str">
        <x:v>fit approval</x:v>
      </x:c>
      <x:c r="D576" s="30" t="n">
        <x:v>46198</x:v>
      </x:c>
      <x:c r="E576" s="30"/>
      <x:c r="F576" s="34" t="str">
        <x:f>IF(E576="","",E576-D576)</x:f>
      </x:c>
      <x:c r="G576" s="27" t="str">
        <x:v>Open</x:v>
      </x:c>
      <x:c r="H576" s="27" t="str">
        <x:v>No</x:v>
      </x:c>
      <x:c r="I576" s="27"/>
      <x:c r="J576" s="27"/>
      <x:c r="K576" s="27"/>
      <x:c r="L576" s="27"/>
      <x:c r="M576" s="27"/>
      <x:c r="N576" s="27"/>
      <x:c r="O576" s="27"/>
      <x:c r="P576" s="27"/>
      <x:c r="Q576" s="27"/>
      <x:c r="R576" s="27"/>
      <x:c r="S576" s="27"/>
      <x:c r="T576" s="27"/>
      <x:c r="U576" s="27"/>
      <x:c r="V576" s="27"/>
      <x:c r="W576" s="27"/>
    </x:row>
    <x:row r="577">
      <x:c r="A577" s="27" t="str">
        <x:v>TNA-054-06</x:v>
      </x:c>
      <x:c r="B577" s="27" t="str">
        <x:v>ORD-1154</x:v>
      </x:c>
      <x:c r="C577" s="27" t="str">
        <x:v>PP sample approval</x:v>
      </x:c>
      <x:c r="D577" s="30" t="n">
        <x:v>46206</x:v>
      </x:c>
      <x:c r="E577" s="30"/>
      <x:c r="F577" s="34" t="str">
        <x:f>IF(E577="","",E577-D577)</x:f>
      </x:c>
      <x:c r="G577" s="27" t="str">
        <x:v>Open</x:v>
      </x:c>
      <x:c r="H577" s="27" t="str">
        <x:v>Yes</x:v>
      </x:c>
      <x:c r="I577" s="27"/>
      <x:c r="J577" s="27"/>
      <x:c r="K577" s="27"/>
      <x:c r="L577" s="27"/>
      <x:c r="M577" s="27"/>
      <x:c r="N577" s="27"/>
      <x:c r="O577" s="27"/>
      <x:c r="P577" s="27"/>
      <x:c r="Q577" s="27"/>
      <x:c r="R577" s="27"/>
      <x:c r="S577" s="27"/>
      <x:c r="T577" s="27"/>
      <x:c r="U577" s="27"/>
      <x:c r="V577" s="27"/>
      <x:c r="W577" s="27"/>
    </x:row>
    <x:row r="578">
      <x:c r="A578" s="27" t="str">
        <x:v>TNA-054-07</x:v>
      </x:c>
      <x:c r="B578" s="27" t="str">
        <x:v>ORD-1154</x:v>
      </x:c>
      <x:c r="C578" s="27" t="str">
        <x:v>cutting start</x:v>
      </x:c>
      <x:c r="D578" s="30" t="n">
        <x:v>46212</x:v>
      </x:c>
      <x:c r="E578" s="30"/>
      <x:c r="F578" s="34" t="str">
        <x:f>IF(E578="","",E578-D578)</x:f>
      </x:c>
      <x:c r="G578" s="27" t="str">
        <x:v>Open</x:v>
      </x:c>
      <x:c r="H578" s="27" t="str">
        <x:v>Yes</x:v>
      </x:c>
      <x:c r="I578" s="27"/>
      <x:c r="J578" s="27"/>
      <x:c r="K578" s="27"/>
      <x:c r="L578" s="27"/>
      <x:c r="M578" s="27"/>
      <x:c r="N578" s="27"/>
      <x:c r="O578" s="27"/>
      <x:c r="P578" s="27"/>
      <x:c r="Q578" s="27"/>
      <x:c r="R578" s="27"/>
      <x:c r="S578" s="27"/>
      <x:c r="T578" s="27"/>
      <x:c r="U578" s="27"/>
      <x:c r="V578" s="27"/>
      <x:c r="W578" s="27"/>
    </x:row>
    <x:row r="579">
      <x:c r="A579" s="27" t="str">
        <x:v>TNA-054-08</x:v>
      </x:c>
      <x:c r="B579" s="27" t="str">
        <x:v>ORD-1154</x:v>
      </x:c>
      <x:c r="C579" s="27" t="str">
        <x:v>sewing start</x:v>
      </x:c>
      <x:c r="D579" s="30" t="n">
        <x:v>46215</x:v>
      </x:c>
      <x:c r="E579" s="30"/>
      <x:c r="F579" s="34" t="str">
        <x:f>IF(E579="","",E579-D579)</x:f>
      </x:c>
      <x:c r="G579" s="27" t="str">
        <x:v>Open</x:v>
      </x:c>
      <x:c r="H579" s="27" t="str">
        <x:v>Yes</x:v>
      </x:c>
      <x:c r="I579" s="27"/>
      <x:c r="J579" s="27"/>
      <x:c r="K579" s="27"/>
      <x:c r="L579" s="27"/>
      <x:c r="M579" s="27"/>
      <x:c r="N579" s="27"/>
      <x:c r="O579" s="27"/>
      <x:c r="P579" s="27"/>
      <x:c r="Q579" s="27"/>
      <x:c r="R579" s="27"/>
      <x:c r="S579" s="27"/>
      <x:c r="T579" s="27"/>
      <x:c r="U579" s="27"/>
      <x:c r="V579" s="27"/>
      <x:c r="W579" s="27"/>
    </x:row>
    <x:row r="580">
      <x:c r="A580" s="27" t="str">
        <x:v>TNA-054-09</x:v>
      </x:c>
      <x:c r="B580" s="27" t="str">
        <x:v>ORD-1154</x:v>
      </x:c>
      <x:c r="C580" s="27" t="str">
        <x:v>final QC</x:v>
      </x:c>
      <x:c r="D580" s="30" t="n">
        <x:v>46231</x:v>
      </x:c>
      <x:c r="E580" s="30"/>
      <x:c r="F580" s="34" t="str">
        <x:f>IF(E580="","",E580-D580)</x:f>
      </x:c>
      <x:c r="G580" s="27" t="str">
        <x:v>Open</x:v>
      </x:c>
      <x:c r="H580" s="27" t="str">
        <x:v>Yes</x:v>
      </x:c>
      <x:c r="I580" s="27"/>
      <x:c r="J580" s="27"/>
      <x:c r="K580" s="27"/>
      <x:c r="L580" s="27"/>
      <x:c r="M580" s="27"/>
      <x:c r="N580" s="27"/>
      <x:c r="O580" s="27"/>
      <x:c r="P580" s="27"/>
      <x:c r="Q580" s="27"/>
      <x:c r="R580" s="27"/>
      <x:c r="S580" s="27"/>
      <x:c r="T580" s="27"/>
      <x:c r="U580" s="27"/>
      <x:c r="V580" s="27"/>
      <x:c r="W580" s="27"/>
    </x:row>
    <x:row r="581">
      <x:c r="A581" s="27" t="str">
        <x:v>TNA-054-10</x:v>
      </x:c>
      <x:c r="B581" s="27" t="str">
        <x:v>ORD-1154</x:v>
      </x:c>
      <x:c r="C581" s="27" t="str">
        <x:v>ex-factory handover</x:v>
      </x:c>
      <x:c r="D581" s="30" t="n">
        <x:v>46234</x:v>
      </x:c>
      <x:c r="E581" s="30"/>
      <x:c r="F581" s="34" t="str">
        <x:f>IF(E581="","",E581-D581)</x:f>
      </x:c>
      <x:c r="G581" s="27" t="str">
        <x:v>Open</x:v>
      </x:c>
      <x:c r="H581" s="27" t="str">
        <x:v>Yes</x:v>
      </x:c>
      <x:c r="I581" s="27"/>
      <x:c r="J581" s="27"/>
      <x:c r="K581" s="27"/>
      <x:c r="L581" s="27"/>
      <x:c r="M581" s="27"/>
      <x:c r="N581" s="27"/>
      <x:c r="O581" s="27"/>
      <x:c r="P581" s="27"/>
      <x:c r="Q581" s="27"/>
      <x:c r="R581" s="27"/>
      <x:c r="S581" s="27"/>
      <x:c r="T581" s="27"/>
      <x:c r="U581" s="27"/>
      <x:c r="V581" s="27"/>
      <x:c r="W581" s="27"/>
    </x:row>
    <x:row r="582">
      <x:c r="A582" s="27" t="str">
        <x:v>TNA-055-01</x:v>
      </x:c>
      <x:c r="B582" s="27" t="str">
        <x:v>ORD-1155</x:v>
      </x:c>
      <x:c r="C582" s="27" t="str">
        <x:v>tech pack freeze</x:v>
      </x:c>
      <x:c r="D582" s="30" t="n">
        <x:v>46184</x:v>
      </x:c>
      <x:c r="E582" s="30"/>
      <x:c r="F582" s="34" t="str">
        <x:f>IF(E582="","",E582-D582)</x:f>
      </x:c>
      <x:c r="G582" s="27" t="str">
        <x:v>Open</x:v>
      </x:c>
      <x:c r="H582" s="27" t="str">
        <x:v>No</x:v>
      </x:c>
      <x:c r="I582" s="27"/>
      <x:c r="J582" s="27"/>
      <x:c r="K582" s="27"/>
      <x:c r="L582" s="27"/>
      <x:c r="M582" s="27"/>
      <x:c r="N582" s="27"/>
      <x:c r="O582" s="27"/>
      <x:c r="P582" s="27"/>
      <x:c r="Q582" s="27"/>
      <x:c r="R582" s="27"/>
      <x:c r="S582" s="27"/>
      <x:c r="T582" s="27"/>
      <x:c r="U582" s="27"/>
      <x:c r="V582" s="27"/>
      <x:c r="W582" s="27"/>
    </x:row>
    <x:row r="583">
      <x:c r="A583" s="27" t="str">
        <x:v>TNA-055-02</x:v>
      </x:c>
      <x:c r="B583" s="27" t="str">
        <x:v>ORD-1155</x:v>
      </x:c>
      <x:c r="C583" s="27" t="str">
        <x:v>line booking</x:v>
      </x:c>
      <x:c r="D583" s="30" t="n">
        <x:v>46188</x:v>
      </x:c>
      <x:c r="E583" s="30"/>
      <x:c r="F583" s="34" t="str">
        <x:f>IF(E583="","",E583-D583)</x:f>
      </x:c>
      <x:c r="G583" s="27" t="str">
        <x:v>Open</x:v>
      </x:c>
      <x:c r="H583" s="27" t="str">
        <x:v>No</x:v>
      </x:c>
      <x:c r="I583" s="27"/>
      <x:c r="J583" s="27"/>
      <x:c r="K583" s="27"/>
      <x:c r="L583" s="27"/>
      <x:c r="M583" s="27"/>
      <x:c r="N583" s="27"/>
      <x:c r="O583" s="27"/>
      <x:c r="P583" s="27"/>
      <x:c r="Q583" s="27"/>
      <x:c r="R583" s="27"/>
      <x:c r="S583" s="27"/>
      <x:c r="T583" s="27"/>
      <x:c r="U583" s="27"/>
      <x:c r="V583" s="27"/>
      <x:c r="W583" s="27"/>
    </x:row>
    <x:row r="584">
      <x:c r="A584" s="27" t="str">
        <x:v>TNA-055-03</x:v>
      </x:c>
      <x:c r="B584" s="27" t="str">
        <x:v>ORD-1155</x:v>
      </x:c>
      <x:c r="C584" s="27" t="str">
        <x:v>fabric/trim confirmation</x:v>
      </x:c>
      <x:c r="D584" s="30" t="n">
        <x:v>46192</x:v>
      </x:c>
      <x:c r="E584" s="30"/>
      <x:c r="F584" s="34" t="str">
        <x:f>IF(E584="","",E584-D584)</x:f>
      </x:c>
      <x:c r="G584" s="27" t="str">
        <x:v>Open</x:v>
      </x:c>
      <x:c r="H584" s="27" t="str">
        <x:v>No</x:v>
      </x:c>
      <x:c r="I584" s="27"/>
      <x:c r="J584" s="27"/>
      <x:c r="K584" s="27"/>
      <x:c r="L584" s="27"/>
      <x:c r="M584" s="27"/>
      <x:c r="N584" s="27"/>
      <x:c r="O584" s="27"/>
      <x:c r="P584" s="27"/>
      <x:c r="Q584" s="27"/>
      <x:c r="R584" s="27"/>
      <x:c r="S584" s="27"/>
      <x:c r="T584" s="27"/>
      <x:c r="U584" s="27"/>
      <x:c r="V584" s="27"/>
      <x:c r="W584" s="27"/>
    </x:row>
    <x:row r="585">
      <x:c r="A585" s="27" t="str">
        <x:v>TNA-055-04</x:v>
      </x:c>
      <x:c r="B585" s="27" t="str">
        <x:v>ORD-1155</x:v>
      </x:c>
      <x:c r="C585" s="27" t="str">
        <x:v>fit sample sent</x:v>
      </x:c>
      <x:c r="D585" s="30" t="n">
        <x:v>46196</x:v>
      </x:c>
      <x:c r="E585" s="30"/>
      <x:c r="F585" s="34" t="str">
        <x:f>IF(E585="","",E585-D585)</x:f>
      </x:c>
      <x:c r="G585" s="27" t="str">
        <x:v>Open</x:v>
      </x:c>
      <x:c r="H585" s="27" t="str">
        <x:v>No</x:v>
      </x:c>
      <x:c r="I585" s="27"/>
      <x:c r="J585" s="27"/>
      <x:c r="K585" s="27"/>
      <x:c r="L585" s="27"/>
      <x:c r="M585" s="27"/>
      <x:c r="N585" s="27"/>
      <x:c r="O585" s="27"/>
      <x:c r="P585" s="27"/>
      <x:c r="Q585" s="27"/>
      <x:c r="R585" s="27"/>
      <x:c r="S585" s="27"/>
      <x:c r="T585" s="27"/>
      <x:c r="U585" s="27"/>
      <x:c r="V585" s="27"/>
      <x:c r="W585" s="27"/>
    </x:row>
    <x:row r="586">
      <x:c r="A586" s="27" t="str">
        <x:v>TNA-055-05</x:v>
      </x:c>
      <x:c r="B586" s="27" t="str">
        <x:v>ORD-1155</x:v>
      </x:c>
      <x:c r="C586" s="27" t="str">
        <x:v>fit approval</x:v>
      </x:c>
      <x:c r="D586" s="30" t="n">
        <x:v>46200</x:v>
      </x:c>
      <x:c r="E586" s="30"/>
      <x:c r="F586" s="34" t="str">
        <x:f>IF(E586="","",E586-D586)</x:f>
      </x:c>
      <x:c r="G586" s="27" t="str">
        <x:v>Open</x:v>
      </x:c>
      <x:c r="H586" s="27" t="str">
        <x:v>No</x:v>
      </x:c>
      <x:c r="I586" s="27"/>
      <x:c r="J586" s="27"/>
      <x:c r="K586" s="27"/>
      <x:c r="L586" s="27"/>
      <x:c r="M586" s="27"/>
      <x:c r="N586" s="27"/>
      <x:c r="O586" s="27"/>
      <x:c r="P586" s="27"/>
      <x:c r="Q586" s="27"/>
      <x:c r="R586" s="27"/>
      <x:c r="S586" s="27"/>
      <x:c r="T586" s="27"/>
      <x:c r="U586" s="27"/>
      <x:c r="V586" s="27"/>
      <x:c r="W586" s="27"/>
    </x:row>
    <x:row r="587">
      <x:c r="A587" s="27" t="str">
        <x:v>TNA-055-06</x:v>
      </x:c>
      <x:c r="B587" s="27" t="str">
        <x:v>ORD-1155</x:v>
      </x:c>
      <x:c r="C587" s="27" t="str">
        <x:v>PP sample approval</x:v>
      </x:c>
      <x:c r="D587" s="30" t="n">
        <x:v>46208</x:v>
      </x:c>
      <x:c r="E587" s="30"/>
      <x:c r="F587" s="34" t="str">
        <x:f>IF(E587="","",E587-D587)</x:f>
      </x:c>
      <x:c r="G587" s="27" t="str">
        <x:v>Open</x:v>
      </x:c>
      <x:c r="H587" s="27" t="str">
        <x:v>Yes</x:v>
      </x:c>
      <x:c r="I587" s="27"/>
      <x:c r="J587" s="27"/>
      <x:c r="K587" s="27"/>
      <x:c r="L587" s="27"/>
      <x:c r="M587" s="27"/>
      <x:c r="N587" s="27"/>
      <x:c r="O587" s="27"/>
      <x:c r="P587" s="27"/>
      <x:c r="Q587" s="27"/>
      <x:c r="R587" s="27"/>
      <x:c r="S587" s="27"/>
      <x:c r="T587" s="27"/>
      <x:c r="U587" s="27"/>
      <x:c r="V587" s="27"/>
      <x:c r="W587" s="27"/>
    </x:row>
    <x:row r="588">
      <x:c r="A588" s="27" t="str">
        <x:v>TNA-055-07</x:v>
      </x:c>
      <x:c r="B588" s="27" t="str">
        <x:v>ORD-1155</x:v>
      </x:c>
      <x:c r="C588" s="27" t="str">
        <x:v>cutting start</x:v>
      </x:c>
      <x:c r="D588" s="30" t="n">
        <x:v>46214</x:v>
      </x:c>
      <x:c r="E588" s="30"/>
      <x:c r="F588" s="34" t="str">
        <x:f>IF(E588="","",E588-D588)</x:f>
      </x:c>
      <x:c r="G588" s="27" t="str">
        <x:v>Open</x:v>
      </x:c>
      <x:c r="H588" s="27" t="str">
        <x:v>Yes</x:v>
      </x:c>
      <x:c r="I588" s="27"/>
      <x:c r="J588" s="27"/>
      <x:c r="K588" s="27"/>
      <x:c r="L588" s="27"/>
      <x:c r="M588" s="27"/>
      <x:c r="N588" s="27"/>
      <x:c r="O588" s="27"/>
      <x:c r="P588" s="27"/>
      <x:c r="Q588" s="27"/>
      <x:c r="R588" s="27"/>
      <x:c r="S588" s="27"/>
      <x:c r="T588" s="27"/>
      <x:c r="U588" s="27"/>
      <x:c r="V588" s="27"/>
      <x:c r="W588" s="27"/>
    </x:row>
    <x:row r="589">
      <x:c r="A589" s="27" t="str">
        <x:v>TNA-055-08</x:v>
      </x:c>
      <x:c r="B589" s="27" t="str">
        <x:v>ORD-1155</x:v>
      </x:c>
      <x:c r="C589" s="27" t="str">
        <x:v>sewing start</x:v>
      </x:c>
      <x:c r="D589" s="30" t="n">
        <x:v>46217</x:v>
      </x:c>
      <x:c r="E589" s="30"/>
      <x:c r="F589" s="34" t="str">
        <x:f>IF(E589="","",E589-D589)</x:f>
      </x:c>
      <x:c r="G589" s="27" t="str">
        <x:v>Open</x:v>
      </x:c>
      <x:c r="H589" s="27" t="str">
        <x:v>Yes</x:v>
      </x:c>
      <x:c r="I589" s="27"/>
      <x:c r="J589" s="27"/>
      <x:c r="K589" s="27"/>
      <x:c r="L589" s="27"/>
      <x:c r="M589" s="27"/>
      <x:c r="N589" s="27"/>
      <x:c r="O589" s="27"/>
      <x:c r="P589" s="27"/>
      <x:c r="Q589" s="27"/>
      <x:c r="R589" s="27"/>
      <x:c r="S589" s="27"/>
      <x:c r="T589" s="27"/>
      <x:c r="U589" s="27"/>
      <x:c r="V589" s="27"/>
      <x:c r="W589" s="27"/>
    </x:row>
    <x:row r="590">
      <x:c r="A590" s="27" t="str">
        <x:v>TNA-055-09</x:v>
      </x:c>
      <x:c r="B590" s="27" t="str">
        <x:v>ORD-1155</x:v>
      </x:c>
      <x:c r="C590" s="27" t="str">
        <x:v>final QC</x:v>
      </x:c>
      <x:c r="D590" s="30" t="n">
        <x:v>46236</x:v>
      </x:c>
      <x:c r="E590" s="30"/>
      <x:c r="F590" s="34" t="str">
        <x:f>IF(E590="","",E590-D590)</x:f>
      </x:c>
      <x:c r="G590" s="27" t="str">
        <x:v>Open</x:v>
      </x:c>
      <x:c r="H590" s="27" t="str">
        <x:v>Yes</x:v>
      </x:c>
      <x:c r="I590" s="27"/>
      <x:c r="J590" s="27"/>
      <x:c r="K590" s="27"/>
      <x:c r="L590" s="27"/>
      <x:c r="M590" s="27"/>
      <x:c r="N590" s="27"/>
      <x:c r="O590" s="27"/>
      <x:c r="P590" s="27"/>
      <x:c r="Q590" s="27"/>
      <x:c r="R590" s="27"/>
      <x:c r="S590" s="27"/>
      <x:c r="T590" s="27"/>
      <x:c r="U590" s="27"/>
      <x:c r="V590" s="27"/>
      <x:c r="W590" s="27"/>
    </x:row>
    <x:row r="591">
      <x:c r="A591" s="27" t="str">
        <x:v>TNA-055-10</x:v>
      </x:c>
      <x:c r="B591" s="27" t="str">
        <x:v>ORD-1155</x:v>
      </x:c>
      <x:c r="C591" s="27" t="str">
        <x:v>ex-factory handover</x:v>
      </x:c>
      <x:c r="D591" s="30" t="n">
        <x:v>46239</x:v>
      </x:c>
      <x:c r="E591" s="30"/>
      <x:c r="F591" s="34" t="str">
        <x:f>IF(E591="","",E591-D591)</x:f>
      </x:c>
      <x:c r="G591" s="27" t="str">
        <x:v>Open</x:v>
      </x:c>
      <x:c r="H591" s="27" t="str">
        <x:v>Yes</x:v>
      </x:c>
      <x:c r="I591" s="27"/>
      <x:c r="J591" s="27"/>
      <x:c r="K591" s="27"/>
      <x:c r="L591" s="27"/>
      <x:c r="M591" s="27"/>
      <x:c r="N591" s="27"/>
      <x:c r="O591" s="27"/>
      <x:c r="P591" s="27"/>
      <x:c r="Q591" s="27"/>
      <x:c r="R591" s="27"/>
      <x:c r="S591" s="27"/>
      <x:c r="T591" s="27"/>
      <x:c r="U591" s="27"/>
      <x:c r="V591" s="27"/>
      <x:c r="W591" s="27"/>
    </x:row>
    <x:row r="592">
      <x:c r="A592" s="27" t="str">
        <x:v>TNA-056-01</x:v>
      </x:c>
      <x:c r="B592" s="27" t="str">
        <x:v>ORD-1156</x:v>
      </x:c>
      <x:c r="C592" s="27" t="str">
        <x:v>tech pack freeze</x:v>
      </x:c>
      <x:c r="D592" s="30" t="n">
        <x:v>46186</x:v>
      </x:c>
      <x:c r="E592" s="30"/>
      <x:c r="F592" s="34" t="str">
        <x:f>IF(E592="","",E592-D592)</x:f>
      </x:c>
      <x:c r="G592" s="27" t="str">
        <x:v>Open</x:v>
      </x:c>
      <x:c r="H592" s="27" t="str">
        <x:v>No</x:v>
      </x:c>
      <x:c r="I592" s="27"/>
      <x:c r="J592" s="27"/>
      <x:c r="K592" s="27"/>
      <x:c r="L592" s="27"/>
      <x:c r="M592" s="27"/>
      <x:c r="N592" s="27"/>
      <x:c r="O592" s="27"/>
      <x:c r="P592" s="27"/>
      <x:c r="Q592" s="27"/>
      <x:c r="R592" s="27"/>
      <x:c r="S592" s="27"/>
      <x:c r="T592" s="27"/>
      <x:c r="U592" s="27"/>
      <x:c r="V592" s="27"/>
      <x:c r="W592" s="27"/>
    </x:row>
    <x:row r="593">
      <x:c r="A593" s="27" t="str">
        <x:v>TNA-056-02</x:v>
      </x:c>
      <x:c r="B593" s="27" t="str">
        <x:v>ORD-1156</x:v>
      </x:c>
      <x:c r="C593" s="27" t="str">
        <x:v>line booking</x:v>
      </x:c>
      <x:c r="D593" s="30" t="n">
        <x:v>46190</x:v>
      </x:c>
      <x:c r="E593" s="30"/>
      <x:c r="F593" s="34" t="str">
        <x:f>IF(E593="","",E593-D593)</x:f>
      </x:c>
      <x:c r="G593" s="27" t="str">
        <x:v>Open</x:v>
      </x:c>
      <x:c r="H593" s="27" t="str">
        <x:v>No</x:v>
      </x:c>
      <x:c r="I593" s="27"/>
      <x:c r="J593" s="27"/>
      <x:c r="K593" s="27"/>
      <x:c r="L593" s="27"/>
      <x:c r="M593" s="27"/>
      <x:c r="N593" s="27"/>
      <x:c r="O593" s="27"/>
      <x:c r="P593" s="27"/>
      <x:c r="Q593" s="27"/>
      <x:c r="R593" s="27"/>
      <x:c r="S593" s="27"/>
      <x:c r="T593" s="27"/>
      <x:c r="U593" s="27"/>
      <x:c r="V593" s="27"/>
      <x:c r="W593" s="27"/>
    </x:row>
    <x:row r="594">
      <x:c r="A594" s="27" t="str">
        <x:v>TNA-056-03</x:v>
      </x:c>
      <x:c r="B594" s="27" t="str">
        <x:v>ORD-1156</x:v>
      </x:c>
      <x:c r="C594" s="27" t="str">
        <x:v>fabric/trim confirmation</x:v>
      </x:c>
      <x:c r="D594" s="30" t="n">
        <x:v>46194</x:v>
      </x:c>
      <x:c r="E594" s="30"/>
      <x:c r="F594" s="34" t="str">
        <x:f>IF(E594="","",E594-D594)</x:f>
      </x:c>
      <x:c r="G594" s="27" t="str">
        <x:v>Open</x:v>
      </x:c>
      <x:c r="H594" s="27" t="str">
        <x:v>No</x:v>
      </x:c>
      <x:c r="I594" s="27"/>
      <x:c r="J594" s="27"/>
      <x:c r="K594" s="27"/>
      <x:c r="L594" s="27"/>
      <x:c r="M594" s="27"/>
      <x:c r="N594" s="27"/>
      <x:c r="O594" s="27"/>
      <x:c r="P594" s="27"/>
      <x:c r="Q594" s="27"/>
      <x:c r="R594" s="27"/>
      <x:c r="S594" s="27"/>
      <x:c r="T594" s="27"/>
      <x:c r="U594" s="27"/>
      <x:c r="V594" s="27"/>
      <x:c r="W594" s="27"/>
    </x:row>
    <x:row r="595">
      <x:c r="A595" s="27" t="str">
        <x:v>TNA-056-04</x:v>
      </x:c>
      <x:c r="B595" s="27" t="str">
        <x:v>ORD-1156</x:v>
      </x:c>
      <x:c r="C595" s="27" t="str">
        <x:v>fit sample sent</x:v>
      </x:c>
      <x:c r="D595" s="30" t="n">
        <x:v>46198</x:v>
      </x:c>
      <x:c r="E595" s="30"/>
      <x:c r="F595" s="34" t="str">
        <x:f>IF(E595="","",E595-D595)</x:f>
      </x:c>
      <x:c r="G595" s="27" t="str">
        <x:v>Open</x:v>
      </x:c>
      <x:c r="H595" s="27" t="str">
        <x:v>No</x:v>
      </x:c>
      <x:c r="I595" s="27"/>
      <x:c r="J595" s="27"/>
      <x:c r="K595" s="27"/>
      <x:c r="L595" s="27"/>
      <x:c r="M595" s="27"/>
      <x:c r="N595" s="27"/>
      <x:c r="O595" s="27"/>
      <x:c r="P595" s="27"/>
      <x:c r="Q595" s="27"/>
      <x:c r="R595" s="27"/>
      <x:c r="S595" s="27"/>
      <x:c r="T595" s="27"/>
      <x:c r="U595" s="27"/>
      <x:c r="V595" s="27"/>
      <x:c r="W595" s="27"/>
    </x:row>
    <x:row r="596">
      <x:c r="A596" s="27" t="str">
        <x:v>TNA-056-05</x:v>
      </x:c>
      <x:c r="B596" s="27" t="str">
        <x:v>ORD-1156</x:v>
      </x:c>
      <x:c r="C596" s="27" t="str">
        <x:v>fit approval</x:v>
      </x:c>
      <x:c r="D596" s="30" t="n">
        <x:v>46202</x:v>
      </x:c>
      <x:c r="E596" s="30"/>
      <x:c r="F596" s="34" t="str">
        <x:f>IF(E596="","",E596-D596)</x:f>
      </x:c>
      <x:c r="G596" s="27" t="str">
        <x:v>Open</x:v>
      </x:c>
      <x:c r="H596" s="27" t="str">
        <x:v>No</x:v>
      </x:c>
      <x:c r="I596" s="27"/>
      <x:c r="J596" s="27"/>
      <x:c r="K596" s="27"/>
      <x:c r="L596" s="27"/>
      <x:c r="M596" s="27"/>
      <x:c r="N596" s="27"/>
      <x:c r="O596" s="27"/>
      <x:c r="P596" s="27"/>
      <x:c r="Q596" s="27"/>
      <x:c r="R596" s="27"/>
      <x:c r="S596" s="27"/>
      <x:c r="T596" s="27"/>
      <x:c r="U596" s="27"/>
      <x:c r="V596" s="27"/>
      <x:c r="W596" s="27"/>
    </x:row>
    <x:row r="597">
      <x:c r="A597" s="27" t="str">
        <x:v>TNA-056-06</x:v>
      </x:c>
      <x:c r="B597" s="27" t="str">
        <x:v>ORD-1156</x:v>
      </x:c>
      <x:c r="C597" s="27" t="str">
        <x:v>PP sample approval</x:v>
      </x:c>
      <x:c r="D597" s="30" t="n">
        <x:v>46210</x:v>
      </x:c>
      <x:c r="E597" s="30"/>
      <x:c r="F597" s="34" t="str">
        <x:f>IF(E597="","",E597-D597)</x:f>
      </x:c>
      <x:c r="G597" s="27" t="str">
        <x:v>Open</x:v>
      </x:c>
      <x:c r="H597" s="27" t="str">
        <x:v>Yes</x:v>
      </x:c>
      <x:c r="I597" s="27"/>
      <x:c r="J597" s="27"/>
      <x:c r="K597" s="27"/>
      <x:c r="L597" s="27"/>
      <x:c r="M597" s="27"/>
      <x:c r="N597" s="27"/>
      <x:c r="O597" s="27"/>
      <x:c r="P597" s="27"/>
      <x:c r="Q597" s="27"/>
      <x:c r="R597" s="27"/>
      <x:c r="S597" s="27"/>
      <x:c r="T597" s="27"/>
      <x:c r="U597" s="27"/>
      <x:c r="V597" s="27"/>
      <x:c r="W597" s="27"/>
    </x:row>
    <x:row r="598">
      <x:c r="A598" s="27" t="str">
        <x:v>TNA-056-07</x:v>
      </x:c>
      <x:c r="B598" s="27" t="str">
        <x:v>ORD-1156</x:v>
      </x:c>
      <x:c r="C598" s="27" t="str">
        <x:v>cutting start</x:v>
      </x:c>
      <x:c r="D598" s="30" t="n">
        <x:v>46216</x:v>
      </x:c>
      <x:c r="E598" s="30"/>
      <x:c r="F598" s="34" t="str">
        <x:f>IF(E598="","",E598-D598)</x:f>
      </x:c>
      <x:c r="G598" s="27" t="str">
        <x:v>Open</x:v>
      </x:c>
      <x:c r="H598" s="27" t="str">
        <x:v>Yes</x:v>
      </x:c>
      <x:c r="I598" s="27"/>
      <x:c r="J598" s="27"/>
      <x:c r="K598" s="27"/>
      <x:c r="L598" s="27"/>
      <x:c r="M598" s="27"/>
      <x:c r="N598" s="27"/>
      <x:c r="O598" s="27"/>
      <x:c r="P598" s="27"/>
      <x:c r="Q598" s="27"/>
      <x:c r="R598" s="27"/>
      <x:c r="S598" s="27"/>
      <x:c r="T598" s="27"/>
      <x:c r="U598" s="27"/>
      <x:c r="V598" s="27"/>
      <x:c r="W598" s="27"/>
    </x:row>
    <x:row r="599">
      <x:c r="A599" s="27" t="str">
        <x:v>TNA-056-08</x:v>
      </x:c>
      <x:c r="B599" s="27" t="str">
        <x:v>ORD-1156</x:v>
      </x:c>
      <x:c r="C599" s="27" t="str">
        <x:v>sewing start</x:v>
      </x:c>
      <x:c r="D599" s="30" t="n">
        <x:v>46219</x:v>
      </x:c>
      <x:c r="E599" s="30"/>
      <x:c r="F599" s="34" t="str">
        <x:f>IF(E599="","",E599-D599)</x:f>
      </x:c>
      <x:c r="G599" s="27" t="str">
        <x:v>Open</x:v>
      </x:c>
      <x:c r="H599" s="27" t="str">
        <x:v>Yes</x:v>
      </x:c>
      <x:c r="I599" s="27"/>
      <x:c r="J599" s="27"/>
      <x:c r="K599" s="27"/>
      <x:c r="L599" s="27"/>
      <x:c r="M599" s="27"/>
      <x:c r="N599" s="27"/>
      <x:c r="O599" s="27"/>
      <x:c r="P599" s="27"/>
      <x:c r="Q599" s="27"/>
      <x:c r="R599" s="27"/>
      <x:c r="S599" s="27"/>
      <x:c r="T599" s="27"/>
      <x:c r="U599" s="27"/>
      <x:c r="V599" s="27"/>
      <x:c r="W599" s="27"/>
    </x:row>
    <x:row r="600">
      <x:c r="A600" s="27" t="str">
        <x:v>TNA-056-09</x:v>
      </x:c>
      <x:c r="B600" s="27" t="str">
        <x:v>ORD-1156</x:v>
      </x:c>
      <x:c r="C600" s="27" t="str">
        <x:v>final QC</x:v>
      </x:c>
      <x:c r="D600" s="30" t="n">
        <x:v>46236</x:v>
      </x:c>
      <x:c r="E600" s="30"/>
      <x:c r="F600" s="34" t="str">
        <x:f>IF(E600="","",E600-D600)</x:f>
      </x:c>
      <x:c r="G600" s="27" t="str">
        <x:v>Open</x:v>
      </x:c>
      <x:c r="H600" s="27" t="str">
        <x:v>Yes</x:v>
      </x:c>
      <x:c r="I600" s="27"/>
      <x:c r="J600" s="27"/>
      <x:c r="K600" s="27"/>
      <x:c r="L600" s="27"/>
      <x:c r="M600" s="27"/>
      <x:c r="N600" s="27"/>
      <x:c r="O600" s="27"/>
      <x:c r="P600" s="27"/>
      <x:c r="Q600" s="27"/>
      <x:c r="R600" s="27"/>
      <x:c r="S600" s="27"/>
      <x:c r="T600" s="27"/>
      <x:c r="U600" s="27"/>
      <x:c r="V600" s="27"/>
      <x:c r="W600" s="27"/>
    </x:row>
    <x:row r="601">
      <x:c r="A601" s="27" t="str">
        <x:v>TNA-056-10</x:v>
      </x:c>
      <x:c r="B601" s="27" t="str">
        <x:v>ORD-1156</x:v>
      </x:c>
      <x:c r="C601" s="27" t="str">
        <x:v>ex-factory handover</x:v>
      </x:c>
      <x:c r="D601" s="30" t="n">
        <x:v>46239</x:v>
      </x:c>
      <x:c r="E601" s="30"/>
      <x:c r="F601" s="34" t="str">
        <x:f>IF(E601="","",E601-D601)</x:f>
      </x:c>
      <x:c r="G601" s="27" t="str">
        <x:v>Open</x:v>
      </x:c>
      <x:c r="H601" s="27" t="str">
        <x:v>Yes</x:v>
      </x:c>
      <x:c r="I601" s="27"/>
      <x:c r="J601" s="27"/>
      <x:c r="K601" s="27"/>
      <x:c r="L601" s="27"/>
      <x:c r="M601" s="27"/>
      <x:c r="N601" s="27"/>
      <x:c r="O601" s="27"/>
      <x:c r="P601" s="27"/>
      <x:c r="Q601" s="27"/>
      <x:c r="R601" s="27"/>
      <x:c r="S601" s="27"/>
      <x:c r="T601" s="27"/>
      <x:c r="U601" s="27"/>
      <x:c r="V601" s="27"/>
      <x:c r="W601" s="27"/>
    </x:row>
    <x:row r="602">
      <x:c r="A602" s="27" t="str">
        <x:v>TNA-057-01</x:v>
      </x:c>
      <x:c r="B602" s="27" t="str">
        <x:v>ORD-1157</x:v>
      </x:c>
      <x:c r="C602" s="27" t="str">
        <x:v>tech pack freeze</x:v>
      </x:c>
      <x:c r="D602" s="30" t="n">
        <x:v>46188</x:v>
      </x:c>
      <x:c r="E602" s="30"/>
      <x:c r="F602" s="34" t="str">
        <x:f>IF(E602="","",E602-D602)</x:f>
      </x:c>
      <x:c r="G602" s="27" t="str">
        <x:v>Open</x:v>
      </x:c>
      <x:c r="H602" s="27" t="str">
        <x:v>No</x:v>
      </x:c>
      <x:c r="I602" s="27"/>
      <x:c r="J602" s="27"/>
      <x:c r="K602" s="27"/>
      <x:c r="L602" s="27"/>
      <x:c r="M602" s="27"/>
      <x:c r="N602" s="27"/>
      <x:c r="O602" s="27"/>
      <x:c r="P602" s="27"/>
      <x:c r="Q602" s="27"/>
      <x:c r="R602" s="27"/>
      <x:c r="S602" s="27"/>
      <x:c r="T602" s="27"/>
      <x:c r="U602" s="27"/>
      <x:c r="V602" s="27"/>
      <x:c r="W602" s="27"/>
    </x:row>
    <x:row r="603">
      <x:c r="A603" s="27" t="str">
        <x:v>TNA-057-02</x:v>
      </x:c>
      <x:c r="B603" s="27" t="str">
        <x:v>ORD-1157</x:v>
      </x:c>
      <x:c r="C603" s="27" t="str">
        <x:v>line booking</x:v>
      </x:c>
      <x:c r="D603" s="30" t="n">
        <x:v>46192</x:v>
      </x:c>
      <x:c r="E603" s="30"/>
      <x:c r="F603" s="34" t="str">
        <x:f>IF(E603="","",E603-D603)</x:f>
      </x:c>
      <x:c r="G603" s="27" t="str">
        <x:v>Open</x:v>
      </x:c>
      <x:c r="H603" s="27" t="str">
        <x:v>No</x:v>
      </x:c>
      <x:c r="I603" s="27"/>
      <x:c r="J603" s="27"/>
      <x:c r="K603" s="27"/>
      <x:c r="L603" s="27"/>
      <x:c r="M603" s="27"/>
      <x:c r="N603" s="27"/>
      <x:c r="O603" s="27"/>
      <x:c r="P603" s="27"/>
      <x:c r="Q603" s="27"/>
      <x:c r="R603" s="27"/>
      <x:c r="S603" s="27"/>
      <x:c r="T603" s="27"/>
      <x:c r="U603" s="27"/>
      <x:c r="V603" s="27"/>
      <x:c r="W603" s="27"/>
    </x:row>
    <x:row r="604">
      <x:c r="A604" s="27" t="str">
        <x:v>TNA-057-03</x:v>
      </x:c>
      <x:c r="B604" s="27" t="str">
        <x:v>ORD-1157</x:v>
      </x:c>
      <x:c r="C604" s="27" t="str">
        <x:v>fabric/trim confirmation</x:v>
      </x:c>
      <x:c r="D604" s="30" t="n">
        <x:v>46196</x:v>
      </x:c>
      <x:c r="E604" s="30"/>
      <x:c r="F604" s="34" t="str">
        <x:f>IF(E604="","",E604-D604)</x:f>
      </x:c>
      <x:c r="G604" s="27" t="str">
        <x:v>Open</x:v>
      </x:c>
      <x:c r="H604" s="27" t="str">
        <x:v>No</x:v>
      </x:c>
      <x:c r="I604" s="27"/>
      <x:c r="J604" s="27"/>
      <x:c r="K604" s="27"/>
      <x:c r="L604" s="27"/>
      <x:c r="M604" s="27"/>
      <x:c r="N604" s="27"/>
      <x:c r="O604" s="27"/>
      <x:c r="P604" s="27"/>
      <x:c r="Q604" s="27"/>
      <x:c r="R604" s="27"/>
      <x:c r="S604" s="27"/>
      <x:c r="T604" s="27"/>
      <x:c r="U604" s="27"/>
      <x:c r="V604" s="27"/>
      <x:c r="W604" s="27"/>
    </x:row>
    <x:row r="605">
      <x:c r="A605" s="27" t="str">
        <x:v>TNA-057-04</x:v>
      </x:c>
      <x:c r="B605" s="27" t="str">
        <x:v>ORD-1157</x:v>
      </x:c>
      <x:c r="C605" s="27" t="str">
        <x:v>fit sample sent</x:v>
      </x:c>
      <x:c r="D605" s="30" t="n">
        <x:v>46200</x:v>
      </x:c>
      <x:c r="E605" s="30"/>
      <x:c r="F605" s="34" t="str">
        <x:f>IF(E605="","",E605-D605)</x:f>
      </x:c>
      <x:c r="G605" s="27" t="str">
        <x:v>Open</x:v>
      </x:c>
      <x:c r="H605" s="27" t="str">
        <x:v>No</x:v>
      </x:c>
      <x:c r="I605" s="27"/>
      <x:c r="J605" s="27"/>
      <x:c r="K605" s="27"/>
      <x:c r="L605" s="27"/>
      <x:c r="M605" s="27"/>
      <x:c r="N605" s="27"/>
      <x:c r="O605" s="27"/>
      <x:c r="P605" s="27"/>
      <x:c r="Q605" s="27"/>
      <x:c r="R605" s="27"/>
      <x:c r="S605" s="27"/>
      <x:c r="T605" s="27"/>
      <x:c r="U605" s="27"/>
      <x:c r="V605" s="27"/>
      <x:c r="W605" s="27"/>
    </x:row>
    <x:row r="606">
      <x:c r="A606" s="27" t="str">
        <x:v>TNA-057-05</x:v>
      </x:c>
      <x:c r="B606" s="27" t="str">
        <x:v>ORD-1157</x:v>
      </x:c>
      <x:c r="C606" s="27" t="str">
        <x:v>fit approval</x:v>
      </x:c>
      <x:c r="D606" s="30" t="n">
        <x:v>46204</x:v>
      </x:c>
      <x:c r="E606" s="30"/>
      <x:c r="F606" s="34" t="str">
        <x:f>IF(E606="","",E606-D606)</x:f>
      </x:c>
      <x:c r="G606" s="27" t="str">
        <x:v>Open</x:v>
      </x:c>
      <x:c r="H606" s="27" t="str">
        <x:v>No</x:v>
      </x:c>
      <x:c r="I606" s="27"/>
      <x:c r="J606" s="27"/>
      <x:c r="K606" s="27"/>
      <x:c r="L606" s="27"/>
      <x:c r="M606" s="27"/>
      <x:c r="N606" s="27"/>
      <x:c r="O606" s="27"/>
      <x:c r="P606" s="27"/>
      <x:c r="Q606" s="27"/>
      <x:c r="R606" s="27"/>
      <x:c r="S606" s="27"/>
      <x:c r="T606" s="27"/>
      <x:c r="U606" s="27"/>
      <x:c r="V606" s="27"/>
      <x:c r="W606" s="27"/>
    </x:row>
    <x:row r="607">
      <x:c r="A607" s="27" t="str">
        <x:v>TNA-057-06</x:v>
      </x:c>
      <x:c r="B607" s="27" t="str">
        <x:v>ORD-1157</x:v>
      </x:c>
      <x:c r="C607" s="27" t="str">
        <x:v>PP sample approval</x:v>
      </x:c>
      <x:c r="D607" s="30" t="n">
        <x:v>46212</x:v>
      </x:c>
      <x:c r="E607" s="30"/>
      <x:c r="F607" s="34" t="str">
        <x:f>IF(E607="","",E607-D607)</x:f>
      </x:c>
      <x:c r="G607" s="27" t="str">
        <x:v>Open</x:v>
      </x:c>
      <x:c r="H607" s="27" t="str">
        <x:v>Yes</x:v>
      </x:c>
      <x:c r="I607" s="27"/>
      <x:c r="J607" s="27"/>
      <x:c r="K607" s="27"/>
      <x:c r="L607" s="27"/>
      <x:c r="M607" s="27"/>
      <x:c r="N607" s="27"/>
      <x:c r="O607" s="27"/>
      <x:c r="P607" s="27"/>
      <x:c r="Q607" s="27"/>
      <x:c r="R607" s="27"/>
      <x:c r="S607" s="27"/>
      <x:c r="T607" s="27"/>
      <x:c r="U607" s="27"/>
      <x:c r="V607" s="27"/>
      <x:c r="W607" s="27"/>
    </x:row>
    <x:row r="608">
      <x:c r="A608" s="27" t="str">
        <x:v>TNA-057-07</x:v>
      </x:c>
      <x:c r="B608" s="27" t="str">
        <x:v>ORD-1157</x:v>
      </x:c>
      <x:c r="C608" s="27" t="str">
        <x:v>cutting start</x:v>
      </x:c>
      <x:c r="D608" s="30" t="n">
        <x:v>46218</x:v>
      </x:c>
      <x:c r="E608" s="30"/>
      <x:c r="F608" s="34" t="str">
        <x:f>IF(E608="","",E608-D608)</x:f>
      </x:c>
      <x:c r="G608" s="27" t="str">
        <x:v>Open</x:v>
      </x:c>
      <x:c r="H608" s="27" t="str">
        <x:v>Yes</x:v>
      </x:c>
      <x:c r="I608" s="27"/>
      <x:c r="J608" s="27"/>
      <x:c r="K608" s="27"/>
      <x:c r="L608" s="27"/>
      <x:c r="M608" s="27"/>
      <x:c r="N608" s="27"/>
      <x:c r="O608" s="27"/>
      <x:c r="P608" s="27"/>
      <x:c r="Q608" s="27"/>
      <x:c r="R608" s="27"/>
      <x:c r="S608" s="27"/>
      <x:c r="T608" s="27"/>
      <x:c r="U608" s="27"/>
      <x:c r="V608" s="27"/>
      <x:c r="W608" s="27"/>
    </x:row>
    <x:row r="609">
      <x:c r="A609" s="27" t="str">
        <x:v>TNA-057-08</x:v>
      </x:c>
      <x:c r="B609" s="27" t="str">
        <x:v>ORD-1157</x:v>
      </x:c>
      <x:c r="C609" s="27" t="str">
        <x:v>sewing start</x:v>
      </x:c>
      <x:c r="D609" s="30" t="n">
        <x:v>46221</x:v>
      </x:c>
      <x:c r="E609" s="30"/>
      <x:c r="F609" s="34" t="str">
        <x:f>IF(E609="","",E609-D609)</x:f>
      </x:c>
      <x:c r="G609" s="27" t="str">
        <x:v>Open</x:v>
      </x:c>
      <x:c r="H609" s="27" t="str">
        <x:v>Yes</x:v>
      </x:c>
      <x:c r="I609" s="27"/>
      <x:c r="J609" s="27"/>
      <x:c r="K609" s="27"/>
      <x:c r="L609" s="27"/>
      <x:c r="M609" s="27"/>
      <x:c r="N609" s="27"/>
      <x:c r="O609" s="27"/>
      <x:c r="P609" s="27"/>
      <x:c r="Q609" s="27"/>
      <x:c r="R609" s="27"/>
      <x:c r="S609" s="27"/>
      <x:c r="T609" s="27"/>
      <x:c r="U609" s="27"/>
      <x:c r="V609" s="27"/>
      <x:c r="W609" s="27"/>
    </x:row>
    <x:row r="610">
      <x:c r="A610" s="27" t="str">
        <x:v>TNA-057-09</x:v>
      </x:c>
      <x:c r="B610" s="27" t="str">
        <x:v>ORD-1157</x:v>
      </x:c>
      <x:c r="C610" s="27" t="str">
        <x:v>final QC</x:v>
      </x:c>
      <x:c r="D610" s="30" t="n">
        <x:v>46253</x:v>
      </x:c>
      <x:c r="E610" s="30"/>
      <x:c r="F610" s="34" t="str">
        <x:f>IF(E610="","",E610-D610)</x:f>
      </x:c>
      <x:c r="G610" s="27" t="str">
        <x:v>Open</x:v>
      </x:c>
      <x:c r="H610" s="27" t="str">
        <x:v>Yes</x:v>
      </x:c>
      <x:c r="I610" s="27"/>
      <x:c r="J610" s="27"/>
      <x:c r="K610" s="27"/>
      <x:c r="L610" s="27"/>
      <x:c r="M610" s="27"/>
      <x:c r="N610" s="27"/>
      <x:c r="O610" s="27"/>
      <x:c r="P610" s="27"/>
      <x:c r="Q610" s="27"/>
      <x:c r="R610" s="27"/>
      <x:c r="S610" s="27"/>
      <x:c r="T610" s="27"/>
      <x:c r="U610" s="27"/>
      <x:c r="V610" s="27"/>
      <x:c r="W610" s="27"/>
    </x:row>
    <x:row r="611">
      <x:c r="A611" s="27" t="str">
        <x:v>TNA-057-10</x:v>
      </x:c>
      <x:c r="B611" s="27" t="str">
        <x:v>ORD-1157</x:v>
      </x:c>
      <x:c r="C611" s="27" t="str">
        <x:v>ex-factory handover</x:v>
      </x:c>
      <x:c r="D611" s="30" t="n">
        <x:v>46256</x:v>
      </x:c>
      <x:c r="E611" s="30"/>
      <x:c r="F611" s="34" t="str">
        <x:f>IF(E611="","",E611-D611)</x:f>
      </x:c>
      <x:c r="G611" s="27" t="str">
        <x:v>Open</x:v>
      </x:c>
      <x:c r="H611" s="27" t="str">
        <x:v>Yes</x:v>
      </x:c>
      <x:c r="I611" s="27"/>
      <x:c r="J611" s="27"/>
      <x:c r="K611" s="27"/>
      <x:c r="L611" s="27"/>
      <x:c r="M611" s="27"/>
      <x:c r="N611" s="27"/>
      <x:c r="O611" s="27"/>
      <x:c r="P611" s="27"/>
      <x:c r="Q611" s="27"/>
      <x:c r="R611" s="27"/>
      <x:c r="S611" s="27"/>
      <x:c r="T611" s="27"/>
      <x:c r="U611" s="27"/>
      <x:c r="V611" s="27"/>
      <x:c r="W611" s="27"/>
    </x:row>
    <x:row r="612">
      <x:c r="A612" s="27" t="str">
        <x:v>TNA-058-01</x:v>
      </x:c>
      <x:c r="B612" s="27" t="str">
        <x:v>ORD-1158</x:v>
      </x:c>
      <x:c r="C612" s="27" t="str">
        <x:v>tech pack freeze</x:v>
      </x:c>
      <x:c r="D612" s="30" t="n">
        <x:v>46190</x:v>
      </x:c>
      <x:c r="E612" s="30"/>
      <x:c r="F612" s="34" t="str">
        <x:f>IF(E612="","",E612-D612)</x:f>
      </x:c>
      <x:c r="G612" s="27" t="str">
        <x:v>Open</x:v>
      </x:c>
      <x:c r="H612" s="27" t="str">
        <x:v>No</x:v>
      </x:c>
      <x:c r="I612" s="27"/>
      <x:c r="J612" s="27"/>
      <x:c r="K612" s="27"/>
      <x:c r="L612" s="27"/>
      <x:c r="M612" s="27"/>
      <x:c r="N612" s="27"/>
      <x:c r="O612" s="27"/>
      <x:c r="P612" s="27"/>
      <x:c r="Q612" s="27"/>
      <x:c r="R612" s="27"/>
      <x:c r="S612" s="27"/>
      <x:c r="T612" s="27"/>
      <x:c r="U612" s="27"/>
      <x:c r="V612" s="27"/>
      <x:c r="W612" s="27"/>
    </x:row>
    <x:row r="613">
      <x:c r="A613" s="27" t="str">
        <x:v>TNA-058-02</x:v>
      </x:c>
      <x:c r="B613" s="27" t="str">
        <x:v>ORD-1158</x:v>
      </x:c>
      <x:c r="C613" s="27" t="str">
        <x:v>line booking</x:v>
      </x:c>
      <x:c r="D613" s="30" t="n">
        <x:v>46194</x:v>
      </x:c>
      <x:c r="E613" s="30"/>
      <x:c r="F613" s="34" t="str">
        <x:f>IF(E613="","",E613-D613)</x:f>
      </x:c>
      <x:c r="G613" s="27" t="str">
        <x:v>Open</x:v>
      </x:c>
      <x:c r="H613" s="27" t="str">
        <x:v>No</x:v>
      </x:c>
      <x:c r="I613" s="27"/>
      <x:c r="J613" s="27"/>
      <x:c r="K613" s="27"/>
      <x:c r="L613" s="27"/>
      <x:c r="M613" s="27"/>
      <x:c r="N613" s="27"/>
      <x:c r="O613" s="27"/>
      <x:c r="P613" s="27"/>
      <x:c r="Q613" s="27"/>
      <x:c r="R613" s="27"/>
      <x:c r="S613" s="27"/>
      <x:c r="T613" s="27"/>
      <x:c r="U613" s="27"/>
      <x:c r="V613" s="27"/>
      <x:c r="W613" s="27"/>
    </x:row>
    <x:row r="614">
      <x:c r="A614" s="27" t="str">
        <x:v>TNA-058-03</x:v>
      </x:c>
      <x:c r="B614" s="27" t="str">
        <x:v>ORD-1158</x:v>
      </x:c>
      <x:c r="C614" s="27" t="str">
        <x:v>fabric/trim confirmation</x:v>
      </x:c>
      <x:c r="D614" s="30" t="n">
        <x:v>46198</x:v>
      </x:c>
      <x:c r="E614" s="30"/>
      <x:c r="F614" s="34" t="str">
        <x:f>IF(E614="","",E614-D614)</x:f>
      </x:c>
      <x:c r="G614" s="27" t="str">
        <x:v>Open</x:v>
      </x:c>
      <x:c r="H614" s="27" t="str">
        <x:v>No</x:v>
      </x:c>
      <x:c r="I614" s="27"/>
      <x:c r="J614" s="27"/>
      <x:c r="K614" s="27"/>
      <x:c r="L614" s="27"/>
      <x:c r="M614" s="27"/>
      <x:c r="N614" s="27"/>
      <x:c r="O614" s="27"/>
      <x:c r="P614" s="27"/>
      <x:c r="Q614" s="27"/>
      <x:c r="R614" s="27"/>
      <x:c r="S614" s="27"/>
      <x:c r="T614" s="27"/>
      <x:c r="U614" s="27"/>
      <x:c r="V614" s="27"/>
      <x:c r="W614" s="27"/>
    </x:row>
    <x:row r="615">
      <x:c r="A615" s="27" t="str">
        <x:v>TNA-058-04</x:v>
      </x:c>
      <x:c r="B615" s="27" t="str">
        <x:v>ORD-1158</x:v>
      </x:c>
      <x:c r="C615" s="27" t="str">
        <x:v>fit sample sent</x:v>
      </x:c>
      <x:c r="D615" s="30" t="n">
        <x:v>46202</x:v>
      </x:c>
      <x:c r="E615" s="30"/>
      <x:c r="F615" s="34" t="str">
        <x:f>IF(E615="","",E615-D615)</x:f>
      </x:c>
      <x:c r="G615" s="27" t="str">
        <x:v>Open</x:v>
      </x:c>
      <x:c r="H615" s="27" t="str">
        <x:v>No</x:v>
      </x:c>
      <x:c r="I615" s="27"/>
      <x:c r="J615" s="27"/>
      <x:c r="K615" s="27"/>
      <x:c r="L615" s="27"/>
      <x:c r="M615" s="27"/>
      <x:c r="N615" s="27"/>
      <x:c r="O615" s="27"/>
      <x:c r="P615" s="27"/>
      <x:c r="Q615" s="27"/>
      <x:c r="R615" s="27"/>
      <x:c r="S615" s="27"/>
      <x:c r="T615" s="27"/>
      <x:c r="U615" s="27"/>
      <x:c r="V615" s="27"/>
      <x:c r="W615" s="27"/>
    </x:row>
    <x:row r="616">
      <x:c r="A616" s="27" t="str">
        <x:v>TNA-058-05</x:v>
      </x:c>
      <x:c r="B616" s="27" t="str">
        <x:v>ORD-1158</x:v>
      </x:c>
      <x:c r="C616" s="27" t="str">
        <x:v>fit approval</x:v>
      </x:c>
      <x:c r="D616" s="30" t="n">
        <x:v>46206</x:v>
      </x:c>
      <x:c r="E616" s="30"/>
      <x:c r="F616" s="34" t="str">
        <x:f>IF(E616="","",E616-D616)</x:f>
      </x:c>
      <x:c r="G616" s="27" t="str">
        <x:v>Open</x:v>
      </x:c>
      <x:c r="H616" s="27" t="str">
        <x:v>No</x:v>
      </x:c>
      <x:c r="I616" s="27"/>
      <x:c r="J616" s="27"/>
      <x:c r="K616" s="27"/>
      <x:c r="L616" s="27"/>
      <x:c r="M616" s="27"/>
      <x:c r="N616" s="27"/>
      <x:c r="O616" s="27"/>
      <x:c r="P616" s="27"/>
      <x:c r="Q616" s="27"/>
      <x:c r="R616" s="27"/>
      <x:c r="S616" s="27"/>
      <x:c r="T616" s="27"/>
      <x:c r="U616" s="27"/>
      <x:c r="V616" s="27"/>
      <x:c r="W616" s="27"/>
    </x:row>
    <x:row r="617">
      <x:c r="A617" s="27" t="str">
        <x:v>TNA-058-06</x:v>
      </x:c>
      <x:c r="B617" s="27" t="str">
        <x:v>ORD-1158</x:v>
      </x:c>
      <x:c r="C617" s="27" t="str">
        <x:v>PP sample approval</x:v>
      </x:c>
      <x:c r="D617" s="30" t="n">
        <x:v>46214</x:v>
      </x:c>
      <x:c r="E617" s="30"/>
      <x:c r="F617" s="34" t="str">
        <x:f>IF(E617="","",E617-D617)</x:f>
      </x:c>
      <x:c r="G617" s="27" t="str">
        <x:v>Open</x:v>
      </x:c>
      <x:c r="H617" s="27" t="str">
        <x:v>Yes</x:v>
      </x:c>
      <x:c r="I617" s="27"/>
      <x:c r="J617" s="27"/>
      <x:c r="K617" s="27"/>
      <x:c r="L617" s="27"/>
      <x:c r="M617" s="27"/>
      <x:c r="N617" s="27"/>
      <x:c r="O617" s="27"/>
      <x:c r="P617" s="27"/>
      <x:c r="Q617" s="27"/>
      <x:c r="R617" s="27"/>
      <x:c r="S617" s="27"/>
      <x:c r="T617" s="27"/>
      <x:c r="U617" s="27"/>
      <x:c r="V617" s="27"/>
      <x:c r="W617" s="27"/>
    </x:row>
    <x:row r="618">
      <x:c r="A618" s="27" t="str">
        <x:v>TNA-058-07</x:v>
      </x:c>
      <x:c r="B618" s="27" t="str">
        <x:v>ORD-1158</x:v>
      </x:c>
      <x:c r="C618" s="27" t="str">
        <x:v>cutting start</x:v>
      </x:c>
      <x:c r="D618" s="30" t="n">
        <x:v>46220</x:v>
      </x:c>
      <x:c r="E618" s="30"/>
      <x:c r="F618" s="34" t="str">
        <x:f>IF(E618="","",E618-D618)</x:f>
      </x:c>
      <x:c r="G618" s="27" t="str">
        <x:v>Open</x:v>
      </x:c>
      <x:c r="H618" s="27" t="str">
        <x:v>Yes</x:v>
      </x:c>
      <x:c r="I618" s="27"/>
      <x:c r="J618" s="27"/>
      <x:c r="K618" s="27"/>
      <x:c r="L618" s="27"/>
      <x:c r="M618" s="27"/>
      <x:c r="N618" s="27"/>
      <x:c r="O618" s="27"/>
      <x:c r="P618" s="27"/>
      <x:c r="Q618" s="27"/>
      <x:c r="R618" s="27"/>
      <x:c r="S618" s="27"/>
      <x:c r="T618" s="27"/>
      <x:c r="U618" s="27"/>
      <x:c r="V618" s="27"/>
      <x:c r="W618" s="27"/>
    </x:row>
    <x:row r="619">
      <x:c r="A619" s="27" t="str">
        <x:v>TNA-058-08</x:v>
      </x:c>
      <x:c r="B619" s="27" t="str">
        <x:v>ORD-1158</x:v>
      </x:c>
      <x:c r="C619" s="27" t="str">
        <x:v>sewing start</x:v>
      </x:c>
      <x:c r="D619" s="30" t="n">
        <x:v>46223</x:v>
      </x:c>
      <x:c r="E619" s="30"/>
      <x:c r="F619" s="34" t="str">
        <x:f>IF(E619="","",E619-D619)</x:f>
      </x:c>
      <x:c r="G619" s="27" t="str">
        <x:v>Open</x:v>
      </x:c>
      <x:c r="H619" s="27" t="str">
        <x:v>Yes</x:v>
      </x:c>
      <x:c r="I619" s="27"/>
      <x:c r="J619" s="27"/>
      <x:c r="K619" s="27"/>
      <x:c r="L619" s="27"/>
      <x:c r="M619" s="27"/>
      <x:c r="N619" s="27"/>
      <x:c r="O619" s="27"/>
      <x:c r="P619" s="27"/>
      <x:c r="Q619" s="27"/>
      <x:c r="R619" s="27"/>
      <x:c r="S619" s="27"/>
      <x:c r="T619" s="27"/>
      <x:c r="U619" s="27"/>
      <x:c r="V619" s="27"/>
      <x:c r="W619" s="27"/>
    </x:row>
    <x:row r="620">
      <x:c r="A620" s="27" t="str">
        <x:v>TNA-058-09</x:v>
      </x:c>
      <x:c r="B620" s="27" t="str">
        <x:v>ORD-1158</x:v>
      </x:c>
      <x:c r="C620" s="27" t="str">
        <x:v>final QC</x:v>
      </x:c>
      <x:c r="D620" s="30" t="n">
        <x:v>46240</x:v>
      </x:c>
      <x:c r="E620" s="30"/>
      <x:c r="F620" s="34" t="str">
        <x:f>IF(E620="","",E620-D620)</x:f>
      </x:c>
      <x:c r="G620" s="27" t="str">
        <x:v>Open</x:v>
      </x:c>
      <x:c r="H620" s="27" t="str">
        <x:v>Yes</x:v>
      </x:c>
      <x:c r="I620" s="27"/>
      <x:c r="J620" s="27"/>
      <x:c r="K620" s="27"/>
      <x:c r="L620" s="27"/>
      <x:c r="M620" s="27"/>
      <x:c r="N620" s="27"/>
      <x:c r="O620" s="27"/>
      <x:c r="P620" s="27"/>
      <x:c r="Q620" s="27"/>
      <x:c r="R620" s="27"/>
      <x:c r="S620" s="27"/>
      <x:c r="T620" s="27"/>
      <x:c r="U620" s="27"/>
      <x:c r="V620" s="27"/>
      <x:c r="W620" s="27"/>
    </x:row>
    <x:row r="621">
      <x:c r="A621" s="27" t="str">
        <x:v>TNA-058-10</x:v>
      </x:c>
      <x:c r="B621" s="27" t="str">
        <x:v>ORD-1158</x:v>
      </x:c>
      <x:c r="C621" s="27" t="str">
        <x:v>ex-factory handover</x:v>
      </x:c>
      <x:c r="D621" s="30" t="n">
        <x:v>46243</x:v>
      </x:c>
      <x:c r="E621" s="30"/>
      <x:c r="F621" s="34" t="str">
        <x:f>IF(E621="","",E621-D621)</x:f>
      </x:c>
      <x:c r="G621" s="27" t="str">
        <x:v>Open</x:v>
      </x:c>
      <x:c r="H621" s="27" t="str">
        <x:v>Yes</x:v>
      </x:c>
      <x:c r="I621" s="27"/>
      <x:c r="J621" s="27"/>
      <x:c r="K621" s="27"/>
      <x:c r="L621" s="27"/>
      <x:c r="M621" s="27"/>
      <x:c r="N621" s="27"/>
      <x:c r="O621" s="27"/>
      <x:c r="P621" s="27"/>
      <x:c r="Q621" s="27"/>
      <x:c r="R621" s="27"/>
      <x:c r="S621" s="27"/>
      <x:c r="T621" s="27"/>
      <x:c r="U621" s="27"/>
      <x:c r="V621" s="27"/>
      <x:c r="W621" s="27"/>
    </x:row>
    <x:row r="622">
      <x:c r="A622" s="27" t="str">
        <x:v>TNA-059-01</x:v>
      </x:c>
      <x:c r="B622" s="27" t="str">
        <x:v>ORD-1159</x:v>
      </x:c>
      <x:c r="C622" s="27" t="str">
        <x:v>tech pack freeze</x:v>
      </x:c>
      <x:c r="D622" s="30" t="n">
        <x:v>46192</x:v>
      </x:c>
      <x:c r="E622" s="30"/>
      <x:c r="F622" s="34" t="str">
        <x:f>IF(E622="","",E622-D622)</x:f>
      </x:c>
      <x:c r="G622" s="27" t="str">
        <x:v>Open</x:v>
      </x:c>
      <x:c r="H622" s="27" t="str">
        <x:v>No</x:v>
      </x:c>
      <x:c r="I622" s="27"/>
      <x:c r="J622" s="27"/>
      <x:c r="K622" s="27"/>
      <x:c r="L622" s="27"/>
      <x:c r="M622" s="27"/>
      <x:c r="N622" s="27"/>
      <x:c r="O622" s="27"/>
      <x:c r="P622" s="27"/>
      <x:c r="Q622" s="27"/>
      <x:c r="R622" s="27"/>
      <x:c r="S622" s="27"/>
      <x:c r="T622" s="27"/>
      <x:c r="U622" s="27"/>
      <x:c r="V622" s="27"/>
      <x:c r="W622" s="27"/>
    </x:row>
    <x:row r="623">
      <x:c r="A623" s="27" t="str">
        <x:v>TNA-059-02</x:v>
      </x:c>
      <x:c r="B623" s="27" t="str">
        <x:v>ORD-1159</x:v>
      </x:c>
      <x:c r="C623" s="27" t="str">
        <x:v>line booking</x:v>
      </x:c>
      <x:c r="D623" s="30" t="n">
        <x:v>46196</x:v>
      </x:c>
      <x:c r="E623" s="30"/>
      <x:c r="F623" s="34" t="str">
        <x:f>IF(E623="","",E623-D623)</x:f>
      </x:c>
      <x:c r="G623" s="27" t="str">
        <x:v>Open</x:v>
      </x:c>
      <x:c r="H623" s="27" t="str">
        <x:v>No</x:v>
      </x:c>
      <x:c r="I623" s="27"/>
      <x:c r="J623" s="27"/>
      <x:c r="K623" s="27"/>
      <x:c r="L623" s="27"/>
      <x:c r="M623" s="27"/>
      <x:c r="N623" s="27"/>
      <x:c r="O623" s="27"/>
      <x:c r="P623" s="27"/>
      <x:c r="Q623" s="27"/>
      <x:c r="R623" s="27"/>
      <x:c r="S623" s="27"/>
      <x:c r="T623" s="27"/>
      <x:c r="U623" s="27"/>
      <x:c r="V623" s="27"/>
      <x:c r="W623" s="27"/>
    </x:row>
    <x:row r="624">
      <x:c r="A624" s="27" t="str">
        <x:v>TNA-059-03</x:v>
      </x:c>
      <x:c r="B624" s="27" t="str">
        <x:v>ORD-1159</x:v>
      </x:c>
      <x:c r="C624" s="27" t="str">
        <x:v>fabric/trim confirmation</x:v>
      </x:c>
      <x:c r="D624" s="30" t="n">
        <x:v>46200</x:v>
      </x:c>
      <x:c r="E624" s="30"/>
      <x:c r="F624" s="34" t="str">
        <x:f>IF(E624="","",E624-D624)</x:f>
      </x:c>
      <x:c r="G624" s="27" t="str">
        <x:v>Open</x:v>
      </x:c>
      <x:c r="H624" s="27" t="str">
        <x:v>No</x:v>
      </x:c>
      <x:c r="I624" s="27"/>
      <x:c r="J624" s="27"/>
      <x:c r="K624" s="27"/>
      <x:c r="L624" s="27"/>
      <x:c r="M624" s="27"/>
      <x:c r="N624" s="27"/>
      <x:c r="O624" s="27"/>
      <x:c r="P624" s="27"/>
      <x:c r="Q624" s="27"/>
      <x:c r="R624" s="27"/>
      <x:c r="S624" s="27"/>
      <x:c r="T624" s="27"/>
      <x:c r="U624" s="27"/>
      <x:c r="V624" s="27"/>
      <x:c r="W624" s="27"/>
    </x:row>
    <x:row r="625">
      <x:c r="A625" s="27" t="str">
        <x:v>TNA-059-04</x:v>
      </x:c>
      <x:c r="B625" s="27" t="str">
        <x:v>ORD-1159</x:v>
      </x:c>
      <x:c r="C625" s="27" t="str">
        <x:v>fit sample sent</x:v>
      </x:c>
      <x:c r="D625" s="30" t="n">
        <x:v>46204</x:v>
      </x:c>
      <x:c r="E625" s="30"/>
      <x:c r="F625" s="34" t="str">
        <x:f>IF(E625="","",E625-D625)</x:f>
      </x:c>
      <x:c r="G625" s="27" t="str">
        <x:v>Open</x:v>
      </x:c>
      <x:c r="H625" s="27" t="str">
        <x:v>No</x:v>
      </x:c>
      <x:c r="I625" s="27"/>
      <x:c r="J625" s="27"/>
      <x:c r="K625" s="27"/>
      <x:c r="L625" s="27"/>
      <x:c r="M625" s="27"/>
      <x:c r="N625" s="27"/>
      <x:c r="O625" s="27"/>
      <x:c r="P625" s="27"/>
      <x:c r="Q625" s="27"/>
      <x:c r="R625" s="27"/>
      <x:c r="S625" s="27"/>
      <x:c r="T625" s="27"/>
      <x:c r="U625" s="27"/>
      <x:c r="V625" s="27"/>
      <x:c r="W625" s="27"/>
    </x:row>
    <x:row r="626">
      <x:c r="A626" s="27" t="str">
        <x:v>TNA-059-05</x:v>
      </x:c>
      <x:c r="B626" s="27" t="str">
        <x:v>ORD-1159</x:v>
      </x:c>
      <x:c r="C626" s="27" t="str">
        <x:v>fit approval</x:v>
      </x:c>
      <x:c r="D626" s="30" t="n">
        <x:v>46208</x:v>
      </x:c>
      <x:c r="E626" s="30"/>
      <x:c r="F626" s="34" t="str">
        <x:f>IF(E626="","",E626-D626)</x:f>
      </x:c>
      <x:c r="G626" s="27" t="str">
        <x:v>Open</x:v>
      </x:c>
      <x:c r="H626" s="27" t="str">
        <x:v>No</x:v>
      </x:c>
      <x:c r="I626" s="27"/>
      <x:c r="J626" s="27"/>
      <x:c r="K626" s="27"/>
      <x:c r="L626" s="27"/>
      <x:c r="M626" s="27"/>
      <x:c r="N626" s="27"/>
      <x:c r="O626" s="27"/>
      <x:c r="P626" s="27"/>
      <x:c r="Q626" s="27"/>
      <x:c r="R626" s="27"/>
      <x:c r="S626" s="27"/>
      <x:c r="T626" s="27"/>
      <x:c r="U626" s="27"/>
      <x:c r="V626" s="27"/>
      <x:c r="W626" s="27"/>
    </x:row>
    <x:row r="627">
      <x:c r="A627" s="27" t="str">
        <x:v>TNA-059-06</x:v>
      </x:c>
      <x:c r="B627" s="27" t="str">
        <x:v>ORD-1159</x:v>
      </x:c>
      <x:c r="C627" s="27" t="str">
        <x:v>PP sample approval</x:v>
      </x:c>
      <x:c r="D627" s="30" t="n">
        <x:v>46216</x:v>
      </x:c>
      <x:c r="E627" s="30"/>
      <x:c r="F627" s="34" t="str">
        <x:f>IF(E627="","",E627-D627)</x:f>
      </x:c>
      <x:c r="G627" s="27" t="str">
        <x:v>Open</x:v>
      </x:c>
      <x:c r="H627" s="27" t="str">
        <x:v>Yes</x:v>
      </x:c>
      <x:c r="I627" s="27"/>
      <x:c r="J627" s="27"/>
      <x:c r="K627" s="27"/>
      <x:c r="L627" s="27"/>
      <x:c r="M627" s="27"/>
      <x:c r="N627" s="27"/>
      <x:c r="O627" s="27"/>
      <x:c r="P627" s="27"/>
      <x:c r="Q627" s="27"/>
      <x:c r="R627" s="27"/>
      <x:c r="S627" s="27"/>
      <x:c r="T627" s="27"/>
      <x:c r="U627" s="27"/>
      <x:c r="V627" s="27"/>
      <x:c r="W627" s="27"/>
    </x:row>
    <x:row r="628">
      <x:c r="A628" s="27" t="str">
        <x:v>TNA-059-07</x:v>
      </x:c>
      <x:c r="B628" s="27" t="str">
        <x:v>ORD-1159</x:v>
      </x:c>
      <x:c r="C628" s="27" t="str">
        <x:v>cutting start</x:v>
      </x:c>
      <x:c r="D628" s="30" t="n">
        <x:v>46222</x:v>
      </x:c>
      <x:c r="E628" s="30"/>
      <x:c r="F628" s="34" t="str">
        <x:f>IF(E628="","",E628-D628)</x:f>
      </x:c>
      <x:c r="G628" s="27" t="str">
        <x:v>Open</x:v>
      </x:c>
      <x:c r="H628" s="27" t="str">
        <x:v>Yes</x:v>
      </x:c>
      <x:c r="I628" s="27"/>
      <x:c r="J628" s="27"/>
      <x:c r="K628" s="27"/>
      <x:c r="L628" s="27"/>
      <x:c r="M628" s="27"/>
      <x:c r="N628" s="27"/>
      <x:c r="O628" s="27"/>
      <x:c r="P628" s="27"/>
      <x:c r="Q628" s="27"/>
      <x:c r="R628" s="27"/>
      <x:c r="S628" s="27"/>
      <x:c r="T628" s="27"/>
      <x:c r="U628" s="27"/>
      <x:c r="V628" s="27"/>
      <x:c r="W628" s="27"/>
    </x:row>
    <x:row r="629">
      <x:c r="A629" s="27" t="str">
        <x:v>TNA-059-08</x:v>
      </x:c>
      <x:c r="B629" s="27" t="str">
        <x:v>ORD-1159</x:v>
      </x:c>
      <x:c r="C629" s="27" t="str">
        <x:v>sewing start</x:v>
      </x:c>
      <x:c r="D629" s="30" t="n">
        <x:v>46225</x:v>
      </x:c>
      <x:c r="E629" s="30"/>
      <x:c r="F629" s="34" t="str">
        <x:f>IF(E629="","",E629-D629)</x:f>
      </x:c>
      <x:c r="G629" s="27" t="str">
        <x:v>Open</x:v>
      </x:c>
      <x:c r="H629" s="27" t="str">
        <x:v>Yes</x:v>
      </x:c>
      <x:c r="I629" s="27"/>
      <x:c r="J629" s="27"/>
      <x:c r="K629" s="27"/>
      <x:c r="L629" s="27"/>
      <x:c r="M629" s="27"/>
      <x:c r="N629" s="27"/>
      <x:c r="O629" s="27"/>
      <x:c r="P629" s="27"/>
      <x:c r="Q629" s="27"/>
      <x:c r="R629" s="27"/>
      <x:c r="S629" s="27"/>
      <x:c r="T629" s="27"/>
      <x:c r="U629" s="27"/>
      <x:c r="V629" s="27"/>
      <x:c r="W629" s="27"/>
    </x:row>
    <x:row r="630">
      <x:c r="A630" s="27" t="str">
        <x:v>TNA-059-09</x:v>
      </x:c>
      <x:c r="B630" s="27" t="str">
        <x:v>ORD-1159</x:v>
      </x:c>
      <x:c r="C630" s="27" t="str">
        <x:v>final QC</x:v>
      </x:c>
      <x:c r="D630" s="30" t="n">
        <x:v>46241</x:v>
      </x:c>
      <x:c r="E630" s="30"/>
      <x:c r="F630" s="34" t="str">
        <x:f>IF(E630="","",E630-D630)</x:f>
      </x:c>
      <x:c r="G630" s="27" t="str">
        <x:v>Open</x:v>
      </x:c>
      <x:c r="H630" s="27" t="str">
        <x:v>Yes</x:v>
      </x:c>
      <x:c r="I630" s="27"/>
      <x:c r="J630" s="27"/>
      <x:c r="K630" s="27"/>
      <x:c r="L630" s="27"/>
      <x:c r="M630" s="27"/>
      <x:c r="N630" s="27"/>
      <x:c r="O630" s="27"/>
      <x:c r="P630" s="27"/>
      <x:c r="Q630" s="27"/>
      <x:c r="R630" s="27"/>
      <x:c r="S630" s="27"/>
      <x:c r="T630" s="27"/>
      <x:c r="U630" s="27"/>
      <x:c r="V630" s="27"/>
      <x:c r="W630" s="27"/>
    </x:row>
    <x:row r="631">
      <x:c r="A631" s="27" t="str">
        <x:v>TNA-059-10</x:v>
      </x:c>
      <x:c r="B631" s="27" t="str">
        <x:v>ORD-1159</x:v>
      </x:c>
      <x:c r="C631" s="27" t="str">
        <x:v>ex-factory handover</x:v>
      </x:c>
      <x:c r="D631" s="30" t="n">
        <x:v>46244</x:v>
      </x:c>
      <x:c r="E631" s="30"/>
      <x:c r="F631" s="34" t="str">
        <x:f>IF(E631="","",E631-D631)</x:f>
      </x:c>
      <x:c r="G631" s="27" t="str">
        <x:v>Open</x:v>
      </x:c>
      <x:c r="H631" s="27" t="str">
        <x:v>Yes</x:v>
      </x:c>
      <x:c r="I631" s="27"/>
      <x:c r="J631" s="27"/>
      <x:c r="K631" s="27"/>
      <x:c r="L631" s="27"/>
      <x:c r="M631" s="27"/>
      <x:c r="N631" s="27"/>
      <x:c r="O631" s="27"/>
      <x:c r="P631" s="27"/>
      <x:c r="Q631" s="27"/>
      <x:c r="R631" s="27"/>
      <x:c r="S631" s="27"/>
      <x:c r="T631" s="27"/>
      <x:c r="U631" s="27"/>
      <x:c r="V631" s="27"/>
      <x:c r="W631" s="27"/>
    </x:row>
    <x:row r="632">
      <x:c r="A632" s="27" t="str">
        <x:v>TNA-060-01</x:v>
      </x:c>
      <x:c r="B632" s="27" t="str">
        <x:v>ORD-1160</x:v>
      </x:c>
      <x:c r="C632" s="27" t="str">
        <x:v>tech pack freeze</x:v>
      </x:c>
      <x:c r="D632" s="30" t="n">
        <x:v>46194</x:v>
      </x:c>
      <x:c r="E632" s="30"/>
      <x:c r="F632" s="34" t="str">
        <x:f>IF(E632="","",E632-D632)</x:f>
      </x:c>
      <x:c r="G632" s="27" t="str">
        <x:v>Open</x:v>
      </x:c>
      <x:c r="H632" s="27" t="str">
        <x:v>No</x:v>
      </x:c>
      <x:c r="I632" s="27"/>
      <x:c r="J632" s="27"/>
      <x:c r="K632" s="27"/>
      <x:c r="L632" s="27"/>
      <x:c r="M632" s="27"/>
      <x:c r="N632" s="27"/>
      <x:c r="O632" s="27"/>
      <x:c r="P632" s="27"/>
      <x:c r="Q632" s="27"/>
      <x:c r="R632" s="27"/>
      <x:c r="S632" s="27"/>
      <x:c r="T632" s="27"/>
      <x:c r="U632" s="27"/>
      <x:c r="V632" s="27"/>
      <x:c r="W632" s="27"/>
    </x:row>
    <x:row r="633">
      <x:c r="A633" s="27" t="str">
        <x:v>TNA-060-02</x:v>
      </x:c>
      <x:c r="B633" s="27" t="str">
        <x:v>ORD-1160</x:v>
      </x:c>
      <x:c r="C633" s="27" t="str">
        <x:v>line booking</x:v>
      </x:c>
      <x:c r="D633" s="30" t="n">
        <x:v>46198</x:v>
      </x:c>
      <x:c r="E633" s="30"/>
      <x:c r="F633" s="34" t="str">
        <x:f>IF(E633="","",E633-D633)</x:f>
      </x:c>
      <x:c r="G633" s="27" t="str">
        <x:v>Open</x:v>
      </x:c>
      <x:c r="H633" s="27" t="str">
        <x:v>No</x:v>
      </x:c>
      <x:c r="I633" s="27"/>
      <x:c r="J633" s="27"/>
      <x:c r="K633" s="27"/>
      <x:c r="L633" s="27"/>
      <x:c r="M633" s="27"/>
      <x:c r="N633" s="27"/>
      <x:c r="O633" s="27"/>
      <x:c r="P633" s="27"/>
      <x:c r="Q633" s="27"/>
      <x:c r="R633" s="27"/>
      <x:c r="S633" s="27"/>
      <x:c r="T633" s="27"/>
      <x:c r="U633" s="27"/>
      <x:c r="V633" s="27"/>
      <x:c r="W633" s="27"/>
    </x:row>
    <x:row r="634">
      <x:c r="A634" s="27" t="str">
        <x:v>TNA-060-03</x:v>
      </x:c>
      <x:c r="B634" s="27" t="str">
        <x:v>ORD-1160</x:v>
      </x:c>
      <x:c r="C634" s="27" t="str">
        <x:v>fabric/trim confirmation</x:v>
      </x:c>
      <x:c r="D634" s="30" t="n">
        <x:v>46202</x:v>
      </x:c>
      <x:c r="E634" s="30"/>
      <x:c r="F634" s="34" t="str">
        <x:f>IF(E634="","",E634-D634)</x:f>
      </x:c>
      <x:c r="G634" s="27" t="str">
        <x:v>Open</x:v>
      </x:c>
      <x:c r="H634" s="27" t="str">
        <x:v>No</x:v>
      </x:c>
      <x:c r="I634" s="27"/>
      <x:c r="J634" s="27"/>
      <x:c r="K634" s="27"/>
      <x:c r="L634" s="27"/>
      <x:c r="M634" s="27"/>
      <x:c r="N634" s="27"/>
      <x:c r="O634" s="27"/>
      <x:c r="P634" s="27"/>
      <x:c r="Q634" s="27"/>
      <x:c r="R634" s="27"/>
      <x:c r="S634" s="27"/>
      <x:c r="T634" s="27"/>
      <x:c r="U634" s="27"/>
      <x:c r="V634" s="27"/>
      <x:c r="W634" s="27"/>
    </x:row>
    <x:row r="635">
      <x:c r="A635" s="27" t="str">
        <x:v>TNA-060-04</x:v>
      </x:c>
      <x:c r="B635" s="27" t="str">
        <x:v>ORD-1160</x:v>
      </x:c>
      <x:c r="C635" s="27" t="str">
        <x:v>fit sample sent</x:v>
      </x:c>
      <x:c r="D635" s="30" t="n">
        <x:v>46206</x:v>
      </x:c>
      <x:c r="E635" s="30"/>
      <x:c r="F635" s="34" t="str">
        <x:f>IF(E635="","",E635-D635)</x:f>
      </x:c>
      <x:c r="G635" s="27" t="str">
        <x:v>Open</x:v>
      </x:c>
      <x:c r="H635" s="27" t="str">
        <x:v>No</x:v>
      </x:c>
      <x:c r="I635" s="27"/>
      <x:c r="J635" s="27"/>
      <x:c r="K635" s="27"/>
      <x:c r="L635" s="27"/>
      <x:c r="M635" s="27"/>
      <x:c r="N635" s="27"/>
      <x:c r="O635" s="27"/>
      <x:c r="P635" s="27"/>
      <x:c r="Q635" s="27"/>
      <x:c r="R635" s="27"/>
      <x:c r="S635" s="27"/>
      <x:c r="T635" s="27"/>
      <x:c r="U635" s="27"/>
      <x:c r="V635" s="27"/>
      <x:c r="W635" s="27"/>
    </x:row>
    <x:row r="636">
      <x:c r="A636" s="27" t="str">
        <x:v>TNA-060-05</x:v>
      </x:c>
      <x:c r="B636" s="27" t="str">
        <x:v>ORD-1160</x:v>
      </x:c>
      <x:c r="C636" s="27" t="str">
        <x:v>fit approval</x:v>
      </x:c>
      <x:c r="D636" s="30" t="n">
        <x:v>46210</x:v>
      </x:c>
      <x:c r="E636" s="30"/>
      <x:c r="F636" s="34" t="str">
        <x:f>IF(E636="","",E636-D636)</x:f>
      </x:c>
      <x:c r="G636" s="27" t="str">
        <x:v>Open</x:v>
      </x:c>
      <x:c r="H636" s="27" t="str">
        <x:v>No</x:v>
      </x:c>
      <x:c r="I636" s="27"/>
      <x:c r="J636" s="27"/>
      <x:c r="K636" s="27"/>
      <x:c r="L636" s="27"/>
      <x:c r="M636" s="27"/>
      <x:c r="N636" s="27"/>
      <x:c r="O636" s="27"/>
      <x:c r="P636" s="27"/>
      <x:c r="Q636" s="27"/>
      <x:c r="R636" s="27"/>
      <x:c r="S636" s="27"/>
      <x:c r="T636" s="27"/>
      <x:c r="U636" s="27"/>
      <x:c r="V636" s="27"/>
      <x:c r="W636" s="27"/>
    </x:row>
    <x:row r="637">
      <x:c r="A637" s="27" t="str">
        <x:v>TNA-060-06</x:v>
      </x:c>
      <x:c r="B637" s="27" t="str">
        <x:v>ORD-1160</x:v>
      </x:c>
      <x:c r="C637" s="27" t="str">
        <x:v>PP sample approval</x:v>
      </x:c>
      <x:c r="D637" s="30" t="n">
        <x:v>46218</x:v>
      </x:c>
      <x:c r="E637" s="30"/>
      <x:c r="F637" s="34" t="str">
        <x:f>IF(E637="","",E637-D637)</x:f>
      </x:c>
      <x:c r="G637" s="27" t="str">
        <x:v>Open</x:v>
      </x:c>
      <x:c r="H637" s="27" t="str">
        <x:v>Yes</x:v>
      </x:c>
      <x:c r="I637" s="27"/>
      <x:c r="J637" s="27"/>
      <x:c r="K637" s="27"/>
      <x:c r="L637" s="27"/>
      <x:c r="M637" s="27"/>
      <x:c r="N637" s="27"/>
      <x:c r="O637" s="27"/>
      <x:c r="P637" s="27"/>
      <x:c r="Q637" s="27"/>
      <x:c r="R637" s="27"/>
      <x:c r="S637" s="27"/>
      <x:c r="T637" s="27"/>
      <x:c r="U637" s="27"/>
      <x:c r="V637" s="27"/>
      <x:c r="W637" s="27"/>
    </x:row>
    <x:row r="638">
      <x:c r="A638" s="27" t="str">
        <x:v>TNA-060-07</x:v>
      </x:c>
      <x:c r="B638" s="27" t="str">
        <x:v>ORD-1160</x:v>
      </x:c>
      <x:c r="C638" s="27" t="str">
        <x:v>cutting start</x:v>
      </x:c>
      <x:c r="D638" s="30" t="n">
        <x:v>46224</x:v>
      </x:c>
      <x:c r="E638" s="30"/>
      <x:c r="F638" s="34" t="str">
        <x:f>IF(E638="","",E638-D638)</x:f>
      </x:c>
      <x:c r="G638" s="27" t="str">
        <x:v>Open</x:v>
      </x:c>
      <x:c r="H638" s="27" t="str">
        <x:v>Yes</x:v>
      </x:c>
      <x:c r="I638" s="27"/>
      <x:c r="J638" s="27"/>
      <x:c r="K638" s="27"/>
      <x:c r="L638" s="27"/>
      <x:c r="M638" s="27"/>
      <x:c r="N638" s="27"/>
      <x:c r="O638" s="27"/>
      <x:c r="P638" s="27"/>
      <x:c r="Q638" s="27"/>
      <x:c r="R638" s="27"/>
      <x:c r="S638" s="27"/>
      <x:c r="T638" s="27"/>
      <x:c r="U638" s="27"/>
      <x:c r="V638" s="27"/>
      <x:c r="W638" s="27"/>
    </x:row>
    <x:row r="639">
      <x:c r="A639" s="27" t="str">
        <x:v>TNA-060-08</x:v>
      </x:c>
      <x:c r="B639" s="27" t="str">
        <x:v>ORD-1160</x:v>
      </x:c>
      <x:c r="C639" s="27" t="str">
        <x:v>sewing start</x:v>
      </x:c>
      <x:c r="D639" s="30" t="n">
        <x:v>46227</x:v>
      </x:c>
      <x:c r="E639" s="30"/>
      <x:c r="F639" s="34" t="str">
        <x:f>IF(E639="","",E639-D639)</x:f>
      </x:c>
      <x:c r="G639" s="27" t="str">
        <x:v>Open</x:v>
      </x:c>
      <x:c r="H639" s="27" t="str">
        <x:v>Yes</x:v>
      </x:c>
      <x:c r="I639" s="27"/>
      <x:c r="J639" s="27"/>
      <x:c r="K639" s="27"/>
      <x:c r="L639" s="27"/>
      <x:c r="M639" s="27"/>
      <x:c r="N639" s="27"/>
      <x:c r="O639" s="27"/>
      <x:c r="P639" s="27"/>
      <x:c r="Q639" s="27"/>
      <x:c r="R639" s="27"/>
      <x:c r="S639" s="27"/>
      <x:c r="T639" s="27"/>
      <x:c r="U639" s="27"/>
      <x:c r="V639" s="27"/>
      <x:c r="W639" s="27"/>
    </x:row>
    <x:row r="640">
      <x:c r="A640" s="27" t="str">
        <x:v>TNA-060-09</x:v>
      </x:c>
      <x:c r="B640" s="27" t="str">
        <x:v>ORD-1160</x:v>
      </x:c>
      <x:c r="C640" s="27" t="str">
        <x:v>final QC</x:v>
      </x:c>
      <x:c r="D640" s="30" t="n">
        <x:v>46248</x:v>
      </x:c>
      <x:c r="E640" s="30"/>
      <x:c r="F640" s="34" t="str">
        <x:f>IF(E640="","",E640-D640)</x:f>
      </x:c>
      <x:c r="G640" s="27" t="str">
        <x:v>Open</x:v>
      </x:c>
      <x:c r="H640" s="27" t="str">
        <x:v>Yes</x:v>
      </x:c>
      <x:c r="I640" s="27"/>
      <x:c r="J640" s="27"/>
      <x:c r="K640" s="27"/>
      <x:c r="L640" s="27"/>
      <x:c r="M640" s="27"/>
      <x:c r="N640" s="27"/>
      <x:c r="O640" s="27"/>
      <x:c r="P640" s="27"/>
      <x:c r="Q640" s="27"/>
      <x:c r="R640" s="27"/>
      <x:c r="S640" s="27"/>
      <x:c r="T640" s="27"/>
      <x:c r="U640" s="27"/>
      <x:c r="V640" s="27"/>
      <x:c r="W640" s="27"/>
    </x:row>
    <x:row r="641">
      <x:c r="A641" s="27" t="str">
        <x:v>TNA-060-10</x:v>
      </x:c>
      <x:c r="B641" s="27" t="str">
        <x:v>ORD-1160</x:v>
      </x:c>
      <x:c r="C641" s="27" t="str">
        <x:v>ex-factory handover</x:v>
      </x:c>
      <x:c r="D641" s="30" t="n">
        <x:v>46251</x:v>
      </x:c>
      <x:c r="E641" s="30"/>
      <x:c r="F641" s="34" t="str">
        <x:f>IF(E641="","",E641-D641)</x:f>
      </x:c>
      <x:c r="G641" s="27" t="str">
        <x:v>Open</x:v>
      </x:c>
      <x:c r="H641" s="27" t="str">
        <x:v>Yes</x:v>
      </x:c>
      <x:c r="I641" s="27"/>
      <x:c r="J641" s="27"/>
      <x:c r="K641" s="27"/>
      <x:c r="L641" s="27"/>
      <x:c r="M641" s="27"/>
      <x:c r="N641" s="27"/>
      <x:c r="O641" s="27"/>
      <x:c r="P641" s="27"/>
      <x:c r="Q641" s="27"/>
      <x:c r="R641" s="27"/>
      <x:c r="S641" s="27"/>
      <x:c r="T641" s="27"/>
      <x:c r="U641" s="27"/>
      <x:c r="V641" s="27"/>
      <x:c r="W641" s="27"/>
    </x:row>
  </x:sheetData>
  <x:conditionalFormatting sqref="G2:G641">
    <x:cfRule type="expression" dxfId="3" priority="1">
      <x:formula>G2="Delayed"</x:formula>
    </x:cfRule>
    <x:cfRule type="expression" dxfId="4" priority="2">
      <x:formula>G2="Open"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9b0e407abe441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10.09000015258789" hidden="0" customWidth="1"/>
    <x:col min="3" max="3" width="38" hidden="0" customWidth="1"/>
    <x:col min="4" max="4" width="11.569999694824219" hidden="0" customWidth="1"/>
    <x:col min="5" max="5" width="8.210000038146973" hidden="0" customWidth="1"/>
    <x:col min="6" max="6" width="10.899999618530273" hidden="0" customWidth="1"/>
    <x:col min="7" max="7" width="45" hidden="0" customWidth="1"/>
    <x:col min="8" max="8" width="16.020000457763672" hidden="0" customWidth="1"/>
    <x:col min="9" max="9" width="18.030000686645508" hidden="0" customWidth="1"/>
    <x:col min="10" max="10" width="8.880000114440918" hidden="0" customWidth="1"/>
  </x:cols>
  <x:sheetData>
    <x:row r="1" ht="28" customHeight="1">
      <x:c r="A1" s="26" t="str">
        <x:v>risk_id</x:v>
      </x:c>
      <x:c r="B1" s="26" t="str">
        <x:v>risk_area</x:v>
      </x:c>
      <x:c r="C1" s="26" t="str">
        <x:v>description</x:v>
      </x:c>
      <x:c r="D1" s="26" t="str">
        <x:v>probability</x:v>
      </x:c>
      <x:c r="E1" s="26" t="str">
        <x:v>impact</x:v>
      </x:c>
      <x:c r="F1" s="26" t="str">
        <x:v>risk_score</x:v>
      </x:c>
      <x:c r="G1" s="26" t="str">
        <x:v>mitigation</x:v>
      </x:c>
      <x:c r="H1" s="26" t="str">
        <x:v>owner</x:v>
      </x:c>
      <x:c r="I1" s="26" t="str">
        <x:v>linked_sheet</x:v>
      </x:c>
      <x:c r="J1" s="26" t="str">
        <x:v>status</x:v>
      </x:c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7" t="str">
        <x:v>RISK-001</x:v>
      </x:c>
      <x:c r="B2" s="27" t="str">
        <x:v>Material</x:v>
      </x:c>
      <x:c r="C2" s="27" t="str">
        <x:v>Minor trim replenishment may be needed for late-add orders</x:v>
      </x:c>
      <x:c r="D2" s="34" t="n">
        <x:v>2</x:v>
      </x:c>
      <x:c r="E2" s="34" t="n">
        <x:v>3</x:v>
      </x:c>
      <x:c r="F2" s="34" t="n">
        <x:f>D2*E2</x:f>
        <x:v>6</x:v>
      </x:c>
      <x:c r="G2" s="27" t="str">
        <x:v>Keep two-week trim buffer and confirm stock before cut date</x:v>
      </x:c>
      <x:c r="H2" s="27" t="str">
        <x:v>Production Planning</x:v>
      </x:c>
      <x:c r="I2" s="27" t="str">
        <x:v>orders / TNA_calendar</x:v>
      </x:c>
      <x:c r="J2" s="27" t="str">
        <x:v>Monitoring</x:v>
      </x:c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 t="str">
        <x:v>RISK-002</x:v>
      </x:c>
      <x:c r="B3" s="27" t="str">
        <x:v>Capacity</x:v>
      </x:c>
      <x:c r="C3" s="27" t="str">
        <x:v>One high-volume style could compress sewing allocation if moved forward</x:v>
      </x:c>
      <x:c r="D3" s="34" t="n">
        <x:v>2</x:v>
      </x:c>
      <x:c r="E3" s="34" t="n">
        <x:v>4</x:v>
      </x:c>
      <x:c r="F3" s="34" t="n">
        <x:f>D3*E3</x:f>
        <x:v>8</x:v>
      </x:c>
      <x:c r="G3" s="27" t="str">
        <x:v>Keep spare capacity on LN-039 and LN-030; avoid overlapping rush moves</x:v>
      </x:c>
      <x:c r="H3" s="27" t="str">
        <x:v>Production</x:v>
      </x:c>
      <x:c r="I3" s="27" t="str">
        <x:v>orders / line_capacity</x:v>
      </x:c>
      <x:c r="J3" s="27" t="str">
        <x:v>Monitoring</x:v>
      </x:c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RISK-003</x:v>
      </x:c>
      <x:c r="B4" s="27" t="str">
        <x:v>Quality</x:v>
      </x:c>
      <x:c r="C4" s="27" t="str">
        <x:v>Fit comments may require small adjustment before PP approval</x:v>
      </x:c>
      <x:c r="D4" s="34" t="n">
        <x:v>2</x:v>
      </x:c>
      <x:c r="E4" s="34" t="n">
        <x:v>3</x:v>
      </x:c>
      <x:c r="F4" s="34" t="n">
        <x:f>D4*E4</x:f>
        <x:v>6</x:v>
      </x:c>
      <x:c r="G4" s="27" t="str">
        <x:v>Lock technical comments before PP sample; use daily approval tracker</x:v>
      </x:c>
      <x:c r="H4" s="27" t="str">
        <x:v>Product Dev</x:v>
      </x:c>
      <x:c r="I4" s="27" t="str">
        <x:v>TNA_calendar</x:v>
      </x:c>
      <x:c r="J4" s="27" t="str">
        <x:v>Monitoring</x:v>
      </x:c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RISK-004</x:v>
      </x:c>
      <x:c r="B5" s="27" t="str">
        <x:v>Scheduling</x:v>
      </x:c>
      <x:c r="C5" s="27" t="str">
        <x:v>Client may request earlier ex-factory date</x:v>
      </x:c>
      <x:c r="D5" s="34" t="n">
        <x:v>2</x:v>
      </x:c>
      <x:c r="E5" s="34" t="n">
        <x:v>3</x:v>
      </x:c>
      <x:c r="F5" s="34" t="n">
        <x:f>D5*E5</x:f>
        <x:v>6</x:v>
      </x:c>
      <x:c r="G5" s="27" t="str">
        <x:v>Maintain buffer between capacity days needed and deadline</x:v>
      </x:c>
      <x:c r="H5" s="27" t="str">
        <x:v>Merchandising</x:v>
      </x:c>
      <x:c r="I5" s="27" t="str">
        <x:v>orders</x:v>
      </x:c>
      <x:c r="J5" s="27" t="str">
        <x:v>Open</x:v>
      </x:c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RISK-005</x:v>
      </x:c>
      <x:c r="B6" s="27" t="str">
        <x:v>Data</x:v>
      </x:c>
      <x:c r="C6" s="27" t="str">
        <x:v>Manual update could misalign assigned line and capacity</x:v>
      </x:c>
      <x:c r="D6" s="34" t="n">
        <x:v>1</x:v>
      </x:c>
      <x:c r="E6" s="34" t="n">
        <x:v>4</x:v>
      </x:c>
      <x:c r="F6" s="34" t="n">
        <x:f>D6*E6</x:f>
        <x:v>4</x:v>
      </x:c>
      <x:c r="G6" s="27" t="str">
        <x:v>Use line_id lookup and re-check capacity_days_needed after any change</x:v>
      </x:c>
      <x:c r="H6" s="27" t="str">
        <x:v>Planning</x:v>
      </x:c>
      <x:c r="I6" s="27" t="str">
        <x:v>orders / line_capacity</x:v>
      </x:c>
      <x:c r="J6" s="27" t="str">
        <x:v>Monitoring</x:v>
      </x:c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RISK-006</x:v>
      </x:c>
      <x:c r="B7" s="27" t="str">
        <x:v>Logistics</x:v>
      </x:c>
      <x:c r="C7" s="27" t="str">
        <x:v>Consolidated shipment could require earlier packing slot</x:v>
      </x:c>
      <x:c r="D7" s="34" t="n">
        <x:v>1</x:v>
      </x:c>
      <x:c r="E7" s="34" t="n">
        <x:v>3</x:v>
      </x:c>
      <x:c r="F7" s="34" t="n">
        <x:f>D7*E7</x:f>
        <x:v>3</x:v>
      </x:c>
      <x:c r="G7" s="27" t="str">
        <x:v>Reserve packing slot three days before ex-factory</x:v>
      </x:c>
      <x:c r="H7" s="27" t="str">
        <x:v>Logistics</x:v>
      </x:c>
      <x:c r="I7" s="27" t="str">
        <x:v>TNA_calendar</x:v>
      </x:c>
      <x:c r="J7" s="27" t="str">
        <x:v>Open</x:v>
      </x:c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</x:sheetData>
  <x:conditionalFormatting sqref="F2:F7">
    <x:cfRule type="dataBar" priority="1">
      <x:dataBar>
        <x:cfvo type="min"/>
        <x:cfvo type="max"/>
        <x:color rgb="FF9E480E"/>
      </x:dataBar>
      <x:extLst>
        <x:ext xmlns:x14="http://schemas.microsoft.com/office/spreadsheetml/2009/9/main" uri="{B025F937-C7B1-47D3-B67F-A62EFF666E3E}">
          <x14:id>{5C605793-E872-FFFF-0FA1-C20BEC5C4002}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ecc099c05f447b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C605793-E872-FFFF-0FA1-C20BEC5C4002}">
            <x14:dataBar gradient="1">
              <x14:cfvo type="min"/>
              <x14:cfvo type="max"/>
              <x14:fillColor rgb="FF9E480E"/>
            </x14:dataBar>
          </x14:cfRule>
          <xm:sqref>F2:F7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2.1299991607666" hidden="0" customWidth="1"/>
    <x:col min="2" max="2" width="21.5" hidden="0" customWidth="1"/>
    <x:col min="3" max="3" width="52.880001068115234" hidden="0" customWidth="1"/>
    <x:col min="4" max="4" width="6.75" hidden="0" customWidth="1"/>
    <x:col min="5" max="5" width="38.5" hidden="0" customWidth="1"/>
  </x:cols>
  <x:sheetData>
    <x:row r="1" ht="28" customHeight="1">
      <x:c r="A1" s="26" t="str">
        <x:v>sheet</x:v>
      </x:c>
      <x:c r="B1" s="26" t="str">
        <x:v>field</x:v>
      </x:c>
      <x:c r="C1" s="26" t="str">
        <x:v>description</x:v>
      </x:c>
      <x:c r="D1" s="26" t="str">
        <x:v>type</x:v>
      </x:c>
      <x:c r="E1" s="26" t="str">
        <x:v>logic</x:v>
      </x:c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7" t="str">
        <x:v>orders</x:v>
      </x:c>
      <x:c r="B2" s="27" t="str">
        <x:v>order_id</x:v>
      </x:c>
      <x:c r="C2" s="27" t="str">
        <x:v>Unique production order identifier</x:v>
      </x:c>
      <x:c r="D2" s="27" t="str">
        <x:v>Text</x:v>
      </x:c>
      <x:c r="E2" s="27" t="str">
        <x:v>Required</x:v>
      </x:c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 t="str">
        <x:v>orders</x:v>
      </x:c>
      <x:c r="B3" s="27" t="str">
        <x:v>planned_smv</x:v>
      </x:c>
      <x:c r="C3" s="27" t="str">
        <x:v>Standard minutes per garment pulled from style master</x:v>
      </x:c>
      <x:c r="D3" s="27" t="str">
        <x:v>Formula</x:v>
      </x:c>
      <x:c r="E3" s="27" t="str">
        <x:v>VLOOKUP from style_master</x:v>
      </x:c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orders</x:v>
      </x:c>
      <x:c r="B4" s="27" t="str">
        <x:v>capacity_days_needed</x:v>
      </x:c>
      <x:c r="C4" s="27" t="str">
        <x:v>Total standard minutes divided by assigned line daily available minutes</x:v>
      </x:c>
      <x:c r="D4" s="27" t="str">
        <x:v>Formula</x:v>
      </x:c>
      <x:c r="E4" s="27" t="str">
        <x:v>Uses line_capacity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product_matrix</x:v>
      </x:c>
      <x:c r="B5" s="27" t="str">
        <x:v>avg_time_minutes</x:v>
      </x:c>
      <x:c r="C5" s="27" t="str">
        <x:v>Average operation time in minutes</x:v>
      </x:c>
      <x:c r="D5" s="27" t="str">
        <x:v>Number</x:v>
      </x:c>
      <x:c r="E5" s="27" t="str">
        <x:v>Based on SMV/SAM logic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line_capacity</x:v>
      </x:c>
      <x:c r="B6" s="27" t="str">
        <x:v>available_smv_minutes_day</x:v>
      </x:c>
      <x:c r="C6" s="27" t="str">
        <x:v>Net daily minutes adjusted by efficiency and uptime</x:v>
      </x:c>
      <x:c r="D6" s="27" t="str">
        <x:v>Formula</x:v>
      </x:c>
      <x:c r="E6" s="27" t="str">
        <x:v>Operators × shift hours × 60 × efficiency × uptime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BOM</x:v>
      </x:c>
      <x:c r="B7" s="27" t="str">
        <x:v>usage_qty_per_garment</x:v>
      </x:c>
      <x:c r="C7" s="27" t="str">
        <x:v>Component consumption per garment</x:v>
      </x:c>
      <x:c r="D7" s="27" t="str">
        <x:v>Number</x:v>
      </x:c>
      <x:c r="E7" s="27" t="str">
        <x:v>Per style/component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MRP_material_requirements</x:v>
      </x:c>
      <x:c r="B8" s="27" t="str">
        <x:v>purchase_needed_qty</x:v>
      </x:c>
      <x:c r="C8" s="27" t="str">
        <x:v>Required qty minus available material stock</x:v>
      </x:c>
      <x:c r="D8" s="27" t="str">
        <x:v>Formula</x:v>
      </x:c>
      <x:c r="E8" s="27" t="str">
        <x:v>MAX(0, requirement-stock)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TNA_calendar</x:v>
      </x:c>
      <x:c r="B9" s="27" t="str">
        <x:v>delay_days</x:v>
      </x:c>
      <x:c r="C9" s="27" t="str">
        <x:v>Actual date minus planned date</x:v>
      </x:c>
      <x:c r="D9" s="27" t="str">
        <x:v>Formula</x:v>
      </x:c>
      <x:c r="E9" s="27" t="str">
        <x:v>Blank if actual date missing</x:v>
      </x:c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phase_capacity</x:v>
      </x:c>
      <x:c r="B10" s="27" t="str">
        <x:v>bottleneck_flag</x:v>
      </x:c>
      <x:c r="C10" s="27" t="str">
        <x:v>Flags phases with low available minutes</x:v>
      </x:c>
      <x:c r="D10" s="27" t="str">
        <x:v>Formula</x:v>
      </x:c>
      <x:c r="E10" s="27" t="str">
        <x:v>Threshold based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96" t="str">
        <x:v>economic_layer</x:v>
      </x:c>
      <x:c r="B11" s="97" t="str">
        <x:v>required_hours</x:v>
      </x:c>
      <x:c r="C11" s="97" t="str">
        <x:v>Standard minutes converted into labour hours</x:v>
      </x:c>
      <x:c r="D11" s="97" t="str">
        <x:v>Formula</x:v>
      </x:c>
      <x:c r="E11" s="98" t="str">
        <x:v>orders.total_standard_minutes / 60</x:v>
      </x:c>
    </x:row>
    <x:row r="12">
      <x:c r="A12" s="99" t="str">
        <x:v>economic_layer</x:v>
      </x:c>
      <x:c r="B12" s="100" t="str">
        <x:v>standard_labour_cost_eur</x:v>
      </x:c>
      <x:c r="C12" s="100" t="str">
        <x:v>Labour cost before setup, overhead and overtime</x:v>
      </x:c>
      <x:c r="D12" s="100" t="str">
        <x:v>Formula</x:v>
      </x:c>
      <x:c r="E12" s="101" t="str">
        <x:v>required_hours × standard_hourly_cost_eur</x:v>
      </x:c>
    </x:row>
    <x:row r="13">
      <x:c r="A13" s="99" t="str">
        <x:v>economic_layer</x:v>
      </x:c>
      <x:c r="B13" s="100" t="str">
        <x:v>overtime_cost_eur</x:v>
      </x:c>
      <x:c r="C13" s="100" t="str">
        <x:v>Additional labour premium if capacity is compressed beyond deadline</x:v>
      </x:c>
      <x:c r="D13" s="100" t="str">
        <x:v>Formula</x:v>
      </x:c>
      <x:c r="E13" s="101" t="str">
        <x:v>overtime_hours × hourly cost × overtime multiplier</x:v>
      </x:c>
    </x:row>
    <x:row r="14">
      <x:c r="A14" s="99" t="str">
        <x:v>economic_layer</x:v>
      </x:c>
      <x:c r="B14" s="100" t="str">
        <x:v>total_estimated_cost_eur</x:v>
      </x:c>
      <x:c r="C14" s="100" t="str">
        <x:v>Estimated cost to accept/produce the order</x:v>
      </x:c>
      <x:c r="D14" s="100" t="str">
        <x:v>Formula</x:v>
      </x:c>
      <x:c r="E14" s="101" t="str">
        <x:v>labour + setup + overhead + overtime</x:v>
      </x:c>
    </x:row>
    <x:row r="15">
      <x:c r="A15" s="99" t="str">
        <x:v>economic_layer</x:v>
      </x:c>
      <x:c r="B15" s="100" t="str">
        <x:v>estimated_margin_pct</x:v>
      </x:c>
      <x:c r="C15" s="100" t="str">
        <x:v>Economic margin on the order</x:v>
      </x:c>
      <x:c r="D15" s="100" t="str">
        <x:v>Formula</x:v>
      </x:c>
      <x:c r="E15" s="101" t="str">
        <x:v>(revenue - estimated cost) / revenue</x:v>
      </x:c>
    </x:row>
    <x:row r="16">
      <x:c r="A16" s="102" t="str">
        <x:v>economic_layer</x:v>
      </x:c>
      <x:c r="B16" s="103" t="str">
        <x:v>economic_recommendation</x:v>
      </x:c>
      <x:c r="C16" s="103" t="str">
        <x:v>Economic decision support label</x:v>
      </x:c>
      <x:c r="D16" s="103" t="str">
        <x:v>Formula</x:v>
      </x:c>
      <x:c r="E16" s="104" t="str">
        <x:v>margin and reallocation logic</x:v>
      </x:c>
    </x:row>
  </x:sheetData>
  <x:pageMargins left="0.7" right="0.7" top="0.75" bottom="0.75" header="0.3" footer="0.3"/>
  <x:tableParts count="1">
    <x:tablePart xmlns:r="http://schemas.openxmlformats.org/officeDocument/2006/relationships" r:id="Rdb4c72e6acfd41b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8" hidden="0" customWidth="1"/>
    <x:col min="25" max="25" width="18" hidden="0" customWidth="1"/>
    <x:col min="26" max="26" width="14" hidden="0" customWidth="1"/>
    <x:col min="27" max="27" width="14" hidden="0" customWidth="1"/>
    <x:col min="28" max="28" width="14" hidden="0" customWidth="1"/>
    <x:col min="29" max="29" width="18" hidden="0" customWidth="1"/>
    <x:col min="30" max="30" width="26" hidden="0" customWidth="1"/>
    <x:col min="32" max="32" width="26" hidden="0" customWidth="1"/>
    <x:col min="33" max="33" width="26" hidden="0" customWidth="1"/>
  </x:cols>
  <x:sheetData>
    <x:row r="1" ht="36" customHeight="1">
      <x:c r="A1" s="62" t="str">
        <x:v>order_id</x:v>
      </x:c>
      <x:c r="B1" s="63" t="str">
        <x:v>client</x:v>
      </x:c>
      <x:c r="C1" s="63" t="str">
        <x:v>style_id</x:v>
      </x:c>
      <x:c r="D1" s="63" t="str">
        <x:v>product_type</x:v>
      </x:c>
      <x:c r="E1" s="63" t="str">
        <x:v>assigned_lab</x:v>
      </x:c>
      <x:c r="F1" s="63" t="str">
        <x:v>assigned_line</x:v>
      </x:c>
      <x:c r="G1" s="63" t="str">
        <x:v>quantity</x:v>
      </x:c>
      <x:c r="H1" s="63" t="str">
        <x:v>planned_smv</x:v>
      </x:c>
      <x:c r="I1" s="63" t="str">
        <x:v>required_hours</x:v>
      </x:c>
      <x:c r="J1" s="63" t="str">
        <x:v>standard_hourly_cost_eur</x:v>
      </x:c>
      <x:c r="K1" s="63" t="str">
        <x:v>standard_labour_cost_eur</x:v>
      </x:c>
      <x:c r="L1" s="63" t="str">
        <x:v>setup_cost_eur</x:v>
      </x:c>
      <x:c r="M1" s="63" t="str">
        <x:v>overhead_pct</x:v>
      </x:c>
      <x:c r="N1" s="63" t="str">
        <x:v>overhead_cost_eur</x:v>
      </x:c>
      <x:c r="O1" s="63" t="str">
        <x:v>overtime_multiplier</x:v>
      </x:c>
      <x:c r="P1" s="63" t="str">
        <x:v>overtime_hours_if_deadline_compressed</x:v>
      </x:c>
      <x:c r="Q1" s="63" t="str">
        <x:v>overtime_cost_eur</x:v>
      </x:c>
      <x:c r="R1" s="63" t="str">
        <x:v>total_estimated_cost_eur</x:v>
      </x:c>
      <x:c r="S1" s="63" t="str">
        <x:v>cost_per_garment_eur</x:v>
      </x:c>
      <x:c r="T1" s="63" t="str">
        <x:v>client_price_per_garment_eur</x:v>
      </x:c>
      <x:c r="U1" s="63" t="str">
        <x:v>order_revenue_eur</x:v>
      </x:c>
      <x:c r="V1" s="63" t="str">
        <x:v>estimated_margin_eur</x:v>
      </x:c>
      <x:c r="W1" s="63" t="str">
        <x:v>estimated_margin_pct</x:v>
      </x:c>
      <x:c r="X1" s="63" t="str">
        <x:v>cost_status</x:v>
      </x:c>
      <x:c r="Y1" s="63" t="str">
        <x:v>alternative_lab</x:v>
      </x:c>
      <x:c r="Z1" s="63" t="str">
        <x:v>alternative_hourly_cost_eur</x:v>
      </x:c>
      <x:c r="AA1" s="63" t="str">
        <x:v>alternative_estimated_cost_eur</x:v>
      </x:c>
      <x:c r="AB1" s="63" t="str">
        <x:v>cost_delta_if_reallocated_eur</x:v>
      </x:c>
      <x:c r="AC1" s="63" t="str">
        <x:v>economic_recommendation</x:v>
      </x:c>
      <x:c r="AD1" s="64" t="str">
        <x:v>notes</x:v>
      </x:c>
      <x:c r="AF1" s="87" t="str">
        <x:v>Economic Layer Summary</x:v>
      </x:c>
      <x:c r="AG1" s="88" t="str"/>
    </x:row>
    <x:row r="2">
      <x:c r="A2" s="65" t="str">
        <x:f>orders!A2</x:f>
        <x:v>ORD-1010</x:v>
      </x:c>
      <x:c r="B2" s="66" t="str">
        <x:f>orders!B2</x:f>
        <x:v>Sartoria Napoli</x:v>
      </x:c>
      <x:c r="C2" s="66" t="str">
        <x:f>orders!C2</x:f>
        <x:v>STY-001-2</x:v>
      </x:c>
      <x:c r="D2" s="66" t="str">
        <x:f>orders!D2</x:f>
        <x:v>Cappotto</x:v>
      </x:c>
      <x:c r="E2" s="66" t="str">
        <x:f>orders!J2</x:f>
        <x:v>L7</x:v>
      </x:c>
      <x:c r="F2" s="66" t="str">
        <x:f>orders!K2</x:f>
        <x:v>LN-030</x:v>
      </x:c>
      <x:c r="G2" s="67" t="n">
        <x:f>orders!E2</x:f>
        <x:v>90</x:v>
      </x:c>
      <x:c r="H2" s="67" t="n">
        <x:f>orders!O2</x:f>
        <x:v>79</x:v>
      </x:c>
      <x:c r="I2" s="68" t="n">
        <x:f>orders!P2/60</x:f>
        <x:v>118.5</x:v>
      </x:c>
      <x:c r="J2" s="69" t="n">
        <x:v>17.8</x:v>
      </x:c>
      <x:c r="K2" s="69" t="n">
        <x:f>I2*J2</x:f>
        <x:v>2109.3</x:v>
      </x:c>
      <x:c r="L2" s="69" t="n">
        <x:v>180</x:v>
      </x:c>
      <x:c r="M2" s="70" t="n">
        <x:v>0.15</x:v>
      </x:c>
      <x:c r="N2" s="69" t="n">
        <x:f>(K2+L2)*M2</x:f>
        <x:v>343.39500000000004</x:v>
      </x:c>
      <x:c r="O2" s="71" t="n">
        <x:v>1.25</x:v>
      </x:c>
      <x:c r="P2" s="68" t="n">
        <x:f>MAX(0,(orders!Q2-orders!R2)*8)</x:f>
        <x:v>0</x:v>
      </x:c>
      <x:c r="Q2" s="69" t="n">
        <x:f>P2*(J2*O2)</x:f>
        <x:v>0</x:v>
      </x:c>
      <x:c r="R2" s="69" t="n">
        <x:f>K2+L2+N2+Q2</x:f>
        <x:v>2632.695</x:v>
      </x:c>
      <x:c r="S2" s="69" t="n">
        <x:f>R2/G2</x:f>
        <x:v>29.252166666666668</x:v>
      </x:c>
      <x:c r="T2" s="69" t="n">
        <x:v>72</x:v>
      </x:c>
      <x:c r="U2" s="69" t="n">
        <x:f>G2*T2</x:f>
        <x:v>6480</x:v>
      </x:c>
      <x:c r="V2" s="69" t="n">
        <x:f>U2-R2</x:f>
        <x:v>3847.305</x:v>
      </x:c>
      <x:c r="W2" s="70" t="n">
        <x:f>IF(U2=0,0,V2/U2)</x:f>
        <x:v>0.5937199074074074</x:v>
      </x:c>
      <x:c r="X2" s="66" t="str">
        <x:f>IF(W2&lt;0,"UNPROFITABLE",IF(W2&lt;0.15,"MARGIN WATCH","HEALTHY"))</x:f>
        <x:v>HEALTHY</x:v>
      </x:c>
      <x:c r="Y2" s="66" t="str">
        <x:v>L2</x:v>
      </x:c>
      <x:c r="Z2" s="69" t="n">
        <x:v>20.5</x:v>
      </x:c>
      <x:c r="AA2" s="69" t="n">
        <x:f>I2*Z2+L2+((I2*Z2+L2)*M2)</x:f>
        <x:v>3000.6375</x:v>
      </x:c>
      <x:c r="AB2" s="69" t="n">
        <x:f>AA2-R2</x:f>
        <x:v>367.94249999999965</x:v>
      </x:c>
      <x:c r="AC2" s="66" t="str">
        <x:f>IF(W2&lt;0,"RENEGOTIATE / REJECT",IF(AB2&lt;-500,"CONSIDER REALLOCATION",IF(W2&lt;0.15,"MARGIN WATCH","ACCEPT")))</x:f>
        <x:v>ACCEPT</x:v>
      </x:c>
      <x:c r="AD2" s="72" t="str">
        <x:f>IF(Q2&gt;0,"Includes overtime premium",IF(AB2&lt;-500,"Alternative lab materially cheaper","Standard costing"))</x:f>
        <x:v>Standard costing</x:v>
      </x:c>
      <x:c r="AF2" s="89" t="str">
        <x:v>Total estimated cost</x:v>
      </x:c>
      <x:c r="AG2" s="90" t="n">
        <x:f>SUM(R2:R61)</x:f>
        <x:v>384537.3116666665</x:v>
      </x:c>
    </x:row>
    <x:row r="3">
      <x:c r="A3" s="65" t="str">
        <x:f>orders!A3</x:f>
        <x:v>ORD-1011</x:v>
      </x:c>
      <x:c r="B3" s="66" t="str">
        <x:f>orders!B3</x:f>
        <x:v>Atelier Bologna</x:v>
      </x:c>
      <x:c r="C3" s="66" t="str">
        <x:f>orders!C3</x:f>
        <x:v>STY-002-1</x:v>
      </x:c>
      <x:c r="D3" s="66" t="str">
        <x:f>orders!D3</x:f>
        <x:v>Gonna</x:v>
      </x:c>
      <x:c r="E3" s="66" t="str">
        <x:f>orders!J3</x:f>
        <x:v>L7</x:v>
      </x:c>
      <x:c r="F3" s="66" t="str">
        <x:f>orders!K3</x:f>
        <x:v>LN-030</x:v>
      </x:c>
      <x:c r="G3" s="67" t="n">
        <x:f>orders!E3</x:f>
        <x:v>220</x:v>
      </x:c>
      <x:c r="H3" s="67" t="n">
        <x:f>orders!O3</x:f>
        <x:v>18</x:v>
      </x:c>
      <x:c r="I3" s="68" t="n">
        <x:f>orders!P3/60</x:f>
        <x:v>66</x:v>
      </x:c>
      <x:c r="J3" s="69" t="n">
        <x:v>17.8</x:v>
      </x:c>
      <x:c r="K3" s="69" t="n">
        <x:f>I3*J3</x:f>
        <x:v>1174.8</x:v>
      </x:c>
      <x:c r="L3" s="69" t="n">
        <x:v>60</x:v>
      </x:c>
      <x:c r="M3" s="70" t="n">
        <x:v>0.12</x:v>
      </x:c>
      <x:c r="N3" s="69" t="n">
        <x:f>(K3+L3)*M3</x:f>
        <x:v>148.176</x:v>
      </x:c>
      <x:c r="O3" s="71" t="n">
        <x:v>1.25</x:v>
      </x:c>
      <x:c r="P3" s="68" t="n">
        <x:f>MAX(0,(orders!Q3-orders!R3)*8)</x:f>
        <x:v>0</x:v>
      </x:c>
      <x:c r="Q3" s="69" t="n">
        <x:f>P3*(J3*O3)</x:f>
        <x:v>0</x:v>
      </x:c>
      <x:c r="R3" s="69" t="n">
        <x:f>K3+L3+N3+Q3</x:f>
        <x:v>1382.9759999999999</x:v>
      </x:c>
      <x:c r="S3" s="69" t="n">
        <x:f>R3/G3</x:f>
        <x:v>6.286254545454545</x:v>
      </x:c>
      <x:c r="T3" s="69" t="n">
        <x:v>19</x:v>
      </x:c>
      <x:c r="U3" s="69" t="n">
        <x:f>G3*T3</x:f>
        <x:v>4180</x:v>
      </x:c>
      <x:c r="V3" s="69" t="n">
        <x:f>U3-R3</x:f>
        <x:v>2797.0240000000003</x:v>
      </x:c>
      <x:c r="W3" s="70" t="n">
        <x:f>IF(U3=0,0,V3/U3)</x:f>
        <x:v>0.6691444976076556</x:v>
      </x:c>
      <x:c r="X3" s="66" t="str">
        <x:f>IF(W3&lt;0,"UNPROFITABLE",IF(W3&lt;0.15,"MARGIN WATCH","HEALTHY"))</x:f>
        <x:v>HEALTHY</x:v>
      </x:c>
      <x:c r="Y3" s="66" t="str">
        <x:v>L7</x:v>
      </x:c>
      <x:c r="Z3" s="69" t="n">
        <x:v>17.8</x:v>
      </x:c>
      <x:c r="AA3" s="69" t="n">
        <x:f>I3*Z3+L3+((I3*Z3+L3)*M3)</x:f>
        <x:v>1382.9759999999999</x:v>
      </x:c>
      <x:c r="AB3" s="69" t="n">
        <x:f>AA3-R3</x:f>
        <x:v>0</x:v>
      </x:c>
      <x:c r="AC3" s="66" t="str">
        <x:f>IF(W3&lt;0,"RENEGOTIATE / REJECT",IF(AB3&lt;-500,"CONSIDER REALLOCATION",IF(W3&lt;0.15,"MARGIN WATCH","ACCEPT")))</x:f>
        <x:v>ACCEPT</x:v>
      </x:c>
      <x:c r="AD3" s="72" t="str">
        <x:f>IF(Q3&gt;0,"Includes overtime premium",IF(AB3&lt;-500,"Alternative lab materially cheaper","Standard costing"))</x:f>
        <x:v>Standard costing</x:v>
      </x:c>
      <x:c r="AF3" s="89" t="str">
        <x:v>Total order revenue</x:v>
      </x:c>
      <x:c r="AG3" s="90" t="n">
        <x:f>SUM(U2:U61)</x:f>
        <x:v>966730</x:v>
      </x:c>
    </x:row>
    <x:row r="4">
      <x:c r="A4" s="65" t="str">
        <x:f>orders!A4</x:f>
        <x:v>ORD-1012</x:v>
      </x:c>
      <x:c r="B4" s="66" t="str">
        <x:f>orders!B4</x:f>
        <x:v>Boutique Genova</x:v>
      </x:c>
      <x:c r="C4" s="66" t="str">
        <x:f>orders!C4</x:f>
        <x:v>STY-003-2</x:v>
      </x:c>
      <x:c r="D4" s="66" t="str">
        <x:f>orders!D4</x:f>
        <x:v>Camicia</x:v>
      </x:c>
      <x:c r="E4" s="66" t="str">
        <x:f>orders!J4</x:f>
        <x:v>L9</x:v>
      </x:c>
      <x:c r="F4" s="66" t="str">
        <x:f>orders!K4</x:f>
        <x:v>LN-039</x:v>
      </x:c>
      <x:c r="G4" s="67" t="n">
        <x:f>orders!E4</x:f>
        <x:v>1000</x:v>
      </x:c>
      <x:c r="H4" s="67" t="n">
        <x:f>orders!O4</x:f>
        <x:v>35</x:v>
      </x:c>
      <x:c r="I4" s="68" t="n">
        <x:f>orders!P4/60</x:f>
        <x:v>583.3333333333334</x:v>
      </x:c>
      <x:c r="J4" s="69" t="n">
        <x:v>18</x:v>
      </x:c>
      <x:c r="K4" s="69" t="n">
        <x:f>I4*J4</x:f>
        <x:v>10500</x:v>
      </x:c>
      <x:c r="L4" s="69" t="n">
        <x:v>70</x:v>
      </x:c>
      <x:c r="M4" s="70" t="n">
        <x:v>0.13</x:v>
      </x:c>
      <x:c r="N4" s="69" t="n">
        <x:f>(K4+L4)*M4</x:f>
        <x:v>1374.1000000000001</x:v>
      </x:c>
      <x:c r="O4" s="71" t="n">
        <x:v>1.25</x:v>
      </x:c>
      <x:c r="P4" s="68" t="n">
        <x:f>MAX(0,(orders!Q4-orders!R4)*8)</x:f>
        <x:v>0</x:v>
      </x:c>
      <x:c r="Q4" s="69" t="n">
        <x:f>P4*(J4*O4)</x:f>
        <x:v>0</x:v>
      </x:c>
      <x:c r="R4" s="69" t="n">
        <x:f>K4+L4+N4+Q4</x:f>
        <x:v>11944.1</x:v>
      </x:c>
      <x:c r="S4" s="69" t="n">
        <x:f>R4/G4</x:f>
        <x:v>11.9441</x:v>
      </x:c>
      <x:c r="T4" s="69" t="n">
        <x:v>30</x:v>
      </x:c>
      <x:c r="U4" s="69" t="n">
        <x:f>G4*T4</x:f>
        <x:v>30000</x:v>
      </x:c>
      <x:c r="V4" s="69" t="n">
        <x:f>U4-R4</x:f>
        <x:v>18055.9</x:v>
      </x:c>
      <x:c r="W4" s="70" t="n">
        <x:f>IF(U4=0,0,V4/U4)</x:f>
        <x:v>0.6018633333333334</x:v>
      </x:c>
      <x:c r="X4" s="66" t="str">
        <x:f>IF(W4&lt;0,"UNPROFITABLE",IF(W4&lt;0.15,"MARGIN WATCH","HEALTHY"))</x:f>
        <x:v>HEALTHY</x:v>
      </x:c>
      <x:c r="Y4" s="66" t="str">
        <x:v>L9</x:v>
      </x:c>
      <x:c r="Z4" s="69" t="n">
        <x:v>18</x:v>
      </x:c>
      <x:c r="AA4" s="69" t="n">
        <x:f>I4*Z4+L4+((I4*Z4+L4)*M4)</x:f>
        <x:v>11944.1</x:v>
      </x:c>
      <x:c r="AB4" s="69" t="n">
        <x:f>AA4-R4</x:f>
        <x:v>0</x:v>
      </x:c>
      <x:c r="AC4" s="66" t="str">
        <x:f>IF(W4&lt;0,"RENEGOTIATE / REJECT",IF(AB4&lt;-500,"CONSIDER REALLOCATION",IF(W4&lt;0.15,"MARGIN WATCH","ACCEPT")))</x:f>
        <x:v>ACCEPT</x:v>
      </x:c>
      <x:c r="AD4" s="72" t="str">
        <x:f>IF(Q4&gt;0,"Includes overtime premium",IF(AB4&lt;-500,"Alternative lab materially cheaper","Standard costing"))</x:f>
        <x:v>Standard costing</x:v>
      </x:c>
      <x:c r="AF4" s="89" t="str">
        <x:v>Estimated gross margin</x:v>
      </x:c>
      <x:c r="AG4" s="90" t="n">
        <x:f>SUM(V2:V61)</x:f>
        <x:v>582192.6883333336</x:v>
      </x:c>
    </x:row>
    <x:row r="5">
      <x:c r="A5" s="65" t="str">
        <x:f>orders!A5</x:f>
        <x:v>ORD-1013</x:v>
      </x:c>
      <x:c r="B5" s="66" t="str">
        <x:f>orders!B5</x:f>
        <x:v>Moda Verona</x:v>
      </x:c>
      <x:c r="C5" s="66" t="str">
        <x:f>orders!C5</x:f>
        <x:v>STY-004-2</x:v>
      </x:c>
      <x:c r="D5" s="66" t="str">
        <x:f>orders!D5</x:f>
        <x:v>Abito</x:v>
      </x:c>
      <x:c r="E5" s="66" t="str">
        <x:f>orders!J5</x:f>
        <x:v>L7</x:v>
      </x:c>
      <x:c r="F5" s="66" t="str">
        <x:f>orders!K5</x:f>
        <x:v>LN-030</x:v>
      </x:c>
      <x:c r="G5" s="67" t="n">
        <x:f>orders!E5</x:f>
        <x:v>600</x:v>
      </x:c>
      <x:c r="H5" s="67" t="n">
        <x:f>orders!O5</x:f>
        <x:v>44</x:v>
      </x:c>
      <x:c r="I5" s="68" t="n">
        <x:f>orders!P5/60</x:f>
        <x:v>440</x:v>
      </x:c>
      <x:c r="J5" s="69" t="n">
        <x:v>17.8</x:v>
      </x:c>
      <x:c r="K5" s="69" t="n">
        <x:f>I5*J5</x:f>
        <x:v>7832</x:v>
      </x:c>
      <x:c r="L5" s="69" t="n">
        <x:v>120</x:v>
      </x:c>
      <x:c r="M5" s="70" t="n">
        <x:v>0.15</x:v>
      </x:c>
      <x:c r="N5" s="69" t="n">
        <x:f>(K5+L5)*M5</x:f>
        <x:v>1192.8</x:v>
      </x:c>
      <x:c r="O5" s="71" t="n">
        <x:v>1.25</x:v>
      </x:c>
      <x:c r="P5" s="68" t="n">
        <x:f>MAX(0,(orders!Q5-orders!R5)*8)</x:f>
        <x:v>0</x:v>
      </x:c>
      <x:c r="Q5" s="69" t="n">
        <x:f>P5*(J5*O5)</x:f>
        <x:v>0</x:v>
      </x:c>
      <x:c r="R5" s="69" t="n">
        <x:f>K5+L5+N5+Q5</x:f>
        <x:v>9144.8</x:v>
      </x:c>
      <x:c r="S5" s="69" t="n">
        <x:f>R5/G5</x:f>
        <x:v>15.241333333333332</x:v>
      </x:c>
      <x:c r="T5" s="69" t="n">
        <x:v>52</x:v>
      </x:c>
      <x:c r="U5" s="69" t="n">
        <x:f>G5*T5</x:f>
        <x:v>31200</x:v>
      </x:c>
      <x:c r="V5" s="69" t="n">
        <x:f>U5-R5</x:f>
        <x:v>22055.2</x:v>
      </x:c>
      <x:c r="W5" s="70" t="n">
        <x:f>IF(U5=0,0,V5/U5)</x:f>
        <x:v>0.7068974358974359</x:v>
      </x:c>
      <x:c r="X5" s="66" t="str">
        <x:f>IF(W5&lt;0,"UNPROFITABLE",IF(W5&lt;0.15,"MARGIN WATCH","HEALTHY"))</x:f>
        <x:v>HEALTHY</x:v>
      </x:c>
      <x:c r="Y5" s="66" t="str">
        <x:v>L3</x:v>
      </x:c>
      <x:c r="Z5" s="69" t="n">
        <x:v>19</x:v>
      </x:c>
      <x:c r="AA5" s="69" t="n">
        <x:f>I5*Z5+L5+((I5*Z5+L5)*M5)</x:f>
        <x:v>9752</x:v>
      </x:c>
      <x:c r="AB5" s="69" t="n">
        <x:f>AA5-R5</x:f>
        <x:v>607.2000000000007</x:v>
      </x:c>
      <x:c r="AC5" s="66" t="str">
        <x:f>IF(W5&lt;0,"RENEGOTIATE / REJECT",IF(AB5&lt;-500,"CONSIDER REALLOCATION",IF(W5&lt;0.15,"MARGIN WATCH","ACCEPT")))</x:f>
        <x:v>ACCEPT</x:v>
      </x:c>
      <x:c r="AD5" s="72" t="str">
        <x:f>IF(Q5&gt;0,"Includes overtime premium",IF(AB5&lt;-500,"Alternative lab materially cheaper","Standard costing"))</x:f>
        <x:v>Standard costing</x:v>
      </x:c>
      <x:c r="AF5" s="89" t="str">
        <x:v>Average margin %</x:v>
      </x:c>
      <x:c r="AG5" s="91" t="n">
        <x:f>IF(SUM(U2:U61)=0,0,SUM(V2:V61)/SUM(U2:U61))</x:f>
        <x:v>0.6022288419034617</x:v>
      </x:c>
    </x:row>
    <x:row r="6">
      <x:c r="A6" s="65" t="str">
        <x:f>orders!A6</x:f>
        <x:v>ORD-1014</x:v>
      </x:c>
      <x:c r="B6" s="66" t="str">
        <x:f>orders!B6</x:f>
        <x:v>Casa Palermo</x:v>
      </x:c>
      <x:c r="C6" s="66" t="str">
        <x:f>orders!C6</x:f>
        <x:v>STY-005-1</x:v>
      </x:c>
      <x:c r="D6" s="66" t="str">
        <x:f>orders!D6</x:f>
        <x:v>Jeans</x:v>
      </x:c>
      <x:c r="E6" s="66" t="str">
        <x:f>orders!J6</x:f>
        <x:v>L10</x:v>
      </x:c>
      <x:c r="F6" s="66" t="str">
        <x:f>orders!K6</x:f>
        <x:v>LN-044</x:v>
      </x:c>
      <x:c r="G6" s="67" t="n">
        <x:f>orders!E6</x:f>
        <x:v>1300</x:v>
      </x:c>
      <x:c r="H6" s="67" t="n">
        <x:f>orders!O6</x:f>
        <x:v>35</x:v>
      </x:c>
      <x:c r="I6" s="68" t="n">
        <x:f>orders!P6/60</x:f>
        <x:v>758.3333333333334</x:v>
      </x:c>
      <x:c r="J6" s="69" t="n">
        <x:v>21</x:v>
      </x:c>
      <x:c r="K6" s="69" t="n">
        <x:f>I6*J6</x:f>
        <x:v>15925</x:v>
      </x:c>
      <x:c r="L6" s="69" t="n">
        <x:v>90</x:v>
      </x:c>
      <x:c r="M6" s="70" t="n">
        <x:v>0.14</x:v>
      </x:c>
      <x:c r="N6" s="69" t="n">
        <x:f>(K6+L6)*M6</x:f>
        <x:v>2242.1000000000004</x:v>
      </x:c>
      <x:c r="O6" s="71" t="n">
        <x:v>1.35</x:v>
      </x:c>
      <x:c r="P6" s="68" t="n">
        <x:f>MAX(0,(orders!Q6-orders!R6)*8)</x:f>
        <x:v>0</x:v>
      </x:c>
      <x:c r="Q6" s="69" t="n">
        <x:f>P6*(J6*O6)</x:f>
        <x:v>0</x:v>
      </x:c>
      <x:c r="R6" s="69" t="n">
        <x:f>K6+L6+N6+Q6</x:f>
        <x:v>18257.1</x:v>
      </x:c>
      <x:c r="S6" s="69" t="n">
        <x:f>R6/G6</x:f>
        <x:v>14.043923076923075</x:v>
      </x:c>
      <x:c r="T6" s="69" t="n">
        <x:v>36</x:v>
      </x:c>
      <x:c r="U6" s="69" t="n">
        <x:f>G6*T6</x:f>
        <x:v>46800</x:v>
      </x:c>
      <x:c r="V6" s="69" t="n">
        <x:f>U6-R6</x:f>
        <x:v>28542.9</x:v>
      </x:c>
      <x:c r="W6" s="70" t="n">
        <x:f>IF(U6=0,0,V6/U6)</x:f>
        <x:v>0.6098910256410257</x:v>
      </x:c>
      <x:c r="X6" s="66" t="str">
        <x:f>IF(W6&lt;0,"UNPROFITABLE",IF(W6&lt;0.15,"MARGIN WATCH","HEALTHY"))</x:f>
        <x:v>HEALTHY</x:v>
      </x:c>
      <x:c r="Y6" s="66" t="str">
        <x:v>L5</x:v>
      </x:c>
      <x:c r="Z6" s="69" t="n">
        <x:v>18.5</x:v>
      </x:c>
      <x:c r="AA6" s="69" t="n">
        <x:f>I6*Z6+L6+((I6*Z6+L6)*M6)</x:f>
        <x:v>16095.850000000002</x:v>
      </x:c>
      <x:c r="AB6" s="69" t="n">
        <x:f>AA6-R6</x:f>
        <x:v>-2161.2499999999964</x:v>
      </x:c>
      <x:c r="AC6" s="66" t="str">
        <x:f>IF(W6&lt;0,"RENEGOTIATE / REJECT",IF(AB6&lt;-500,"CONSIDER REALLOCATION",IF(W6&lt;0.15,"MARGIN WATCH","ACCEPT")))</x:f>
        <x:v>CONSIDER REALLOCATION</x:v>
      </x:c>
      <x:c r="AD6" s="72" t="str">
        <x:f>IF(Q6&gt;0,"Includes overtime premium",IF(AB6&lt;-500,"Alternative lab materially cheaper","Standard costing"))</x:f>
        <x:v>Alternative lab materially cheaper</x:v>
      </x:c>
      <x:c r="AF6" s="89" t="str">
        <x:v>Average cost / garment</x:v>
      </x:c>
      <x:c r="AG6" s="92" t="n">
        <x:f>SUM(R2:R61)/SUM(G2:G61)</x:f>
        <x:v>11.76674760301917</x:v>
      </x:c>
    </x:row>
    <x:row r="7">
      <x:c r="A7" s="65" t="str">
        <x:f>orders!A7</x:f>
        <x:v>ORD-1106</x:v>
      </x:c>
      <x:c r="B7" s="66" t="str">
        <x:f>orders!B7</x:f>
        <x:v>Sartoria Napoli</x:v>
      </x:c>
      <x:c r="C7" s="66" t="str">
        <x:f>orders!C7</x:f>
        <x:v>STY-012-2</x:v>
      </x:c>
      <x:c r="D7" s="66" t="str">
        <x:f>orders!D7</x:f>
        <x:v>Body</x:v>
      </x:c>
      <x:c r="E7" s="66" t="str">
        <x:f>orders!J7</x:f>
        <x:v>L6</x:v>
      </x:c>
      <x:c r="F7" s="66" t="str">
        <x:f>orders!K7</x:f>
        <x:v>LN-026</x:v>
      </x:c>
      <x:c r="G7" s="67" t="n">
        <x:f>orders!E7</x:f>
        <x:v>140</x:v>
      </x:c>
      <x:c r="H7" s="67" t="n">
        <x:f>orders!O7</x:f>
        <x:v>25</x:v>
      </x:c>
      <x:c r="I7" s="68" t="n">
        <x:f>orders!P7/60</x:f>
        <x:v>58.333333333333336</x:v>
      </x:c>
      <x:c r="J7" s="69" t="n">
        <x:v>23</x:v>
      </x:c>
      <x:c r="K7" s="69" t="n">
        <x:f>I7*J7</x:f>
        <x:v>1341.6666666666667</x:v>
      </x:c>
      <x:c r="L7" s="69" t="n">
        <x:v>55</x:v>
      </x:c>
      <x:c r="M7" s="70" t="n">
        <x:v>0.11</x:v>
      </x:c>
      <x:c r="N7" s="69" t="n">
        <x:f>(K7+L7)*M7</x:f>
        <x:v>153.63333333333335</x:v>
      </x:c>
      <x:c r="O7" s="71" t="n">
        <x:v>1.4</x:v>
      </x:c>
      <x:c r="P7" s="68" t="n">
        <x:f>MAX(0,(orders!Q7-orders!R7)*8)</x:f>
        <x:v>0</x:v>
      </x:c>
      <x:c r="Q7" s="69" t="n">
        <x:f>P7*(J7*O7)</x:f>
        <x:v>0</x:v>
      </x:c>
      <x:c r="R7" s="69" t="n">
        <x:f>K7+L7+N7+Q7</x:f>
        <x:v>1550.3000000000002</x:v>
      </x:c>
      <x:c r="S7" s="69" t="n">
        <x:f>R7/G7</x:f>
        <x:v>11.07357142857143</x:v>
      </x:c>
      <x:c r="T7" s="69" t="n">
        <x:v>18</x:v>
      </x:c>
      <x:c r="U7" s="69" t="n">
        <x:f>G7*T7</x:f>
        <x:v>2520</x:v>
      </x:c>
      <x:c r="V7" s="69" t="n">
        <x:f>U7-R7</x:f>
        <x:v>969.6999999999998</x:v>
      </x:c>
      <x:c r="W7" s="70" t="n">
        <x:f>IF(U7=0,0,V7/U7)</x:f>
        <x:v>0.38480158730158726</x:v>
      </x:c>
      <x:c r="X7" s="66" t="str">
        <x:f>IF(W7&lt;0,"UNPROFITABLE",IF(W7&lt;0.15,"MARGIN WATCH","HEALTHY"))</x:f>
        <x:v>HEALTHY</x:v>
      </x:c>
      <x:c r="Y7" s="66" t="str">
        <x:v>L3</x:v>
      </x:c>
      <x:c r="Z7" s="69" t="n">
        <x:v>19</x:v>
      </x:c>
      <x:c r="AA7" s="69" t="n">
        <x:f>I7*Z7+L7+((I7*Z7+L7)*M7)</x:f>
        <x:v>1291.3000000000002</x:v>
      </x:c>
      <x:c r="AB7" s="69" t="n">
        <x:f>AA7-R7</x:f>
        <x:v>-259</x:v>
      </x:c>
      <x:c r="AC7" s="66" t="str">
        <x:f>IF(W7&lt;0,"RENEGOTIATE / REJECT",IF(AB7&lt;-500,"CONSIDER REALLOCATION",IF(W7&lt;0.15,"MARGIN WATCH","ACCEPT")))</x:f>
        <x:v>ACCEPT</x:v>
      </x:c>
      <x:c r="AD7" s="72" t="str">
        <x:f>IF(Q7&gt;0,"Includes overtime premium",IF(AB7&lt;-500,"Alternative lab materially cheaper","Standard costing"))</x:f>
        <x:v>Standard costing</x:v>
      </x:c>
      <x:c r="AF7" s="89" t="str">
        <x:v>Orders margin watch</x:v>
      </x:c>
      <x:c r="AG7" s="93" t="n">
        <x:f>COUNTIF(X2:X61,"MARGIN WATCH")</x:f>
        <x:v>0</x:v>
      </x:c>
    </x:row>
    <x:row r="8">
      <x:c r="A8" s="65" t="str">
        <x:f>orders!A8</x:f>
        <x:v>ORD-1107</x:v>
      </x:c>
      <x:c r="B8" s="66" t="str">
        <x:f>orders!B8</x:f>
        <x:v>Atelier Bologna</x:v>
      </x:c>
      <x:c r="C8" s="66" t="str">
        <x:f>orders!C8</x:f>
        <x:v>STY-005-1</x:v>
      </x:c>
      <x:c r="D8" s="66" t="str">
        <x:f>orders!D8</x:f>
        <x:v>Jeans</x:v>
      </x:c>
      <x:c r="E8" s="66" t="str">
        <x:f>orders!J8</x:f>
        <x:v>L9</x:v>
      </x:c>
      <x:c r="F8" s="66" t="str">
        <x:f>orders!K8</x:f>
        <x:v>LN-039</x:v>
      </x:c>
      <x:c r="G8" s="67" t="n">
        <x:f>orders!E8</x:f>
        <x:v>700</x:v>
      </x:c>
      <x:c r="H8" s="67" t="n">
        <x:f>orders!O8</x:f>
        <x:v>35</x:v>
      </x:c>
      <x:c r="I8" s="68" t="n">
        <x:f>orders!P8/60</x:f>
        <x:v>408.3333333333333</x:v>
      </x:c>
      <x:c r="J8" s="69" t="n">
        <x:v>18</x:v>
      </x:c>
      <x:c r="K8" s="69" t="n">
        <x:f>I8*J8</x:f>
        <x:v>7350</x:v>
      </x:c>
      <x:c r="L8" s="69" t="n">
        <x:v>90</x:v>
      </x:c>
      <x:c r="M8" s="70" t="n">
        <x:v>0.14</x:v>
      </x:c>
      <x:c r="N8" s="69" t="n">
        <x:f>(K8+L8)*M8</x:f>
        <x:v>1041.6000000000001</x:v>
      </x:c>
      <x:c r="O8" s="71" t="n">
        <x:v>1.25</x:v>
      </x:c>
      <x:c r="P8" s="68" t="n">
        <x:f>MAX(0,(orders!Q8-orders!R8)*8)</x:f>
        <x:v>0</x:v>
      </x:c>
      <x:c r="Q8" s="69" t="n">
        <x:f>P8*(J8*O8)</x:f>
        <x:v>0</x:v>
      </x:c>
      <x:c r="R8" s="69" t="n">
        <x:f>K8+L8+N8+Q8</x:f>
        <x:v>8481.6</x:v>
      </x:c>
      <x:c r="S8" s="69" t="n">
        <x:f>R8/G8</x:f>
        <x:v>12.11657142857143</x:v>
      </x:c>
      <x:c r="T8" s="69" t="n">
        <x:v>36</x:v>
      </x:c>
      <x:c r="U8" s="69" t="n">
        <x:f>G8*T8</x:f>
        <x:v>25200</x:v>
      </x:c>
      <x:c r="V8" s="69" t="n">
        <x:f>U8-R8</x:f>
        <x:v>16718.4</x:v>
      </x:c>
      <x:c r="W8" s="70" t="n">
        <x:f>IF(U8=0,0,V8/U8)</x:f>
        <x:v>0.6634285714285715</x:v>
      </x:c>
      <x:c r="X8" s="66" t="str">
        <x:f>IF(W8&lt;0,"UNPROFITABLE",IF(W8&lt;0.15,"MARGIN WATCH","HEALTHY"))</x:f>
        <x:v>HEALTHY</x:v>
      </x:c>
      <x:c r="Y8" s="66" t="str">
        <x:v>L5</x:v>
      </x:c>
      <x:c r="Z8" s="69" t="n">
        <x:v>18.5</x:v>
      </x:c>
      <x:c r="AA8" s="69" t="n">
        <x:f>I8*Z8+L8+((I8*Z8+L8)*M8)</x:f>
        <x:v>8714.349999999999</x:v>
      </x:c>
      <x:c r="AB8" s="69" t="n">
        <x:f>AA8-R8</x:f>
        <x:v>232.74999999999818</x:v>
      </x:c>
      <x:c r="AC8" s="66" t="str">
        <x:f>IF(W8&lt;0,"RENEGOTIATE / REJECT",IF(AB8&lt;-500,"CONSIDER REALLOCATION",IF(W8&lt;0.15,"MARGIN WATCH","ACCEPT")))</x:f>
        <x:v>ACCEPT</x:v>
      </x:c>
      <x:c r="AD8" s="72" t="str">
        <x:f>IF(Q8&gt;0,"Includes overtime premium",IF(AB8&lt;-500,"Alternative lab materially cheaper","Standard costing"))</x:f>
        <x:v>Standard costing</x:v>
      </x:c>
      <x:c r="AF8" s="89" t="str">
        <x:v>Orders unprofitable</x:v>
      </x:c>
      <x:c r="AG8" s="93" t="n">
        <x:f>COUNTIF(X2:X61,"UNPROFITABLE")</x:f>
        <x:v>0</x:v>
      </x:c>
    </x:row>
    <x:row r="9">
      <x:c r="A9" s="65" t="str">
        <x:f>orders!A9</x:f>
        <x:v>ORD-1108</x:v>
      </x:c>
      <x:c r="B9" s="66" t="str">
        <x:f>orders!B9</x:f>
        <x:v>Boutique Genova</x:v>
      </x:c>
      <x:c r="C9" s="66" t="str">
        <x:f>orders!C9</x:f>
        <x:v>STY-005-2</x:v>
      </x:c>
      <x:c r="D9" s="66" t="str">
        <x:f>orders!D9</x:f>
        <x:v>Jeans</x:v>
      </x:c>
      <x:c r="E9" s="66" t="str">
        <x:f>orders!J9</x:f>
        <x:v>L10</x:v>
      </x:c>
      <x:c r="F9" s="66" t="str">
        <x:f>orders!K9</x:f>
        <x:v>LN-044</x:v>
      </x:c>
      <x:c r="G9" s="67" t="n">
        <x:f>orders!E9</x:f>
        <x:v>1150</x:v>
      </x:c>
      <x:c r="H9" s="67" t="n">
        <x:f>orders!O9</x:f>
        <x:v>35</x:v>
      </x:c>
      <x:c r="I9" s="68" t="n">
        <x:f>orders!P9/60</x:f>
        <x:v>670.8333333333334</x:v>
      </x:c>
      <x:c r="J9" s="69" t="n">
        <x:v>21</x:v>
      </x:c>
      <x:c r="K9" s="69" t="n">
        <x:f>I9*J9</x:f>
        <x:v>14087.5</x:v>
      </x:c>
      <x:c r="L9" s="69" t="n">
        <x:v>90</x:v>
      </x:c>
      <x:c r="M9" s="70" t="n">
        <x:v>0.14</x:v>
      </x:c>
      <x:c r="N9" s="69" t="n">
        <x:f>(K9+L9)*M9</x:f>
        <x:v>1984.8500000000001</x:v>
      </x:c>
      <x:c r="O9" s="71" t="n">
        <x:v>1.35</x:v>
      </x:c>
      <x:c r="P9" s="68" t="n">
        <x:f>MAX(0,(orders!Q9-orders!R9)*8)</x:f>
        <x:v>0</x:v>
      </x:c>
      <x:c r="Q9" s="69" t="n">
        <x:f>P9*(J9*O9)</x:f>
        <x:v>0</x:v>
      </x:c>
      <x:c r="R9" s="69" t="n">
        <x:f>K9+L9+N9+Q9</x:f>
        <x:v>16162.35</x:v>
      </x:c>
      <x:c r="S9" s="69" t="n">
        <x:f>R9/G9</x:f>
        <x:v>14.054217391304348</x:v>
      </x:c>
      <x:c r="T9" s="69" t="n">
        <x:v>36</x:v>
      </x:c>
      <x:c r="U9" s="69" t="n">
        <x:f>G9*T9</x:f>
        <x:v>41400</x:v>
      </x:c>
      <x:c r="V9" s="69" t="n">
        <x:f>U9-R9</x:f>
        <x:v>25237.65</x:v>
      </x:c>
      <x:c r="W9" s="70" t="n">
        <x:f>IF(U9=0,0,V9/U9)</x:f>
        <x:v>0.6096050724637682</x:v>
      </x:c>
      <x:c r="X9" s="66" t="str">
        <x:f>IF(W9&lt;0,"UNPROFITABLE",IF(W9&lt;0.15,"MARGIN WATCH","HEALTHY"))</x:f>
        <x:v>HEALTHY</x:v>
      </x:c>
      <x:c r="Y9" s="66" t="str">
        <x:v>L5</x:v>
      </x:c>
      <x:c r="Z9" s="69" t="n">
        <x:v>18.5</x:v>
      </x:c>
      <x:c r="AA9" s="69" t="n">
        <x:f>I9*Z9+L9+((I9*Z9+L9)*M9)</x:f>
        <x:v>14250.475000000002</x:v>
      </x:c>
      <x:c r="AB9" s="69" t="n">
        <x:f>AA9-R9</x:f>
        <x:v>-1911.8749999999982</x:v>
      </x:c>
      <x:c r="AC9" s="66" t="str">
        <x:f>IF(W9&lt;0,"RENEGOTIATE / REJECT",IF(AB9&lt;-500,"CONSIDER REALLOCATION",IF(W9&lt;0.15,"MARGIN WATCH","ACCEPT")))</x:f>
        <x:v>CONSIDER REALLOCATION</x:v>
      </x:c>
      <x:c r="AD9" s="72" t="str">
        <x:f>IF(Q9&gt;0,"Includes overtime premium",IF(AB9&lt;-500,"Alternative lab materially cheaper","Standard costing"))</x:f>
        <x:v>Alternative lab materially cheaper</x:v>
      </x:c>
      <x:c r="AF9" s="94" t="str">
        <x:v>Potential reallocation saving</x:v>
      </x:c>
      <x:c r="AG9" s="95" t="n">
        <x:f>ABS(SUMIF(AB2:AB61,"&lt;0",AB2:AB61))</x:f>
        <x:v>23786.208333333332</x:v>
      </x:c>
    </x:row>
    <x:row r="10">
      <x:c r="A10" s="65" t="str">
        <x:f>orders!A10</x:f>
        <x:v>ORD-1109</x:v>
      </x:c>
      <x:c r="B10" s="66" t="str">
        <x:f>orders!B10</x:f>
        <x:v>Venezia Atelier</x:v>
      </x:c>
      <x:c r="C10" s="66" t="str">
        <x:f>orders!C10</x:f>
        <x:v>STY-005-2</x:v>
      </x:c>
      <x:c r="D10" s="66" t="str">
        <x:f>orders!D10</x:f>
        <x:v>Jeans</x:v>
      </x:c>
      <x:c r="E10" s="66" t="str">
        <x:f>orders!J10</x:f>
        <x:v>L4</x:v>
      </x:c>
      <x:c r="F10" s="66" t="str">
        <x:f>orders!K10</x:f>
        <x:v>LN-016</x:v>
      </x:c>
      <x:c r="G10" s="67" t="n">
        <x:f>orders!E10</x:f>
        <x:v>240</x:v>
      </x:c>
      <x:c r="H10" s="67" t="n">
        <x:f>orders!O10</x:f>
        <x:v>35</x:v>
      </x:c>
      <x:c r="I10" s="68" t="n">
        <x:f>orders!P10/60</x:f>
        <x:v>140</x:v>
      </x:c>
      <x:c r="J10" s="69" t="n">
        <x:v>21.5</x:v>
      </x:c>
      <x:c r="K10" s="69" t="n">
        <x:f>I10*J10</x:f>
        <x:v>3010</x:v>
      </x:c>
      <x:c r="L10" s="69" t="n">
        <x:v>90</x:v>
      </x:c>
      <x:c r="M10" s="70" t="n">
        <x:v>0.14</x:v>
      </x:c>
      <x:c r="N10" s="69" t="n">
        <x:f>(K10+L10)*M10</x:f>
        <x:v>434.00000000000006</x:v>
      </x:c>
      <x:c r="O10" s="71" t="n">
        <x:v>1.3</x:v>
      </x:c>
      <x:c r="P10" s="68" t="n">
        <x:f>MAX(0,(orders!Q10-orders!R10)*8)</x:f>
        <x:v>0</x:v>
      </x:c>
      <x:c r="Q10" s="69" t="n">
        <x:f>P10*(J10*O10)</x:f>
        <x:v>0</x:v>
      </x:c>
      <x:c r="R10" s="69" t="n">
        <x:f>K10+L10+N10+Q10</x:f>
        <x:v>3534</x:v>
      </x:c>
      <x:c r="S10" s="69" t="n">
        <x:f>R10/G10</x:f>
        <x:v>14.725</x:v>
      </x:c>
      <x:c r="T10" s="69" t="n">
        <x:v>36</x:v>
      </x:c>
      <x:c r="U10" s="69" t="n">
        <x:f>G10*T10</x:f>
        <x:v>8640</x:v>
      </x:c>
      <x:c r="V10" s="69" t="n">
        <x:f>U10-R10</x:f>
        <x:v>5106</x:v>
      </x:c>
      <x:c r="W10" s="70" t="n">
        <x:f>IF(U10=0,0,V10/U10)</x:f>
        <x:v>0.5909722222222222</x:v>
      </x:c>
      <x:c r="X10" s="66" t="str">
        <x:f>IF(W10&lt;0,"UNPROFITABLE",IF(W10&lt;0.15,"MARGIN WATCH","HEALTHY"))</x:f>
        <x:v>HEALTHY</x:v>
      </x:c>
      <x:c r="Y10" s="66" t="str">
        <x:v>L5</x:v>
      </x:c>
      <x:c r="Z10" s="69" t="n">
        <x:v>18.5</x:v>
      </x:c>
      <x:c r="AA10" s="69" t="n">
        <x:f>I10*Z10+L10+((I10*Z10+L10)*M10)</x:f>
        <x:v>3055.2</x:v>
      </x:c>
      <x:c r="AB10" s="69" t="n">
        <x:f>AA10-R10</x:f>
        <x:v>-478.8000000000002</x:v>
      </x:c>
      <x:c r="AC10" s="66" t="str">
        <x:f>IF(W10&lt;0,"RENEGOTIATE / REJECT",IF(AB10&lt;-500,"CONSIDER REALLOCATION",IF(W10&lt;0.15,"MARGIN WATCH","ACCEPT")))</x:f>
        <x:v>ACCEPT</x:v>
      </x:c>
      <x:c r="AD10" s="72" t="str">
        <x:f>IF(Q10&gt;0,"Includes overtime premium",IF(AB10&lt;-500,"Alternative lab materially cheaper","Standard costing"))</x:f>
        <x:v>Standard costing</x:v>
      </x:c>
    </x:row>
    <x:row r="11">
      <x:c r="A11" s="65" t="str">
        <x:f>orders!A11</x:f>
        <x:v>ORD-1110</x:v>
      </x:c>
      <x:c r="B11" s="66" t="str">
        <x:f>orders!B11</x:f>
        <x:v>Linea Roma</x:v>
      </x:c>
      <x:c r="C11" s="66" t="str">
        <x:f>orders!C11</x:f>
        <x:v>STY-002-2</x:v>
      </x:c>
      <x:c r="D11" s="66" t="str">
        <x:f>orders!D11</x:f>
        <x:v>Gonna</x:v>
      </x:c>
      <x:c r="E11" s="66" t="str">
        <x:f>orders!J11</x:f>
        <x:v>L5</x:v>
      </x:c>
      <x:c r="F11" s="66" t="str">
        <x:f>orders!K11</x:f>
        <x:v>LN-021</x:v>
      </x:c>
      <x:c r="G11" s="67" t="n">
        <x:f>orders!E11</x:f>
        <x:v>900</x:v>
      </x:c>
      <x:c r="H11" s="67" t="n">
        <x:f>orders!O11</x:f>
        <x:v>23</x:v>
      </x:c>
      <x:c r="I11" s="68" t="n">
        <x:f>orders!P11/60</x:f>
        <x:v>345</x:v>
      </x:c>
      <x:c r="J11" s="69" t="n">
        <x:v>18.5</x:v>
      </x:c>
      <x:c r="K11" s="69" t="n">
        <x:f>I11*J11</x:f>
        <x:v>6382.5</x:v>
      </x:c>
      <x:c r="L11" s="69" t="n">
        <x:v>60</x:v>
      </x:c>
      <x:c r="M11" s="70" t="n">
        <x:v>0.12</x:v>
      </x:c>
      <x:c r="N11" s="69" t="n">
        <x:f>(K11+L11)*M11</x:f>
        <x:v>773.1</x:v>
      </x:c>
      <x:c r="O11" s="71" t="n">
        <x:v>1.25</x:v>
      </x:c>
      <x:c r="P11" s="68" t="n">
        <x:f>MAX(0,(orders!Q11-orders!R11)*8)</x:f>
        <x:v>0</x:v>
      </x:c>
      <x:c r="Q11" s="69" t="n">
        <x:f>P11*(J11*O11)</x:f>
        <x:v>0</x:v>
      </x:c>
      <x:c r="R11" s="69" t="n">
        <x:f>K11+L11+N11+Q11</x:f>
        <x:v>7215.6</x:v>
      </x:c>
      <x:c r="S11" s="69" t="n">
        <x:f>R11/G11</x:f>
        <x:v>8.017333333333333</x:v>
      </x:c>
      <x:c r="T11" s="69" t="n">
        <x:v>19</x:v>
      </x:c>
      <x:c r="U11" s="69" t="n">
        <x:f>G11*T11</x:f>
        <x:v>17100</x:v>
      </x:c>
      <x:c r="V11" s="69" t="n">
        <x:f>U11-R11</x:f>
        <x:v>9884.4</x:v>
      </x:c>
      <x:c r="W11" s="70" t="n">
        <x:f>IF(U11=0,0,V11/U11)</x:f>
        <x:v>0.5780350877192982</x:v>
      </x:c>
      <x:c r="X11" s="66" t="str">
        <x:f>IF(W11&lt;0,"UNPROFITABLE",IF(W11&lt;0.15,"MARGIN WATCH","HEALTHY"))</x:f>
        <x:v>HEALTHY</x:v>
      </x:c>
      <x:c r="Y11" s="66" t="str">
        <x:v>L7</x:v>
      </x:c>
      <x:c r="Z11" s="69" t="n">
        <x:v>17.8</x:v>
      </x:c>
      <x:c r="AA11" s="69" t="n">
        <x:f>I11*Z11+L11+((I11*Z11+L11)*M11)</x:f>
        <x:v>6945.12</x:v>
      </x:c>
      <x:c r="AB11" s="69" t="n">
        <x:f>AA11-R11</x:f>
        <x:v>-270.4800000000005</x:v>
      </x:c>
      <x:c r="AC11" s="66" t="str">
        <x:f>IF(W11&lt;0,"RENEGOTIATE / REJECT",IF(AB11&lt;-500,"CONSIDER REALLOCATION",IF(W11&lt;0.15,"MARGIN WATCH","ACCEPT")))</x:f>
        <x:v>ACCEPT</x:v>
      </x:c>
      <x:c r="AD11" s="72" t="str">
        <x:f>IF(Q11&gt;0,"Includes overtime premium",IF(AB11&lt;-500,"Alternative lab materially cheaper","Standard costing"))</x:f>
        <x:v>Standard costing</x:v>
      </x:c>
    </x:row>
    <x:row r="12">
      <x:c r="A12" s="65" t="str">
        <x:f>orders!A12</x:f>
        <x:v>ORD-1111</x:v>
      </x:c>
      <x:c r="B12" s="66" t="str">
        <x:f>orders!B12</x:f>
        <x:v>Boutique Genova</x:v>
      </x:c>
      <x:c r="C12" s="66" t="str">
        <x:f>orders!C12</x:f>
        <x:v>STY-005-1</x:v>
      </x:c>
      <x:c r="D12" s="66" t="str">
        <x:f>orders!D12</x:f>
        <x:v>Jeans</x:v>
      </x:c>
      <x:c r="E12" s="66" t="str">
        <x:f>orders!J12</x:f>
        <x:v>L10</x:v>
      </x:c>
      <x:c r="F12" s="66" t="str">
        <x:f>orders!K12</x:f>
        <x:v>LN-044</x:v>
      </x:c>
      <x:c r="G12" s="67" t="n">
        <x:f>orders!E12</x:f>
        <x:v>900</x:v>
      </x:c>
      <x:c r="H12" s="67" t="n">
        <x:f>orders!O12</x:f>
        <x:v>35</x:v>
      </x:c>
      <x:c r="I12" s="68" t="n">
        <x:f>orders!P12/60</x:f>
        <x:v>525</x:v>
      </x:c>
      <x:c r="J12" s="69" t="n">
        <x:v>21</x:v>
      </x:c>
      <x:c r="K12" s="69" t="n">
        <x:f>I12*J12</x:f>
        <x:v>11025</x:v>
      </x:c>
      <x:c r="L12" s="69" t="n">
        <x:v>90</x:v>
      </x:c>
      <x:c r="M12" s="70" t="n">
        <x:v>0.14</x:v>
      </x:c>
      <x:c r="N12" s="69" t="n">
        <x:f>(K12+L12)*M12</x:f>
        <x:v>1556.1000000000001</x:v>
      </x:c>
      <x:c r="O12" s="71" t="n">
        <x:v>1.35</x:v>
      </x:c>
      <x:c r="P12" s="68" t="n">
        <x:f>MAX(0,(orders!Q12-orders!R12)*8)</x:f>
        <x:v>0</x:v>
      </x:c>
      <x:c r="Q12" s="69" t="n">
        <x:f>P12*(J12*O12)</x:f>
        <x:v>0</x:v>
      </x:c>
      <x:c r="R12" s="69" t="n">
        <x:f>K12+L12+N12+Q12</x:f>
        <x:v>12671.1</x:v>
      </x:c>
      <x:c r="S12" s="69" t="n">
        <x:f>R12/G12</x:f>
        <x:v>14.079</x:v>
      </x:c>
      <x:c r="T12" s="69" t="n">
        <x:v>36</x:v>
      </x:c>
      <x:c r="U12" s="69" t="n">
        <x:f>G12*T12</x:f>
        <x:v>32400</x:v>
      </x:c>
      <x:c r="V12" s="69" t="n">
        <x:f>U12-R12</x:f>
        <x:v>19728.9</x:v>
      </x:c>
      <x:c r="W12" s="70" t="n">
        <x:f>IF(U12=0,0,V12/U12)</x:f>
        <x:v>0.6089166666666667</x:v>
      </x:c>
      <x:c r="X12" s="66" t="str">
        <x:f>IF(W12&lt;0,"UNPROFITABLE",IF(W12&lt;0.15,"MARGIN WATCH","HEALTHY"))</x:f>
        <x:v>HEALTHY</x:v>
      </x:c>
      <x:c r="Y12" s="66" t="str">
        <x:v>L5</x:v>
      </x:c>
      <x:c r="Z12" s="69" t="n">
        <x:v>18.5</x:v>
      </x:c>
      <x:c r="AA12" s="69" t="n">
        <x:f>I12*Z12+L12+((I12*Z12+L12)*M12)</x:f>
        <x:v>11174.85</x:v>
      </x:c>
      <x:c r="AB12" s="69" t="n">
        <x:f>AA12-R12</x:f>
        <x:v>-1496.25</x:v>
      </x:c>
      <x:c r="AC12" s="66" t="str">
        <x:f>IF(W12&lt;0,"RENEGOTIATE / REJECT",IF(AB12&lt;-500,"CONSIDER REALLOCATION",IF(W12&lt;0.15,"MARGIN WATCH","ACCEPT")))</x:f>
        <x:v>CONSIDER REALLOCATION</x:v>
      </x:c>
      <x:c r="AD12" s="72" t="str">
        <x:f>IF(Q12&gt;0,"Includes overtime premium",IF(AB12&lt;-500,"Alternative lab materially cheaper","Standard costing"))</x:f>
        <x:v>Alternative lab materially cheaper</x:v>
      </x:c>
    </x:row>
    <x:row r="13">
      <x:c r="A13" s="65" t="str">
        <x:f>orders!A13</x:f>
        <x:v>ORD-1112</x:v>
      </x:c>
      <x:c r="B13" s="66" t="str">
        <x:f>orders!B13</x:f>
        <x:v>Studio Firenze</x:v>
      </x:c>
      <x:c r="C13" s="66" t="str">
        <x:f>orders!C13</x:f>
        <x:v>STY-004-1</x:v>
      </x:c>
      <x:c r="D13" s="66" t="str">
        <x:f>orders!D13</x:f>
        <x:v>Abito</x:v>
      </x:c>
      <x:c r="E13" s="66" t="str">
        <x:f>orders!J13</x:f>
        <x:v>L8</x:v>
      </x:c>
      <x:c r="F13" s="66" t="str">
        <x:f>orders!K13</x:f>
        <x:v>LN-035</x:v>
      </x:c>
      <x:c r="G13" s="67" t="n">
        <x:f>orders!E13</x:f>
        <x:v>320</x:v>
      </x:c>
      <x:c r="H13" s="67" t="n">
        <x:f>orders!O13</x:f>
        <x:v>50</x:v>
      </x:c>
      <x:c r="I13" s="68" t="n">
        <x:f>orders!P13/60</x:f>
        <x:v>266.6666666666667</x:v>
      </x:c>
      <x:c r="J13" s="69" t="n">
        <x:v>20</x:v>
      </x:c>
      <x:c r="K13" s="69" t="n">
        <x:f>I13*J13</x:f>
        <x:v>5333.333333333334</x:v>
      </x:c>
      <x:c r="L13" s="69" t="n">
        <x:v>120</x:v>
      </x:c>
      <x:c r="M13" s="70" t="n">
        <x:v>0.15</x:v>
      </x:c>
      <x:c r="N13" s="69" t="n">
        <x:f>(K13+L13)*M13</x:f>
        <x:v>818.0000000000001</x:v>
      </x:c>
      <x:c r="O13" s="71" t="n">
        <x:v>1.3</x:v>
      </x:c>
      <x:c r="P13" s="68" t="n">
        <x:f>MAX(0,(orders!Q13-orders!R13)*8)</x:f>
        <x:v>0</x:v>
      </x:c>
      <x:c r="Q13" s="69" t="n">
        <x:f>P13*(J13*O13)</x:f>
        <x:v>0</x:v>
      </x:c>
      <x:c r="R13" s="69" t="n">
        <x:f>K13+L13+N13+Q13</x:f>
        <x:v>6271.333333333334</x:v>
      </x:c>
      <x:c r="S13" s="69" t="n">
        <x:f>R13/G13</x:f>
        <x:v>19.59791666666667</x:v>
      </x:c>
      <x:c r="T13" s="69" t="n">
        <x:v>52</x:v>
      </x:c>
      <x:c r="U13" s="69" t="n">
        <x:f>G13*T13</x:f>
        <x:v>16640</x:v>
      </x:c>
      <x:c r="V13" s="69" t="n">
        <x:f>U13-R13</x:f>
        <x:v>10368.666666666666</x:v>
      </x:c>
      <x:c r="W13" s="70" t="n">
        <x:f>IF(U13=0,0,V13/U13)</x:f>
        <x:v>0.6231169871794872</x:v>
      </x:c>
      <x:c r="X13" s="66" t="str">
        <x:f>IF(W13&lt;0,"UNPROFITABLE",IF(W13&lt;0.15,"MARGIN WATCH","HEALTHY"))</x:f>
        <x:v>HEALTHY</x:v>
      </x:c>
      <x:c r="Y13" s="66" t="str">
        <x:v>L3</x:v>
      </x:c>
      <x:c r="Z13" s="69" t="n">
        <x:v>19</x:v>
      </x:c>
      <x:c r="AA13" s="69" t="n">
        <x:f>I13*Z13+L13+((I13*Z13+L13)*M13)</x:f>
        <x:v>5964.666666666667</x:v>
      </x:c>
      <x:c r="AB13" s="69" t="n">
        <x:f>AA13-R13</x:f>
        <x:v>-306.66666666666697</x:v>
      </x:c>
      <x:c r="AC13" s="66" t="str">
        <x:f>IF(W13&lt;0,"RENEGOTIATE / REJECT",IF(AB13&lt;-500,"CONSIDER REALLOCATION",IF(W13&lt;0.15,"MARGIN WATCH","ACCEPT")))</x:f>
        <x:v>ACCEPT</x:v>
      </x:c>
      <x:c r="AD13" s="72" t="str">
        <x:f>IF(Q13&gt;0,"Includes overtime premium",IF(AB13&lt;-500,"Alternative lab materially cheaper","Standard costing"))</x:f>
        <x:v>Standard costing</x:v>
      </x:c>
    </x:row>
    <x:row r="14">
      <x:c r="A14" s="65" t="str">
        <x:f>orders!A14</x:f>
        <x:v>ORD-1113</x:v>
      </x:c>
      <x:c r="B14" s="66" t="str">
        <x:f>orders!B14</x:f>
        <x:v>Bari Concept</x:v>
      </x:c>
      <x:c r="C14" s="66" t="str">
        <x:f>orders!C14</x:f>
        <x:v>STY-012-1</x:v>
      </x:c>
      <x:c r="D14" s="66" t="str">
        <x:f>orders!D14</x:f>
        <x:v>Body</x:v>
      </x:c>
      <x:c r="E14" s="66" t="str">
        <x:f>orders!J14</x:f>
        <x:v>L1</x:v>
      </x:c>
      <x:c r="F14" s="66" t="str">
        <x:f>orders!K14</x:f>
        <x:v>LN-002</x:v>
      </x:c>
      <x:c r="G14" s="67" t="n">
        <x:f>orders!E14</x:f>
        <x:v>760</x:v>
      </x:c>
      <x:c r="H14" s="67" t="n">
        <x:f>orders!O14</x:f>
        <x:v>23</x:v>
      </x:c>
      <x:c r="I14" s="68" t="n">
        <x:f>orders!P14/60</x:f>
        <x:v>291.3333333333333</x:v>
      </x:c>
      <x:c r="J14" s="69" t="n">
        <x:v>22</x:v>
      </x:c>
      <x:c r="K14" s="69" t="n">
        <x:f>I14*J14</x:f>
        <x:v>6409.333333333333</x:v>
      </x:c>
      <x:c r="L14" s="69" t="n">
        <x:v>55</x:v>
      </x:c>
      <x:c r="M14" s="70" t="n">
        <x:v>0.11</x:v>
      </x:c>
      <x:c r="N14" s="69" t="n">
        <x:f>(K14+L14)*M14</x:f>
        <x:v>711.0766666666666</x:v>
      </x:c>
      <x:c r="O14" s="71" t="n">
        <x:v>1.35</x:v>
      </x:c>
      <x:c r="P14" s="68" t="n">
        <x:f>MAX(0,(orders!Q14-orders!R14)*8)</x:f>
        <x:v>0</x:v>
      </x:c>
      <x:c r="Q14" s="69" t="n">
        <x:f>P14*(J14*O14)</x:f>
        <x:v>0</x:v>
      </x:c>
      <x:c r="R14" s="69" t="n">
        <x:f>K14+L14+N14+Q14</x:f>
        <x:v>7175.41</x:v>
      </x:c>
      <x:c r="S14" s="69" t="n">
        <x:f>R14/G14</x:f>
        <x:v>9.44132894736842</x:v>
      </x:c>
      <x:c r="T14" s="69" t="n">
        <x:v>18</x:v>
      </x:c>
      <x:c r="U14" s="69" t="n">
        <x:f>G14*T14</x:f>
        <x:v>13680</x:v>
      </x:c>
      <x:c r="V14" s="69" t="n">
        <x:f>U14-R14</x:f>
        <x:v>6504.59</x:v>
      </x:c>
      <x:c r="W14" s="70" t="n">
        <x:f>IF(U14=0,0,V14/U14)</x:f>
        <x:v>0.47548172514619885</x:v>
      </x:c>
      <x:c r="X14" s="66" t="str">
        <x:f>IF(W14&lt;0,"UNPROFITABLE",IF(W14&lt;0.15,"MARGIN WATCH","HEALTHY"))</x:f>
        <x:v>HEALTHY</x:v>
      </x:c>
      <x:c r="Y14" s="66" t="str">
        <x:v>L3</x:v>
      </x:c>
      <x:c r="Z14" s="69" t="n">
        <x:v>19</x:v>
      </x:c>
      <x:c r="AA14" s="69" t="n">
        <x:f>I14*Z14+L14+((I14*Z14+L14)*M14)</x:f>
        <x:v>6205.2699999999995</x:v>
      </x:c>
      <x:c r="AB14" s="69" t="n">
        <x:f>AA14-R14</x:f>
        <x:v>-970.1400000000003</x:v>
      </x:c>
      <x:c r="AC14" s="66" t="str">
        <x:f>IF(W14&lt;0,"RENEGOTIATE / REJECT",IF(AB14&lt;-500,"CONSIDER REALLOCATION",IF(W14&lt;0.15,"MARGIN WATCH","ACCEPT")))</x:f>
        <x:v>CONSIDER REALLOCATION</x:v>
      </x:c>
      <x:c r="AD14" s="72" t="str">
        <x:f>IF(Q14&gt;0,"Includes overtime premium",IF(AB14&lt;-500,"Alternative lab materially cheaper","Standard costing"))</x:f>
        <x:v>Alternative lab materially cheaper</x:v>
      </x:c>
    </x:row>
    <x:row r="15">
      <x:c r="A15" s="65" t="str">
        <x:f>orders!A15</x:f>
        <x:v>ORD-1114</x:v>
      </x:c>
      <x:c r="B15" s="66" t="str">
        <x:f>orders!B15</x:f>
        <x:v>Studio Firenze</x:v>
      </x:c>
      <x:c r="C15" s="66" t="str">
        <x:f>orders!C15</x:f>
        <x:v>STY-011-1</x:v>
      </x:c>
      <x:c r="D15" s="66" t="str">
        <x:f>orders!D15</x:f>
        <x:v>Kimono</x:v>
      </x:c>
      <x:c r="E15" s="66" t="str">
        <x:f>orders!J15</x:f>
        <x:v>L9</x:v>
      </x:c>
      <x:c r="F15" s="66" t="str">
        <x:f>orders!K15</x:f>
        <x:v>LN-039</x:v>
      </x:c>
      <x:c r="G15" s="67" t="n">
        <x:f>orders!E15</x:f>
        <x:v>230</x:v>
      </x:c>
      <x:c r="H15" s="67" t="n">
        <x:f>orders!O15</x:f>
        <x:v>36</x:v>
      </x:c>
      <x:c r="I15" s="68" t="n">
        <x:f>orders!P15/60</x:f>
        <x:v>138</x:v>
      </x:c>
      <x:c r="J15" s="69" t="n">
        <x:v>18</x:v>
      </x:c>
      <x:c r="K15" s="69" t="n">
        <x:f>I15*J15</x:f>
        <x:v>2484</x:v>
      </x:c>
      <x:c r="L15" s="69" t="n">
        <x:v>120</x:v>
      </x:c>
      <x:c r="M15" s="70" t="n">
        <x:v>0.15</x:v>
      </x:c>
      <x:c r="N15" s="69" t="n">
        <x:f>(K15+L15)*M15</x:f>
        <x:v>390.59999999999997</x:v>
      </x:c>
      <x:c r="O15" s="71" t="n">
        <x:v>1.25</x:v>
      </x:c>
      <x:c r="P15" s="68" t="n">
        <x:f>MAX(0,(orders!Q15-orders!R15)*8)</x:f>
        <x:v>0</x:v>
      </x:c>
      <x:c r="Q15" s="69" t="n">
        <x:f>P15*(J15*O15)</x:f>
        <x:v>0</x:v>
      </x:c>
      <x:c r="R15" s="69" t="n">
        <x:f>K15+L15+N15+Q15</x:f>
        <x:v>2994.6</x:v>
      </x:c>
      <x:c r="S15" s="69" t="n">
        <x:f>R15/G15</x:f>
        <x:v>13.02</x:v>
      </x:c>
      <x:c r="T15" s="69" t="n">
        <x:v>44</x:v>
      </x:c>
      <x:c r="U15" s="69" t="n">
        <x:f>G15*T15</x:f>
        <x:v>10120</x:v>
      </x:c>
      <x:c r="V15" s="69" t="n">
        <x:f>U15-R15</x:f>
        <x:v>7125.4</x:v>
      </x:c>
      <x:c r="W15" s="70" t="n">
        <x:f>IF(U15=0,0,V15/U15)</x:f>
        <x:v>0.7040909090909091</x:v>
      </x:c>
      <x:c r="X15" s="66" t="str">
        <x:f>IF(W15&lt;0,"UNPROFITABLE",IF(W15&lt;0.15,"MARGIN WATCH","HEALTHY"))</x:f>
        <x:v>HEALTHY</x:v>
      </x:c>
      <x:c r="Y15" s="66" t="str">
        <x:v>L4</x:v>
      </x:c>
      <x:c r="Z15" s="69" t="n">
        <x:v>21.5</x:v>
      </x:c>
      <x:c r="AA15" s="69" t="n">
        <x:f>I15*Z15+L15+((I15*Z15+L15)*M15)</x:f>
        <x:v>3550.05</x:v>
      </x:c>
      <x:c r="AB15" s="69" t="n">
        <x:f>AA15-R15</x:f>
        <x:v>555.4500000000003</x:v>
      </x:c>
      <x:c r="AC15" s="66" t="str">
        <x:f>IF(W15&lt;0,"RENEGOTIATE / REJECT",IF(AB15&lt;-500,"CONSIDER REALLOCATION",IF(W15&lt;0.15,"MARGIN WATCH","ACCEPT")))</x:f>
        <x:v>ACCEPT</x:v>
      </x:c>
      <x:c r="AD15" s="72" t="str">
        <x:f>IF(Q15&gt;0,"Includes overtime premium",IF(AB15&lt;-500,"Alternative lab materially cheaper","Standard costing"))</x:f>
        <x:v>Standard costing</x:v>
      </x:c>
    </x:row>
    <x:row r="16">
      <x:c r="A16" s="65" t="str">
        <x:f>orders!A16</x:f>
        <x:v>ORD-1115</x:v>
      </x:c>
      <x:c r="B16" s="66" t="str">
        <x:f>orders!B16</x:f>
        <x:v>Bari Concept</x:v>
      </x:c>
      <x:c r="C16" s="66" t="str">
        <x:f>orders!C16</x:f>
        <x:v>STY-007-1</x:v>
      </x:c>
      <x:c r="D16" s="66" t="str">
        <x:f>orders!D16</x:f>
        <x:v>Pantalone</x:v>
      </x:c>
      <x:c r="E16" s="66" t="str">
        <x:f>orders!J16</x:f>
        <x:v>L7</x:v>
      </x:c>
      <x:c r="F16" s="66" t="str">
        <x:f>orders!K16</x:f>
        <x:v>LN-030</x:v>
      </x:c>
      <x:c r="G16" s="67" t="n">
        <x:f>orders!E16</x:f>
        <x:v>360</x:v>
      </x:c>
      <x:c r="H16" s="67" t="n">
        <x:f>orders!O16</x:f>
        <x:v>34</x:v>
      </x:c>
      <x:c r="I16" s="68" t="n">
        <x:f>orders!P16/60</x:f>
        <x:v>204</x:v>
      </x:c>
      <x:c r="J16" s="69" t="n">
        <x:v>17.8</x:v>
      </x:c>
      <x:c r="K16" s="69" t="n">
        <x:f>I16*J16</x:f>
        <x:v>3631.2000000000003</x:v>
      </x:c>
      <x:c r="L16" s="69" t="n">
        <x:v>80</x:v>
      </x:c>
      <x:c r="M16" s="70" t="n">
        <x:v>0.13</x:v>
      </x:c>
      <x:c r="N16" s="69" t="n">
        <x:f>(K16+L16)*M16</x:f>
        <x:v>482.4560000000001</x:v>
      </x:c>
      <x:c r="O16" s="71" t="n">
        <x:v>1.25</x:v>
      </x:c>
      <x:c r="P16" s="68" t="n">
        <x:f>MAX(0,(orders!Q16-orders!R16)*8)</x:f>
        <x:v>0</x:v>
      </x:c>
      <x:c r="Q16" s="69" t="n">
        <x:f>P16*(J16*O16)</x:f>
        <x:v>0</x:v>
      </x:c>
      <x:c r="R16" s="69" t="n">
        <x:f>K16+L16+N16+Q16</x:f>
        <x:v>4193.656</x:v>
      </x:c>
      <x:c r="S16" s="69" t="n">
        <x:f>R16/G16</x:f>
        <x:v>11.649044444444444</x:v>
      </x:c>
      <x:c r="T16" s="69" t="n">
        <x:v>28</x:v>
      </x:c>
      <x:c r="U16" s="69" t="n">
        <x:f>G16*T16</x:f>
        <x:v>10080</x:v>
      </x:c>
      <x:c r="V16" s="69" t="n">
        <x:f>U16-R16</x:f>
        <x:v>5886.344</x:v>
      </x:c>
      <x:c r="W16" s="70" t="n">
        <x:f>IF(U16=0,0,V16/U16)</x:f>
        <x:v>0.5839626984126984</x:v>
      </x:c>
      <x:c r="X16" s="66" t="str">
        <x:f>IF(W16&lt;0,"UNPROFITABLE",IF(W16&lt;0.15,"MARGIN WATCH","HEALTHY"))</x:f>
        <x:v>HEALTHY</x:v>
      </x:c>
      <x:c r="Y16" s="66" t="str">
        <x:v>L7</x:v>
      </x:c>
      <x:c r="Z16" s="69" t="n">
        <x:v>17.8</x:v>
      </x:c>
      <x:c r="AA16" s="69" t="n">
        <x:f>I16*Z16+L16+((I16*Z16+L16)*M16)</x:f>
        <x:v>4193.656</x:v>
      </x:c>
      <x:c r="AB16" s="69" t="n">
        <x:f>AA16-R16</x:f>
        <x:v>0</x:v>
      </x:c>
      <x:c r="AC16" s="66" t="str">
        <x:f>IF(W16&lt;0,"RENEGOTIATE / REJECT",IF(AB16&lt;-500,"CONSIDER REALLOCATION",IF(W16&lt;0.15,"MARGIN WATCH","ACCEPT")))</x:f>
        <x:v>ACCEPT</x:v>
      </x:c>
      <x:c r="AD16" s="72" t="str">
        <x:f>IF(Q16&gt;0,"Includes overtime premium",IF(AB16&lt;-500,"Alternative lab materially cheaper","Standard costing"))</x:f>
        <x:v>Standard costing</x:v>
      </x:c>
    </x:row>
    <x:row r="17">
      <x:c r="A17" s="65" t="str">
        <x:f>orders!A17</x:f>
        <x:v>ORD-1116</x:v>
      </x:c>
      <x:c r="B17" s="66" t="str">
        <x:f>orders!B17</x:f>
        <x:v>Sartoria Napoli</x:v>
      </x:c>
      <x:c r="C17" s="66" t="str">
        <x:f>orders!C17</x:f>
        <x:v>STY-001-2</x:v>
      </x:c>
      <x:c r="D17" s="66" t="str">
        <x:f>orders!D17</x:f>
        <x:v>Cappotto</x:v>
      </x:c>
      <x:c r="E17" s="66" t="str">
        <x:f>orders!J17</x:f>
        <x:v>L7</x:v>
      </x:c>
      <x:c r="F17" s="66" t="str">
        <x:f>orders!K17</x:f>
        <x:v>LN-030</x:v>
      </x:c>
      <x:c r="G17" s="67" t="n">
        <x:f>orders!E17</x:f>
        <x:v>160</x:v>
      </x:c>
      <x:c r="H17" s="67" t="n">
        <x:f>orders!O17</x:f>
        <x:v>79</x:v>
      </x:c>
      <x:c r="I17" s="68" t="n">
        <x:f>orders!P17/60</x:f>
        <x:v>210.66666666666666</x:v>
      </x:c>
      <x:c r="J17" s="69" t="n">
        <x:v>17.8</x:v>
      </x:c>
      <x:c r="K17" s="69" t="n">
        <x:f>I17*J17</x:f>
        <x:v>3749.866666666667</x:v>
      </x:c>
      <x:c r="L17" s="69" t="n">
        <x:v>180</x:v>
      </x:c>
      <x:c r="M17" s="70" t="n">
        <x:v>0.15</x:v>
      </x:c>
      <x:c r="N17" s="69" t="n">
        <x:f>(K17+L17)*M17</x:f>
        <x:v>589.48</x:v>
      </x:c>
      <x:c r="O17" s="71" t="n">
        <x:v>1.25</x:v>
      </x:c>
      <x:c r="P17" s="68" t="n">
        <x:f>MAX(0,(orders!Q17-orders!R17)*8)</x:f>
        <x:v>0</x:v>
      </x:c>
      <x:c r="Q17" s="69" t="n">
        <x:f>P17*(J17*O17)</x:f>
        <x:v>0</x:v>
      </x:c>
      <x:c r="R17" s="69" t="n">
        <x:f>K17+L17+N17+Q17</x:f>
        <x:v>4519.346666666666</x:v>
      </x:c>
      <x:c r="S17" s="69" t="n">
        <x:f>R17/G17</x:f>
        <x:v>28.245916666666666</x:v>
      </x:c>
      <x:c r="T17" s="69" t="n">
        <x:v>72</x:v>
      </x:c>
      <x:c r="U17" s="69" t="n">
        <x:f>G17*T17</x:f>
        <x:v>11520</x:v>
      </x:c>
      <x:c r="V17" s="69" t="n">
        <x:f>U17-R17</x:f>
        <x:v>7000.653333333334</x:v>
      </x:c>
      <x:c r="W17" s="70" t="n">
        <x:f>IF(U17=0,0,V17/U17)</x:f>
        <x:v>0.6076956018518519</x:v>
      </x:c>
      <x:c r="X17" s="66" t="str">
        <x:f>IF(W17&lt;0,"UNPROFITABLE",IF(W17&lt;0.15,"MARGIN WATCH","HEALTHY"))</x:f>
        <x:v>HEALTHY</x:v>
      </x:c>
      <x:c r="Y17" s="66" t="str">
        <x:v>L2</x:v>
      </x:c>
      <x:c r="Z17" s="69" t="n">
        <x:v>20.5</x:v>
      </x:c>
      <x:c r="AA17" s="69" t="n">
        <x:f>I17*Z17+L17+((I17*Z17+L17)*M17)</x:f>
        <x:v>5173.466666666666</x:v>
      </x:c>
      <x:c r="AB17" s="69" t="n">
        <x:f>AA17-R17</x:f>
        <x:v>654.1199999999999</x:v>
      </x:c>
      <x:c r="AC17" s="66" t="str">
        <x:f>IF(W17&lt;0,"RENEGOTIATE / REJECT",IF(AB17&lt;-500,"CONSIDER REALLOCATION",IF(W17&lt;0.15,"MARGIN WATCH","ACCEPT")))</x:f>
        <x:v>ACCEPT</x:v>
      </x:c>
      <x:c r="AD17" s="72" t="str">
        <x:f>IF(Q17&gt;0,"Includes overtime premium",IF(AB17&lt;-500,"Alternative lab materially cheaper","Standard costing"))</x:f>
        <x:v>Standard costing</x:v>
      </x:c>
    </x:row>
    <x:row r="18">
      <x:c r="A18" s="65" t="str">
        <x:f>orders!A18</x:f>
        <x:v>ORD-1117</x:v>
      </x:c>
      <x:c r="B18" s="66" t="str">
        <x:f>orders!B18</x:f>
        <x:v>Cagliari Studio</x:v>
      </x:c>
      <x:c r="C18" s="66" t="str">
        <x:f>orders!C18</x:f>
        <x:v>STY-001-1</x:v>
      </x:c>
      <x:c r="D18" s="66" t="str">
        <x:f>orders!D18</x:f>
        <x:v>Cappotto</x:v>
      </x:c>
      <x:c r="E18" s="66" t="str">
        <x:f>orders!J18</x:f>
        <x:v>L9</x:v>
      </x:c>
      <x:c r="F18" s="66" t="str">
        <x:f>orders!K18</x:f>
        <x:v>LN-039</x:v>
      </x:c>
      <x:c r="G18" s="67" t="n">
        <x:f>orders!E18</x:f>
        <x:v>300</x:v>
      </x:c>
      <x:c r="H18" s="67" t="n">
        <x:f>orders!O18</x:f>
        <x:v>80</x:v>
      </x:c>
      <x:c r="I18" s="68" t="n">
        <x:f>orders!P18/60</x:f>
        <x:v>400</x:v>
      </x:c>
      <x:c r="J18" s="69" t="n">
        <x:v>18</x:v>
      </x:c>
      <x:c r="K18" s="69" t="n">
        <x:f>I18*J18</x:f>
        <x:v>7200</x:v>
      </x:c>
      <x:c r="L18" s="69" t="n">
        <x:v>180</x:v>
      </x:c>
      <x:c r="M18" s="70" t="n">
        <x:v>0.15</x:v>
      </x:c>
      <x:c r="N18" s="69" t="n">
        <x:f>(K18+L18)*M18</x:f>
        <x:v>1107</x:v>
      </x:c>
      <x:c r="O18" s="71" t="n">
        <x:v>1.25</x:v>
      </x:c>
      <x:c r="P18" s="68" t="n">
        <x:f>MAX(0,(orders!Q18-orders!R18)*8)</x:f>
        <x:v>0</x:v>
      </x:c>
      <x:c r="Q18" s="69" t="n">
        <x:f>P18*(J18*O18)</x:f>
        <x:v>0</x:v>
      </x:c>
      <x:c r="R18" s="69" t="n">
        <x:f>K18+L18+N18+Q18</x:f>
        <x:v>8487</x:v>
      </x:c>
      <x:c r="S18" s="69" t="n">
        <x:f>R18/G18</x:f>
        <x:v>28.29</x:v>
      </x:c>
      <x:c r="T18" s="69" t="n">
        <x:v>72</x:v>
      </x:c>
      <x:c r="U18" s="69" t="n">
        <x:f>G18*T18</x:f>
        <x:v>21600</x:v>
      </x:c>
      <x:c r="V18" s="69" t="n">
        <x:f>U18-R18</x:f>
        <x:v>13113</x:v>
      </x:c>
      <x:c r="W18" s="70" t="n">
        <x:f>IF(U18=0,0,V18/U18)</x:f>
        <x:v>0.6070833333333333</x:v>
      </x:c>
      <x:c r="X18" s="66" t="str">
        <x:f>IF(W18&lt;0,"UNPROFITABLE",IF(W18&lt;0.15,"MARGIN WATCH","HEALTHY"))</x:f>
        <x:v>HEALTHY</x:v>
      </x:c>
      <x:c r="Y18" s="66" t="str">
        <x:v>L2</x:v>
      </x:c>
      <x:c r="Z18" s="69" t="n">
        <x:v>20.5</x:v>
      </x:c>
      <x:c r="AA18" s="69" t="n">
        <x:f>I18*Z18+L18+((I18*Z18+L18)*M18)</x:f>
        <x:v>9637</x:v>
      </x:c>
      <x:c r="AB18" s="69" t="n">
        <x:f>AA18-R18</x:f>
        <x:v>1150</x:v>
      </x:c>
      <x:c r="AC18" s="66" t="str">
        <x:f>IF(W18&lt;0,"RENEGOTIATE / REJECT",IF(AB18&lt;-500,"CONSIDER REALLOCATION",IF(W18&lt;0.15,"MARGIN WATCH","ACCEPT")))</x:f>
        <x:v>ACCEPT</x:v>
      </x:c>
      <x:c r="AD18" s="72" t="str">
        <x:f>IF(Q18&gt;0,"Includes overtime premium",IF(AB18&lt;-500,"Alternative lab materially cheaper","Standard costing"))</x:f>
        <x:v>Standard costing</x:v>
      </x:c>
    </x:row>
    <x:row r="19">
      <x:c r="A19" s="65" t="str">
        <x:f>orders!A19</x:f>
        <x:v>ORD-1118</x:v>
      </x:c>
      <x:c r="B19" s="66" t="str">
        <x:f>orders!B19</x:f>
        <x:v>Torino Mode</x:v>
      </x:c>
      <x:c r="C19" s="66" t="str">
        <x:f>orders!C19</x:f>
        <x:v>STY-005-1</x:v>
      </x:c>
      <x:c r="D19" s="66" t="str">
        <x:f>orders!D19</x:f>
        <x:v>Jeans</x:v>
      </x:c>
      <x:c r="E19" s="66" t="str">
        <x:f>orders!J19</x:f>
        <x:v>L4</x:v>
      </x:c>
      <x:c r="F19" s="66" t="str">
        <x:f>orders!K19</x:f>
        <x:v>LN-016</x:v>
      </x:c>
      <x:c r="G19" s="67" t="n">
        <x:f>orders!E19</x:f>
        <x:v>1300</x:v>
      </x:c>
      <x:c r="H19" s="67" t="n">
        <x:f>orders!O19</x:f>
        <x:v>35</x:v>
      </x:c>
      <x:c r="I19" s="68" t="n">
        <x:f>orders!P19/60</x:f>
        <x:v>758.3333333333334</x:v>
      </x:c>
      <x:c r="J19" s="69" t="n">
        <x:v>21.5</x:v>
      </x:c>
      <x:c r="K19" s="69" t="n">
        <x:f>I19*J19</x:f>
        <x:v>16304.166666666668</x:v>
      </x:c>
      <x:c r="L19" s="69" t="n">
        <x:v>90</x:v>
      </x:c>
      <x:c r="M19" s="70" t="n">
        <x:v>0.14</x:v>
      </x:c>
      <x:c r="N19" s="69" t="n">
        <x:f>(K19+L19)*M19</x:f>
        <x:v>2295.183333333334</x:v>
      </x:c>
      <x:c r="O19" s="71" t="n">
        <x:v>1.3</x:v>
      </x:c>
      <x:c r="P19" s="68" t="n">
        <x:f>MAX(0,(orders!Q19-orders!R19)*8)</x:f>
        <x:v>0</x:v>
      </x:c>
      <x:c r="Q19" s="69" t="n">
        <x:f>P19*(J19*O19)</x:f>
        <x:v>0</x:v>
      </x:c>
      <x:c r="R19" s="69" t="n">
        <x:f>K19+L19+N19+Q19</x:f>
        <x:v>18689.350000000002</x:v>
      </x:c>
      <x:c r="S19" s="69" t="n">
        <x:f>R19/G19</x:f>
        <x:v>14.376423076923079</x:v>
      </x:c>
      <x:c r="T19" s="69" t="n">
        <x:v>36</x:v>
      </x:c>
      <x:c r="U19" s="69" t="n">
        <x:f>G19*T19</x:f>
        <x:v>46800</x:v>
      </x:c>
      <x:c r="V19" s="69" t="n">
        <x:f>U19-R19</x:f>
        <x:v>28110.649999999998</x:v>
      </x:c>
      <x:c r="W19" s="70" t="n">
        <x:f>IF(U19=0,0,V19/U19)</x:f>
        <x:v>0.6006549145299145</x:v>
      </x:c>
      <x:c r="X19" s="66" t="str">
        <x:f>IF(W19&lt;0,"UNPROFITABLE",IF(W19&lt;0.15,"MARGIN WATCH","HEALTHY"))</x:f>
        <x:v>HEALTHY</x:v>
      </x:c>
      <x:c r="Y19" s="66" t="str">
        <x:v>L5</x:v>
      </x:c>
      <x:c r="Z19" s="69" t="n">
        <x:v>18.5</x:v>
      </x:c>
      <x:c r="AA19" s="69" t="n">
        <x:f>I19*Z19+L19+((I19*Z19+L19)*M19)</x:f>
        <x:v>16095.850000000002</x:v>
      </x:c>
      <x:c r="AB19" s="69" t="n">
        <x:f>AA19-R19</x:f>
        <x:v>-2593.5</x:v>
      </x:c>
      <x:c r="AC19" s="66" t="str">
        <x:f>IF(W19&lt;0,"RENEGOTIATE / REJECT",IF(AB19&lt;-500,"CONSIDER REALLOCATION",IF(W19&lt;0.15,"MARGIN WATCH","ACCEPT")))</x:f>
        <x:v>CONSIDER REALLOCATION</x:v>
      </x:c>
      <x:c r="AD19" s="72" t="str">
        <x:f>IF(Q19&gt;0,"Includes overtime premium",IF(AB19&lt;-500,"Alternative lab materially cheaper","Standard costing"))</x:f>
        <x:v>Alternative lab materially cheaper</x:v>
      </x:c>
    </x:row>
    <x:row r="20">
      <x:c r="A20" s="65" t="str">
        <x:f>orders!A20</x:f>
        <x:v>ORD-1119</x:v>
      </x:c>
      <x:c r="B20" s="66" t="str">
        <x:f>orders!B20</x:f>
        <x:v>Studio Firenze</x:v>
      </x:c>
      <x:c r="C20" s="66" t="str">
        <x:f>orders!C20</x:f>
        <x:v>STY-004-2</x:v>
      </x:c>
      <x:c r="D20" s="66" t="str">
        <x:f>orders!D20</x:f>
        <x:v>Abito</x:v>
      </x:c>
      <x:c r="E20" s="66" t="str">
        <x:f>orders!J20</x:f>
        <x:v>L7</x:v>
      </x:c>
      <x:c r="F20" s="66" t="str">
        <x:f>orders!K20</x:f>
        <x:v>LN-030</x:v>
      </x:c>
      <x:c r="G20" s="67" t="n">
        <x:f>orders!E20</x:f>
        <x:v>600</x:v>
      </x:c>
      <x:c r="H20" s="67" t="n">
        <x:f>orders!O20</x:f>
        <x:v>44</x:v>
      </x:c>
      <x:c r="I20" s="68" t="n">
        <x:f>orders!P20/60</x:f>
        <x:v>440</x:v>
      </x:c>
      <x:c r="J20" s="69" t="n">
        <x:v>17.8</x:v>
      </x:c>
      <x:c r="K20" s="69" t="n">
        <x:f>I20*J20</x:f>
        <x:v>7832</x:v>
      </x:c>
      <x:c r="L20" s="69" t="n">
        <x:v>120</x:v>
      </x:c>
      <x:c r="M20" s="70" t="n">
        <x:v>0.15</x:v>
      </x:c>
      <x:c r="N20" s="69" t="n">
        <x:f>(K20+L20)*M20</x:f>
        <x:v>1192.8</x:v>
      </x:c>
      <x:c r="O20" s="71" t="n">
        <x:v>1.25</x:v>
      </x:c>
      <x:c r="P20" s="68" t="n">
        <x:f>MAX(0,(orders!Q20-orders!R20)*8)</x:f>
        <x:v>0</x:v>
      </x:c>
      <x:c r="Q20" s="69" t="n">
        <x:f>P20*(J20*O20)</x:f>
        <x:v>0</x:v>
      </x:c>
      <x:c r="R20" s="69" t="n">
        <x:f>K20+L20+N20+Q20</x:f>
        <x:v>9144.8</x:v>
      </x:c>
      <x:c r="S20" s="69" t="n">
        <x:f>R20/G20</x:f>
        <x:v>15.241333333333332</x:v>
      </x:c>
      <x:c r="T20" s="69" t="n">
        <x:v>52</x:v>
      </x:c>
      <x:c r="U20" s="69" t="n">
        <x:f>G20*T20</x:f>
        <x:v>31200</x:v>
      </x:c>
      <x:c r="V20" s="69" t="n">
        <x:f>U20-R20</x:f>
        <x:v>22055.2</x:v>
      </x:c>
      <x:c r="W20" s="70" t="n">
        <x:f>IF(U20=0,0,V20/U20)</x:f>
        <x:v>0.7068974358974359</x:v>
      </x:c>
      <x:c r="X20" s="66" t="str">
        <x:f>IF(W20&lt;0,"UNPROFITABLE",IF(W20&lt;0.15,"MARGIN WATCH","HEALTHY"))</x:f>
        <x:v>HEALTHY</x:v>
      </x:c>
      <x:c r="Y20" s="66" t="str">
        <x:v>L3</x:v>
      </x:c>
      <x:c r="Z20" s="69" t="n">
        <x:v>19</x:v>
      </x:c>
      <x:c r="AA20" s="69" t="n">
        <x:f>I20*Z20+L20+((I20*Z20+L20)*M20)</x:f>
        <x:v>9752</x:v>
      </x:c>
      <x:c r="AB20" s="69" t="n">
        <x:f>AA20-R20</x:f>
        <x:v>607.2000000000007</x:v>
      </x:c>
      <x:c r="AC20" s="66" t="str">
        <x:f>IF(W20&lt;0,"RENEGOTIATE / REJECT",IF(AB20&lt;-500,"CONSIDER REALLOCATION",IF(W20&lt;0.15,"MARGIN WATCH","ACCEPT")))</x:f>
        <x:v>ACCEPT</x:v>
      </x:c>
      <x:c r="AD20" s="72" t="str">
        <x:f>IF(Q20&gt;0,"Includes overtime premium",IF(AB20&lt;-500,"Alternative lab materially cheaper","Standard costing"))</x:f>
        <x:v>Standard costing</x:v>
      </x:c>
    </x:row>
    <x:row r="21">
      <x:c r="A21" s="65" t="str">
        <x:f>orders!A21</x:f>
        <x:v>ORD-1120</x:v>
      </x:c>
      <x:c r="B21" s="66" t="str">
        <x:f>orders!B21</x:f>
        <x:v>Moda Verona</x:v>
      </x:c>
      <x:c r="C21" s="66" t="str">
        <x:f>orders!C21</x:f>
        <x:v>STY-002-1</x:v>
      </x:c>
      <x:c r="D21" s="66" t="str">
        <x:f>orders!D21</x:f>
        <x:v>Gonna</x:v>
      </x:c>
      <x:c r="E21" s="66" t="str">
        <x:f>orders!J21</x:f>
        <x:v>L7</x:v>
      </x:c>
      <x:c r="F21" s="66" t="str">
        <x:f>orders!K21</x:f>
        <x:v>LN-030</x:v>
      </x:c>
      <x:c r="G21" s="67" t="n">
        <x:f>orders!E21</x:f>
        <x:v>220</x:v>
      </x:c>
      <x:c r="H21" s="67" t="n">
        <x:f>orders!O21</x:f>
        <x:v>18</x:v>
      </x:c>
      <x:c r="I21" s="68" t="n">
        <x:f>orders!P21/60</x:f>
        <x:v>66</x:v>
      </x:c>
      <x:c r="J21" s="69" t="n">
        <x:v>17.8</x:v>
      </x:c>
      <x:c r="K21" s="69" t="n">
        <x:f>I21*J21</x:f>
        <x:v>1174.8</x:v>
      </x:c>
      <x:c r="L21" s="69" t="n">
        <x:v>60</x:v>
      </x:c>
      <x:c r="M21" s="70" t="n">
        <x:v>0.12</x:v>
      </x:c>
      <x:c r="N21" s="69" t="n">
        <x:f>(K21+L21)*M21</x:f>
        <x:v>148.176</x:v>
      </x:c>
      <x:c r="O21" s="71" t="n">
        <x:v>1.25</x:v>
      </x:c>
      <x:c r="P21" s="68" t="n">
        <x:f>MAX(0,(orders!Q21-orders!R21)*8)</x:f>
        <x:v>0</x:v>
      </x:c>
      <x:c r="Q21" s="69" t="n">
        <x:f>P21*(J21*O21)</x:f>
        <x:v>0</x:v>
      </x:c>
      <x:c r="R21" s="69" t="n">
        <x:f>K21+L21+N21+Q21</x:f>
        <x:v>1382.9759999999999</x:v>
      </x:c>
      <x:c r="S21" s="69" t="n">
        <x:f>R21/G21</x:f>
        <x:v>6.286254545454545</x:v>
      </x:c>
      <x:c r="T21" s="69" t="n">
        <x:v>19</x:v>
      </x:c>
      <x:c r="U21" s="69" t="n">
        <x:f>G21*T21</x:f>
        <x:v>4180</x:v>
      </x:c>
      <x:c r="V21" s="69" t="n">
        <x:f>U21-R21</x:f>
        <x:v>2797.0240000000003</x:v>
      </x:c>
      <x:c r="W21" s="70" t="n">
        <x:f>IF(U21=0,0,V21/U21)</x:f>
        <x:v>0.6691444976076556</x:v>
      </x:c>
      <x:c r="X21" s="66" t="str">
        <x:f>IF(W21&lt;0,"UNPROFITABLE",IF(W21&lt;0.15,"MARGIN WATCH","HEALTHY"))</x:f>
        <x:v>HEALTHY</x:v>
      </x:c>
      <x:c r="Y21" s="66" t="str">
        <x:v>L7</x:v>
      </x:c>
      <x:c r="Z21" s="69" t="n">
        <x:v>17.8</x:v>
      </x:c>
      <x:c r="AA21" s="69" t="n">
        <x:f>I21*Z21+L21+((I21*Z21+L21)*M21)</x:f>
        <x:v>1382.9759999999999</x:v>
      </x:c>
      <x:c r="AB21" s="69" t="n">
        <x:f>AA21-R21</x:f>
        <x:v>0</x:v>
      </x:c>
      <x:c r="AC21" s="66" t="str">
        <x:f>IF(W21&lt;0,"RENEGOTIATE / REJECT",IF(AB21&lt;-500,"CONSIDER REALLOCATION",IF(W21&lt;0.15,"MARGIN WATCH","ACCEPT")))</x:f>
        <x:v>ACCEPT</x:v>
      </x:c>
      <x:c r="AD21" s="72" t="str">
        <x:f>IF(Q21&gt;0,"Includes overtime premium",IF(AB21&lt;-500,"Alternative lab materially cheaper","Standard costing"))</x:f>
        <x:v>Standard costing</x:v>
      </x:c>
    </x:row>
    <x:row r="22">
      <x:c r="A22" s="65" t="str">
        <x:f>orders!A22</x:f>
        <x:v>ORD-1121</x:v>
      </x:c>
      <x:c r="B22" s="66" t="str">
        <x:f>orders!B22</x:f>
        <x:v>Atelier Bologna</x:v>
      </x:c>
      <x:c r="C22" s="66" t="str">
        <x:f>orders!C22</x:f>
        <x:v>STY-008-2</x:v>
      </x:c>
      <x:c r="D22" s="66" t="str">
        <x:f>orders!D22</x:f>
        <x:v>Blazer</x:v>
      </x:c>
      <x:c r="E22" s="66" t="str">
        <x:f>orders!J22</x:f>
        <x:v>L9</x:v>
      </x:c>
      <x:c r="F22" s="66" t="str">
        <x:f>orders!K22</x:f>
        <x:v>LN-039</x:v>
      </x:c>
      <x:c r="G22" s="67" t="n">
        <x:f>orders!E22</x:f>
        <x:v>280</x:v>
      </x:c>
      <x:c r="H22" s="67" t="n">
        <x:f>orders!O22</x:f>
        <x:v>63</x:v>
      </x:c>
      <x:c r="I22" s="68" t="n">
        <x:f>orders!P22/60</x:f>
        <x:v>294</x:v>
      </x:c>
      <x:c r="J22" s="69" t="n">
        <x:v>18</x:v>
      </x:c>
      <x:c r="K22" s="69" t="n">
        <x:f>I22*J22</x:f>
        <x:v>5292</x:v>
      </x:c>
      <x:c r="L22" s="69" t="n">
        <x:v>160</x:v>
      </x:c>
      <x:c r="M22" s="70" t="n">
        <x:v>0.16</x:v>
      </x:c>
      <x:c r="N22" s="69" t="n">
        <x:f>(K22+L22)*M22</x:f>
        <x:v>872.32</x:v>
      </x:c>
      <x:c r="O22" s="71" t="n">
        <x:v>1.25</x:v>
      </x:c>
      <x:c r="P22" s="68" t="n">
        <x:f>MAX(0,(orders!Q22-orders!R22)*8)</x:f>
        <x:v>0</x:v>
      </x:c>
      <x:c r="Q22" s="69" t="n">
        <x:f>P22*(J22*O22)</x:f>
        <x:v>0</x:v>
      </x:c>
      <x:c r="R22" s="69" t="n">
        <x:f>K22+L22+N22+Q22</x:f>
        <x:v>6324.32</x:v>
      </x:c>
      <x:c r="S22" s="69" t="n">
        <x:f>R22/G22</x:f>
        <x:v>22.58685714285714</x:v>
      </x:c>
      <x:c r="T22" s="69" t="n">
        <x:v>68</x:v>
      </x:c>
      <x:c r="U22" s="69" t="n">
        <x:f>G22*T22</x:f>
        <x:v>19040</x:v>
      </x:c>
      <x:c r="V22" s="69" t="n">
        <x:f>U22-R22</x:f>
        <x:v>12715.68</x:v>
      </x:c>
      <x:c r="W22" s="70" t="n">
        <x:f>IF(U22=0,0,V22/U22)</x:f>
        <x:v>0.6678403361344538</x:v>
      </x:c>
      <x:c r="X22" s="66" t="str">
        <x:f>IF(W22&lt;0,"UNPROFITABLE",IF(W22&lt;0.15,"MARGIN WATCH","HEALTHY"))</x:f>
        <x:v>HEALTHY</x:v>
      </x:c>
      <x:c r="Y22" s="66" t="str">
        <x:v>L2</x:v>
      </x:c>
      <x:c r="Z22" s="69" t="n">
        <x:v>20.5</x:v>
      </x:c>
      <x:c r="AA22" s="69" t="n">
        <x:f>I22*Z22+L22+((I22*Z22+L22)*M22)</x:f>
        <x:v>7176.92</x:v>
      </x:c>
      <x:c r="AB22" s="69" t="n">
        <x:f>AA22-R22</x:f>
        <x:v>852.6000000000004</x:v>
      </x:c>
      <x:c r="AC22" s="66" t="str">
        <x:f>IF(W22&lt;0,"RENEGOTIATE / REJECT",IF(AB22&lt;-500,"CONSIDER REALLOCATION",IF(W22&lt;0.15,"MARGIN WATCH","ACCEPT")))</x:f>
        <x:v>ACCEPT</x:v>
      </x:c>
      <x:c r="AD22" s="72" t="str">
        <x:f>IF(Q22&gt;0,"Includes overtime premium",IF(AB22&lt;-500,"Alternative lab materially cheaper","Standard costing"))</x:f>
        <x:v>Standard costing</x:v>
      </x:c>
    </x:row>
    <x:row r="23">
      <x:c r="A23" s="65" t="str">
        <x:f>orders!A23</x:f>
        <x:v>ORD-1122</x:v>
      </x:c>
      <x:c r="B23" s="66" t="str">
        <x:f>orders!B23</x:f>
        <x:v>Atelier Bologna</x:v>
      </x:c>
      <x:c r="C23" s="66" t="str">
        <x:f>orders!C23</x:f>
        <x:v>STY-014-2</x:v>
      </x:c>
      <x:c r="D23" s="66" t="str">
        <x:f>orders!D23</x:f>
        <x:v>Bra</x:v>
      </x:c>
      <x:c r="E23" s="66" t="str">
        <x:f>orders!J23</x:f>
        <x:v>L9</x:v>
      </x:c>
      <x:c r="F23" s="66" t="str">
        <x:f>orders!K23</x:f>
        <x:v>LN-039</x:v>
      </x:c>
      <x:c r="G23" s="67" t="n">
        <x:f>orders!E23</x:f>
        <x:v>150</x:v>
      </x:c>
      <x:c r="H23" s="67" t="n">
        <x:f>orders!O23</x:f>
        <x:v>34</x:v>
      </x:c>
      <x:c r="I23" s="68" t="n">
        <x:f>orders!P23/60</x:f>
        <x:v>85</x:v>
      </x:c>
      <x:c r="J23" s="69" t="n">
        <x:v>18</x:v>
      </x:c>
      <x:c r="K23" s="69" t="n">
        <x:f>I23*J23</x:f>
        <x:v>1530</x:v>
      </x:c>
      <x:c r="L23" s="69" t="n">
        <x:v>75</x:v>
      </x:c>
      <x:c r="M23" s="70" t="n">
        <x:v>0.12</x:v>
      </x:c>
      <x:c r="N23" s="69" t="n">
        <x:f>(K23+L23)*M23</x:f>
        <x:v>192.6</x:v>
      </x:c>
      <x:c r="O23" s="71" t="n">
        <x:v>1.25</x:v>
      </x:c>
      <x:c r="P23" s="68" t="n">
        <x:f>MAX(0,(orders!Q23-orders!R23)*8)</x:f>
        <x:v>0</x:v>
      </x:c>
      <x:c r="Q23" s="69" t="n">
        <x:f>P23*(J23*O23)</x:f>
        <x:v>0</x:v>
      </x:c>
      <x:c r="R23" s="69" t="n">
        <x:f>K23+L23+N23+Q23</x:f>
        <x:v>1797.6</x:v>
      </x:c>
      <x:c r="S23" s="69" t="n">
        <x:f>R23/G23</x:f>
        <x:v>11.984</x:v>
      </x:c>
      <x:c r="T23" s="69" t="n">
        <x:v>25</x:v>
      </x:c>
      <x:c r="U23" s="69" t="n">
        <x:f>G23*T23</x:f>
        <x:v>3750</x:v>
      </x:c>
      <x:c r="V23" s="69" t="n">
        <x:f>U23-R23</x:f>
        <x:v>1952.4</x:v>
      </x:c>
      <x:c r="W23" s="70" t="n">
        <x:f>IF(U23=0,0,V23/U23)</x:f>
        <x:v>0.52064</x:v>
      </x:c>
      <x:c r="X23" s="66" t="str">
        <x:f>IF(W23&lt;0,"UNPROFITABLE",IF(W23&lt;0.15,"MARGIN WATCH","HEALTHY"))</x:f>
        <x:v>HEALTHY</x:v>
      </x:c>
      <x:c r="Y23" s="66" t="str">
        <x:v>L7</x:v>
      </x:c>
      <x:c r="Z23" s="69" t="n">
        <x:v>17.8</x:v>
      </x:c>
      <x:c r="AA23" s="69" t="n">
        <x:f>I23*Z23+L23+((I23*Z23+L23)*M23)</x:f>
        <x:v>1778.56</x:v>
      </x:c>
      <x:c r="AB23" s="69" t="n">
        <x:f>AA23-R23</x:f>
        <x:v>-19.039999999999964</x:v>
      </x:c>
      <x:c r="AC23" s="66" t="str">
        <x:f>IF(W23&lt;0,"RENEGOTIATE / REJECT",IF(AB23&lt;-500,"CONSIDER REALLOCATION",IF(W23&lt;0.15,"MARGIN WATCH","ACCEPT")))</x:f>
        <x:v>ACCEPT</x:v>
      </x:c>
      <x:c r="AD23" s="72" t="str">
        <x:f>IF(Q23&gt;0,"Includes overtime premium",IF(AB23&lt;-500,"Alternative lab materially cheaper","Standard costing"))</x:f>
        <x:v>Standard costing</x:v>
      </x:c>
    </x:row>
    <x:row r="24">
      <x:c r="A24" s="65" t="str">
        <x:f>orders!A24</x:f>
        <x:v>ORD-1123</x:v>
      </x:c>
      <x:c r="B24" s="66" t="str">
        <x:f>orders!B24</x:f>
        <x:v>Torino Mode</x:v>
      </x:c>
      <x:c r="C24" s="66" t="str">
        <x:f>orders!C24</x:f>
        <x:v>STY-008-2</x:v>
      </x:c>
      <x:c r="D24" s="66" t="str">
        <x:f>orders!D24</x:f>
        <x:v>Blazer</x:v>
      </x:c>
      <x:c r="E24" s="66" t="str">
        <x:f>orders!J24</x:f>
        <x:v>L10</x:v>
      </x:c>
      <x:c r="F24" s="66" t="str">
        <x:f>orders!K24</x:f>
        <x:v>LN-044</x:v>
      </x:c>
      <x:c r="G24" s="67" t="n">
        <x:f>orders!E24</x:f>
        <x:v>80</x:v>
      </x:c>
      <x:c r="H24" s="67" t="n">
        <x:f>orders!O24</x:f>
        <x:v>63</x:v>
      </x:c>
      <x:c r="I24" s="68" t="n">
        <x:f>orders!P24/60</x:f>
        <x:v>84</x:v>
      </x:c>
      <x:c r="J24" s="69" t="n">
        <x:v>21</x:v>
      </x:c>
      <x:c r="K24" s="69" t="n">
        <x:f>I24*J24</x:f>
        <x:v>1764</x:v>
      </x:c>
      <x:c r="L24" s="69" t="n">
        <x:v>160</x:v>
      </x:c>
      <x:c r="M24" s="70" t="n">
        <x:v>0.16</x:v>
      </x:c>
      <x:c r="N24" s="69" t="n">
        <x:f>(K24+L24)*M24</x:f>
        <x:v>307.84000000000003</x:v>
      </x:c>
      <x:c r="O24" s="71" t="n">
        <x:v>1.35</x:v>
      </x:c>
      <x:c r="P24" s="68" t="n">
        <x:f>MAX(0,(orders!Q24-orders!R24)*8)</x:f>
        <x:v>0</x:v>
      </x:c>
      <x:c r="Q24" s="69" t="n">
        <x:f>P24*(J24*O24)</x:f>
        <x:v>0</x:v>
      </x:c>
      <x:c r="R24" s="69" t="n">
        <x:f>K24+L24+N24+Q24</x:f>
        <x:v>2231.84</x:v>
      </x:c>
      <x:c r="S24" s="69" t="n">
        <x:f>R24/G24</x:f>
        <x:v>27.898000000000003</x:v>
      </x:c>
      <x:c r="T24" s="69" t="n">
        <x:v>68</x:v>
      </x:c>
      <x:c r="U24" s="69" t="n">
        <x:f>G24*T24</x:f>
        <x:v>5440</x:v>
      </x:c>
      <x:c r="V24" s="69" t="n">
        <x:f>U24-R24</x:f>
        <x:v>3208.16</x:v>
      </x:c>
      <x:c r="W24" s="70" t="n">
        <x:f>IF(U24=0,0,V24/U24)</x:f>
        <x:v>0.589735294117647</x:v>
      </x:c>
      <x:c r="X24" s="66" t="str">
        <x:f>IF(W24&lt;0,"UNPROFITABLE",IF(W24&lt;0.15,"MARGIN WATCH","HEALTHY"))</x:f>
        <x:v>HEALTHY</x:v>
      </x:c>
      <x:c r="Y24" s="66" t="str">
        <x:v>L2</x:v>
      </x:c>
      <x:c r="Z24" s="69" t="n">
        <x:v>20.5</x:v>
      </x:c>
      <x:c r="AA24" s="69" t="n">
        <x:f>I24*Z24+L24+((I24*Z24+L24)*M24)</x:f>
        <x:v>2183.12</x:v>
      </x:c>
      <x:c r="AB24" s="69" t="n">
        <x:f>AA24-R24</x:f>
        <x:v>-48.720000000000255</x:v>
      </x:c>
      <x:c r="AC24" s="66" t="str">
        <x:f>IF(W24&lt;0,"RENEGOTIATE / REJECT",IF(AB24&lt;-500,"CONSIDER REALLOCATION",IF(W24&lt;0.15,"MARGIN WATCH","ACCEPT")))</x:f>
        <x:v>ACCEPT</x:v>
      </x:c>
      <x:c r="AD24" s="72" t="str">
        <x:f>IF(Q24&gt;0,"Includes overtime premium",IF(AB24&lt;-500,"Alternative lab materially cheaper","Standard costing"))</x:f>
        <x:v>Standard costing</x:v>
      </x:c>
    </x:row>
    <x:row r="25">
      <x:c r="A25" s="65" t="str">
        <x:f>orders!A25</x:f>
        <x:v>ORD-1124</x:v>
      </x:c>
      <x:c r="B25" s="66" t="str">
        <x:f>orders!B25</x:f>
        <x:v>Maison Milano</x:v>
      </x:c>
      <x:c r="C25" s="66" t="str">
        <x:f>orders!C25</x:f>
        <x:v>STY-004-1</x:v>
      </x:c>
      <x:c r="D25" s="66" t="str">
        <x:f>orders!D25</x:f>
        <x:v>Abito</x:v>
      </x:c>
      <x:c r="E25" s="66" t="str">
        <x:f>orders!J25</x:f>
        <x:v>L8</x:v>
      </x:c>
      <x:c r="F25" s="66" t="str">
        <x:f>orders!K25</x:f>
        <x:v>LN-035</x:v>
      </x:c>
      <x:c r="G25" s="67" t="n">
        <x:f>orders!E25</x:f>
        <x:v>320</x:v>
      </x:c>
      <x:c r="H25" s="67" t="n">
        <x:f>orders!O25</x:f>
        <x:v>50</x:v>
      </x:c>
      <x:c r="I25" s="68" t="n">
        <x:f>orders!P25/60</x:f>
        <x:v>266.6666666666667</x:v>
      </x:c>
      <x:c r="J25" s="69" t="n">
        <x:v>20</x:v>
      </x:c>
      <x:c r="K25" s="69" t="n">
        <x:f>I25*J25</x:f>
        <x:v>5333.333333333334</x:v>
      </x:c>
      <x:c r="L25" s="69" t="n">
        <x:v>120</x:v>
      </x:c>
      <x:c r="M25" s="70" t="n">
        <x:v>0.15</x:v>
      </x:c>
      <x:c r="N25" s="69" t="n">
        <x:f>(K25+L25)*M25</x:f>
        <x:v>818.0000000000001</x:v>
      </x:c>
      <x:c r="O25" s="71" t="n">
        <x:v>1.3</x:v>
      </x:c>
      <x:c r="P25" s="68" t="n">
        <x:f>MAX(0,(orders!Q25-orders!R25)*8)</x:f>
        <x:v>0</x:v>
      </x:c>
      <x:c r="Q25" s="69" t="n">
        <x:f>P25*(J25*O25)</x:f>
        <x:v>0</x:v>
      </x:c>
      <x:c r="R25" s="69" t="n">
        <x:f>K25+L25+N25+Q25</x:f>
        <x:v>6271.333333333334</x:v>
      </x:c>
      <x:c r="S25" s="69" t="n">
        <x:f>R25/G25</x:f>
        <x:v>19.59791666666667</x:v>
      </x:c>
      <x:c r="T25" s="69" t="n">
        <x:v>52</x:v>
      </x:c>
      <x:c r="U25" s="69" t="n">
        <x:f>G25*T25</x:f>
        <x:v>16640</x:v>
      </x:c>
      <x:c r="V25" s="69" t="n">
        <x:f>U25-R25</x:f>
        <x:v>10368.666666666666</x:v>
      </x:c>
      <x:c r="W25" s="70" t="n">
        <x:f>IF(U25=0,0,V25/U25)</x:f>
        <x:v>0.6231169871794872</x:v>
      </x:c>
      <x:c r="X25" s="66" t="str">
        <x:f>IF(W25&lt;0,"UNPROFITABLE",IF(W25&lt;0.15,"MARGIN WATCH","HEALTHY"))</x:f>
        <x:v>HEALTHY</x:v>
      </x:c>
      <x:c r="Y25" s="66" t="str">
        <x:v>L3</x:v>
      </x:c>
      <x:c r="Z25" s="69" t="n">
        <x:v>19</x:v>
      </x:c>
      <x:c r="AA25" s="69" t="n">
        <x:f>I25*Z25+L25+((I25*Z25+L25)*M25)</x:f>
        <x:v>5964.666666666667</x:v>
      </x:c>
      <x:c r="AB25" s="69" t="n">
        <x:f>AA25-R25</x:f>
        <x:v>-306.66666666666697</x:v>
      </x:c>
      <x:c r="AC25" s="66" t="str">
        <x:f>IF(W25&lt;0,"RENEGOTIATE / REJECT",IF(AB25&lt;-500,"CONSIDER REALLOCATION",IF(W25&lt;0.15,"MARGIN WATCH","ACCEPT")))</x:f>
        <x:v>ACCEPT</x:v>
      </x:c>
      <x:c r="AD25" s="72" t="str">
        <x:f>IF(Q25&gt;0,"Includes overtime premium",IF(AB25&lt;-500,"Alternative lab materially cheaper","Standard costing"))</x:f>
        <x:v>Standard costing</x:v>
      </x:c>
    </x:row>
    <x:row r="26">
      <x:c r="A26" s="65" t="str">
        <x:f>orders!A26</x:f>
        <x:v>ORD-1125</x:v>
      </x:c>
      <x:c r="B26" s="66" t="str">
        <x:f>orders!B26</x:f>
        <x:v>Bari Concept</x:v>
      </x:c>
      <x:c r="C26" s="66" t="str">
        <x:f>orders!C26</x:f>
        <x:v>STY-003-1</x:v>
      </x:c>
      <x:c r="D26" s="66" t="str">
        <x:f>orders!D26</x:f>
        <x:v>Camicia</x:v>
      </x:c>
      <x:c r="E26" s="66" t="str">
        <x:f>orders!J26</x:f>
        <x:v>L6</x:v>
      </x:c>
      <x:c r="F26" s="66" t="str">
        <x:f>orders!K26</x:f>
        <x:v>LN-026</x:v>
      </x:c>
      <x:c r="G26" s="67" t="n">
        <x:f>orders!E26</x:f>
        <x:v>280</x:v>
      </x:c>
      <x:c r="H26" s="67" t="n">
        <x:f>orders!O26</x:f>
        <x:v>28</x:v>
      </x:c>
      <x:c r="I26" s="68" t="n">
        <x:f>orders!P26/60</x:f>
        <x:v>130.66666666666666</x:v>
      </x:c>
      <x:c r="J26" s="69" t="n">
        <x:v>23</x:v>
      </x:c>
      <x:c r="K26" s="69" t="n">
        <x:f>I26*J26</x:f>
        <x:v>3005.333333333333</x:v>
      </x:c>
      <x:c r="L26" s="69" t="n">
        <x:v>70</x:v>
      </x:c>
      <x:c r="M26" s="70" t="n">
        <x:v>0.13</x:v>
      </x:c>
      <x:c r="N26" s="69" t="n">
        <x:f>(K26+L26)*M26</x:f>
        <x:v>399.7933333333333</x:v>
      </x:c>
      <x:c r="O26" s="71" t="n">
        <x:v>1.4</x:v>
      </x:c>
      <x:c r="P26" s="68" t="n">
        <x:f>MAX(0,(orders!Q26-orders!R26)*8)</x:f>
        <x:v>0</x:v>
      </x:c>
      <x:c r="Q26" s="69" t="n">
        <x:f>P26*(J26*O26)</x:f>
        <x:v>0</x:v>
      </x:c>
      <x:c r="R26" s="69" t="n">
        <x:f>K26+L26+N26+Q26</x:f>
        <x:v>3475.126666666666</x:v>
      </x:c>
      <x:c r="S26" s="69" t="n">
        <x:f>R26/G26</x:f>
        <x:v>12.411166666666665</x:v>
      </x:c>
      <x:c r="T26" s="69" t="n">
        <x:v>30</x:v>
      </x:c>
      <x:c r="U26" s="69" t="n">
        <x:f>G26*T26</x:f>
        <x:v>8400</x:v>
      </x:c>
      <x:c r="V26" s="69" t="n">
        <x:f>U26-R26</x:f>
        <x:v>4924.873333333334</x:v>
      </x:c>
      <x:c r="W26" s="70" t="n">
        <x:f>IF(U26=0,0,V26/U26)</x:f>
        <x:v>0.5862944444444446</x:v>
      </x:c>
      <x:c r="X26" s="66" t="str">
        <x:f>IF(W26&lt;0,"UNPROFITABLE",IF(W26&lt;0.15,"MARGIN WATCH","HEALTHY"))</x:f>
        <x:v>HEALTHY</x:v>
      </x:c>
      <x:c r="Y26" s="66" t="str">
        <x:v>L9</x:v>
      </x:c>
      <x:c r="Z26" s="69" t="n">
        <x:v>18</x:v>
      </x:c>
      <x:c r="AA26" s="69" t="n">
        <x:f>I26*Z26+L26+((I26*Z26+L26)*M26)</x:f>
        <x:v>2736.86</x:v>
      </x:c>
      <x:c r="AB26" s="69" t="n">
        <x:f>AA26-R26</x:f>
        <x:v>-738.266666666666</x:v>
      </x:c>
      <x:c r="AC26" s="66" t="str">
        <x:f>IF(W26&lt;0,"RENEGOTIATE / REJECT",IF(AB26&lt;-500,"CONSIDER REALLOCATION",IF(W26&lt;0.15,"MARGIN WATCH","ACCEPT")))</x:f>
        <x:v>CONSIDER REALLOCATION</x:v>
      </x:c>
      <x:c r="AD26" s="72" t="str">
        <x:f>IF(Q26&gt;0,"Includes overtime premium",IF(AB26&lt;-500,"Alternative lab materially cheaper","Standard costing"))</x:f>
        <x:v>Alternative lab materially cheaper</x:v>
      </x:c>
    </x:row>
    <x:row r="27">
      <x:c r="A27" s="65" t="str">
        <x:f>orders!A27</x:f>
        <x:v>ORD-1126</x:v>
      </x:c>
      <x:c r="B27" s="66" t="str">
        <x:f>orders!B27</x:f>
        <x:v>Casa Palermo</x:v>
      </x:c>
      <x:c r="C27" s="66" t="str">
        <x:f>orders!C27</x:f>
        <x:v>STY-015-2</x:v>
      </x:c>
      <x:c r="D27" s="66" t="str">
        <x:f>orders!D27</x:f>
        <x:v>Boxer</x:v>
      </x:c>
      <x:c r="E27" s="66" t="str">
        <x:f>orders!J27</x:f>
        <x:v>L9</x:v>
      </x:c>
      <x:c r="F27" s="66" t="str">
        <x:f>orders!K27</x:f>
        <x:v>LN-039</x:v>
      </x:c>
      <x:c r="G27" s="67" t="n">
        <x:f>orders!E27</x:f>
        <x:v>300</x:v>
      </x:c>
      <x:c r="H27" s="67" t="n">
        <x:f>orders!O27</x:f>
        <x:v>30</x:v>
      </x:c>
      <x:c r="I27" s="68" t="n">
        <x:f>orders!P27/60</x:f>
        <x:v>150</x:v>
      </x:c>
      <x:c r="J27" s="69" t="n">
        <x:v>18</x:v>
      </x:c>
      <x:c r="K27" s="69" t="n">
        <x:f>I27*J27</x:f>
        <x:v>2700</x:v>
      </x:c>
      <x:c r="L27" s="69" t="n">
        <x:v>75</x:v>
      </x:c>
      <x:c r="M27" s="70" t="n">
        <x:v>0.12</x:v>
      </x:c>
      <x:c r="N27" s="69" t="n">
        <x:f>(K27+L27)*M27</x:f>
        <x:v>333</x:v>
      </x:c>
      <x:c r="O27" s="71" t="n">
        <x:v>1.25</x:v>
      </x:c>
      <x:c r="P27" s="68" t="n">
        <x:f>MAX(0,(orders!Q27-orders!R27)*8)</x:f>
        <x:v>0</x:v>
      </x:c>
      <x:c r="Q27" s="69" t="n">
        <x:f>P27*(J27*O27)</x:f>
        <x:v>0</x:v>
      </x:c>
      <x:c r="R27" s="69" t="n">
        <x:f>K27+L27+N27+Q27</x:f>
        <x:v>3108</x:v>
      </x:c>
      <x:c r="S27" s="69" t="n">
        <x:f>R27/G27</x:f>
        <x:v>10.36</x:v>
      </x:c>
      <x:c r="T27" s="69" t="n">
        <x:v>25</x:v>
      </x:c>
      <x:c r="U27" s="69" t="n">
        <x:f>G27*T27</x:f>
        <x:v>7500</x:v>
      </x:c>
      <x:c r="V27" s="69" t="n">
        <x:f>U27-R27</x:f>
        <x:v>4392</x:v>
      </x:c>
      <x:c r="W27" s="70" t="n">
        <x:f>IF(U27=0,0,V27/U27)</x:f>
        <x:v>0.5856</x:v>
      </x:c>
      <x:c r="X27" s="66" t="str">
        <x:f>IF(W27&lt;0,"UNPROFITABLE",IF(W27&lt;0.15,"MARGIN WATCH","HEALTHY"))</x:f>
        <x:v>HEALTHY</x:v>
      </x:c>
      <x:c r="Y27" s="66" t="str">
        <x:v>L7</x:v>
      </x:c>
      <x:c r="Z27" s="69" t="n">
        <x:v>17.8</x:v>
      </x:c>
      <x:c r="AA27" s="69" t="n">
        <x:f>I27*Z27+L27+((I27*Z27+L27)*M27)</x:f>
        <x:v>3074.4</x:v>
      </x:c>
      <x:c r="AB27" s="69" t="n">
        <x:f>AA27-R27</x:f>
        <x:v>-33.59999999999991</x:v>
      </x:c>
      <x:c r="AC27" s="66" t="str">
        <x:f>IF(W27&lt;0,"RENEGOTIATE / REJECT",IF(AB27&lt;-500,"CONSIDER REALLOCATION",IF(W27&lt;0.15,"MARGIN WATCH","ACCEPT")))</x:f>
        <x:v>ACCEPT</x:v>
      </x:c>
      <x:c r="AD27" s="72" t="str">
        <x:f>IF(Q27&gt;0,"Includes overtime premium",IF(AB27&lt;-500,"Alternative lab materially cheaper","Standard costing"))</x:f>
        <x:v>Standard costing</x:v>
      </x:c>
    </x:row>
    <x:row r="28">
      <x:c r="A28" s="65" t="str">
        <x:f>orders!A28</x:f>
        <x:v>ORD-1127</x:v>
      </x:c>
      <x:c r="B28" s="66" t="str">
        <x:f>orders!B28</x:f>
        <x:v>Torino Mode</x:v>
      </x:c>
      <x:c r="C28" s="66" t="str">
        <x:f>orders!C28</x:f>
        <x:v>STY-003-1</x:v>
      </x:c>
      <x:c r="D28" s="66" t="str">
        <x:f>orders!D28</x:f>
        <x:v>Camicia</x:v>
      </x:c>
      <x:c r="E28" s="66" t="str">
        <x:f>orders!J28</x:f>
        <x:v>L9</x:v>
      </x:c>
      <x:c r="F28" s="66" t="str">
        <x:f>orders!K28</x:f>
        <x:v>LN-039</x:v>
      </x:c>
      <x:c r="G28" s="67" t="n">
        <x:f>orders!E28</x:f>
        <x:v>1000</x:v>
      </x:c>
      <x:c r="H28" s="67" t="n">
        <x:f>orders!O28</x:f>
        <x:v>28</x:v>
      </x:c>
      <x:c r="I28" s="68" t="n">
        <x:f>orders!P28/60</x:f>
        <x:v>466.6666666666667</x:v>
      </x:c>
      <x:c r="J28" s="69" t="n">
        <x:v>18</x:v>
      </x:c>
      <x:c r="K28" s="69" t="n">
        <x:f>I28*J28</x:f>
        <x:v>8400</x:v>
      </x:c>
      <x:c r="L28" s="69" t="n">
        <x:v>70</x:v>
      </x:c>
      <x:c r="M28" s="70" t="n">
        <x:v>0.13</x:v>
      </x:c>
      <x:c r="N28" s="69" t="n">
        <x:f>(K28+L28)*M28</x:f>
        <x:v>1101.1000000000001</x:v>
      </x:c>
      <x:c r="O28" s="71" t="n">
        <x:v>1.25</x:v>
      </x:c>
      <x:c r="P28" s="68" t="n">
        <x:f>MAX(0,(orders!Q28-orders!R28)*8)</x:f>
        <x:v>0</x:v>
      </x:c>
      <x:c r="Q28" s="69" t="n">
        <x:f>P28*(J28*O28)</x:f>
        <x:v>0</x:v>
      </x:c>
      <x:c r="R28" s="69" t="n">
        <x:f>K28+L28+N28+Q28</x:f>
        <x:v>9571.1</x:v>
      </x:c>
      <x:c r="S28" s="69" t="n">
        <x:f>R28/G28</x:f>
        <x:v>9.5711</x:v>
      </x:c>
      <x:c r="T28" s="69" t="n">
        <x:v>30</x:v>
      </x:c>
      <x:c r="U28" s="69" t="n">
        <x:f>G28*T28</x:f>
        <x:v>30000</x:v>
      </x:c>
      <x:c r="V28" s="69" t="n">
        <x:f>U28-R28</x:f>
        <x:v>20428.9</x:v>
      </x:c>
      <x:c r="W28" s="70" t="n">
        <x:f>IF(U28=0,0,V28/U28)</x:f>
        <x:v>0.6809633333333334</x:v>
      </x:c>
      <x:c r="X28" s="66" t="str">
        <x:f>IF(W28&lt;0,"UNPROFITABLE",IF(W28&lt;0.15,"MARGIN WATCH","HEALTHY"))</x:f>
        <x:v>HEALTHY</x:v>
      </x:c>
      <x:c r="Y28" s="66" t="str">
        <x:v>L9</x:v>
      </x:c>
      <x:c r="Z28" s="69" t="n">
        <x:v>18</x:v>
      </x:c>
      <x:c r="AA28" s="69" t="n">
        <x:f>I28*Z28+L28+((I28*Z28+L28)*M28)</x:f>
        <x:v>9571.1</x:v>
      </x:c>
      <x:c r="AB28" s="69" t="n">
        <x:f>AA28-R28</x:f>
        <x:v>0</x:v>
      </x:c>
      <x:c r="AC28" s="66" t="str">
        <x:f>IF(W28&lt;0,"RENEGOTIATE / REJECT",IF(AB28&lt;-500,"CONSIDER REALLOCATION",IF(W28&lt;0.15,"MARGIN WATCH","ACCEPT")))</x:f>
        <x:v>ACCEPT</x:v>
      </x:c>
      <x:c r="AD28" s="72" t="str">
        <x:f>IF(Q28&gt;0,"Includes overtime premium",IF(AB28&lt;-500,"Alternative lab materially cheaper","Standard costing"))</x:f>
        <x:v>Standard costing</x:v>
      </x:c>
    </x:row>
    <x:row r="29">
      <x:c r="A29" s="65" t="str">
        <x:f>orders!A29</x:f>
        <x:v>ORD-1128</x:v>
      </x:c>
      <x:c r="B29" s="66" t="str">
        <x:f>orders!B29</x:f>
        <x:v>Sartoria Napoli</x:v>
      </x:c>
      <x:c r="C29" s="66" t="str">
        <x:f>orders!C29</x:f>
        <x:v>STY-016-1</x:v>
      </x:c>
      <x:c r="D29" s="66" t="str">
        <x:f>orders!D29</x:f>
        <x:v>Baby doll</x:v>
      </x:c>
      <x:c r="E29" s="66" t="str">
        <x:f>orders!J29</x:f>
        <x:v>L9</x:v>
      </x:c>
      <x:c r="F29" s="66" t="str">
        <x:f>orders!K29</x:f>
        <x:v>LN-039</x:v>
      </x:c>
      <x:c r="G29" s="67" t="n">
        <x:f>orders!E29</x:f>
        <x:v>150</x:v>
      </x:c>
      <x:c r="H29" s="67" t="n">
        <x:f>orders!O29</x:f>
        <x:v>37</x:v>
      </x:c>
      <x:c r="I29" s="68" t="n">
        <x:f>orders!P29/60</x:f>
        <x:v>92.5</x:v>
      </x:c>
      <x:c r="J29" s="69" t="n">
        <x:v>18</x:v>
      </x:c>
      <x:c r="K29" s="69" t="n">
        <x:f>I29*J29</x:f>
        <x:v>1665</x:v>
      </x:c>
      <x:c r="L29" s="69" t="n">
        <x:v>75</x:v>
      </x:c>
      <x:c r="M29" s="70" t="n">
        <x:v>0.12</x:v>
      </x:c>
      <x:c r="N29" s="69" t="n">
        <x:f>(K29+L29)*M29</x:f>
        <x:v>208.79999999999998</x:v>
      </x:c>
      <x:c r="O29" s="71" t="n">
        <x:v>1.25</x:v>
      </x:c>
      <x:c r="P29" s="68" t="n">
        <x:f>MAX(0,(orders!Q29-orders!R29)*8)</x:f>
        <x:v>0</x:v>
      </x:c>
      <x:c r="Q29" s="69" t="n">
        <x:f>P29*(J29*O29)</x:f>
        <x:v>0</x:v>
      </x:c>
      <x:c r="R29" s="69" t="n">
        <x:f>K29+L29+N29+Q29</x:f>
        <x:v>1948.8</x:v>
      </x:c>
      <x:c r="S29" s="69" t="n">
        <x:f>R29/G29</x:f>
        <x:v>12.991999999999999</x:v>
      </x:c>
      <x:c r="T29" s="69" t="n">
        <x:v>25</x:v>
      </x:c>
      <x:c r="U29" s="69" t="n">
        <x:f>G29*T29</x:f>
        <x:v>3750</x:v>
      </x:c>
      <x:c r="V29" s="69" t="n">
        <x:f>U29-R29</x:f>
        <x:v>1801.2</x:v>
      </x:c>
      <x:c r="W29" s="70" t="n">
        <x:f>IF(U29=0,0,V29/U29)</x:f>
        <x:v>0.48032</x:v>
      </x:c>
      <x:c r="X29" s="66" t="str">
        <x:f>IF(W29&lt;0,"UNPROFITABLE",IF(W29&lt;0.15,"MARGIN WATCH","HEALTHY"))</x:f>
        <x:v>HEALTHY</x:v>
      </x:c>
      <x:c r="Y29" s="66" t="str">
        <x:v>L7</x:v>
      </x:c>
      <x:c r="Z29" s="69" t="n">
        <x:v>17.8</x:v>
      </x:c>
      <x:c r="AA29" s="69" t="n">
        <x:f>I29*Z29+L29+((I29*Z29+L29)*M29)</x:f>
        <x:v>1928.08</x:v>
      </x:c>
      <x:c r="AB29" s="69" t="n">
        <x:f>AA29-R29</x:f>
        <x:v>-20.720000000000027</x:v>
      </x:c>
      <x:c r="AC29" s="66" t="str">
        <x:f>IF(W29&lt;0,"RENEGOTIATE / REJECT",IF(AB29&lt;-500,"CONSIDER REALLOCATION",IF(W29&lt;0.15,"MARGIN WATCH","ACCEPT")))</x:f>
        <x:v>ACCEPT</x:v>
      </x:c>
      <x:c r="AD29" s="72" t="str">
        <x:f>IF(Q29&gt;0,"Includes overtime premium",IF(AB29&lt;-500,"Alternative lab materially cheaper","Standard costing"))</x:f>
        <x:v>Standard costing</x:v>
      </x:c>
    </x:row>
    <x:row r="30">
      <x:c r="A30" s="65" t="str">
        <x:f>orders!A30</x:f>
        <x:v>ORD-1129</x:v>
      </x:c>
      <x:c r="B30" s="66" t="str">
        <x:f>orders!B30</x:f>
        <x:v>Maison Milano</x:v>
      </x:c>
      <x:c r="C30" s="66" t="str">
        <x:f>orders!C30</x:f>
        <x:v>STY-015-1</x:v>
      </x:c>
      <x:c r="D30" s="66" t="str">
        <x:f>orders!D30</x:f>
        <x:v>Boxer</x:v>
      </x:c>
      <x:c r="E30" s="66" t="str">
        <x:f>orders!J30</x:f>
        <x:v>L7</x:v>
      </x:c>
      <x:c r="F30" s="66" t="str">
        <x:f>orders!K30</x:f>
        <x:v>LN-030</x:v>
      </x:c>
      <x:c r="G30" s="67" t="n">
        <x:f>orders!E30</x:f>
        <x:v>300</x:v>
      </x:c>
      <x:c r="H30" s="67" t="n">
        <x:f>orders!O30</x:f>
        <x:v>39</x:v>
      </x:c>
      <x:c r="I30" s="68" t="n">
        <x:f>orders!P30/60</x:f>
        <x:v>195</x:v>
      </x:c>
      <x:c r="J30" s="69" t="n">
        <x:v>17.8</x:v>
      </x:c>
      <x:c r="K30" s="69" t="n">
        <x:f>I30*J30</x:f>
        <x:v>3471</x:v>
      </x:c>
      <x:c r="L30" s="69" t="n">
        <x:v>75</x:v>
      </x:c>
      <x:c r="M30" s="70" t="n">
        <x:v>0.12</x:v>
      </x:c>
      <x:c r="N30" s="69" t="n">
        <x:f>(K30+L30)*M30</x:f>
        <x:v>425.52</x:v>
      </x:c>
      <x:c r="O30" s="71" t="n">
        <x:v>1.25</x:v>
      </x:c>
      <x:c r="P30" s="68" t="n">
        <x:f>MAX(0,(orders!Q30-orders!R30)*8)</x:f>
        <x:v>0</x:v>
      </x:c>
      <x:c r="Q30" s="69" t="n">
        <x:f>P30*(J30*O30)</x:f>
        <x:v>0</x:v>
      </x:c>
      <x:c r="R30" s="69" t="n">
        <x:f>K30+L30+N30+Q30</x:f>
        <x:v>3971.52</x:v>
      </x:c>
      <x:c r="S30" s="69" t="n">
        <x:f>R30/G30</x:f>
        <x:v>13.2384</x:v>
      </x:c>
      <x:c r="T30" s="69" t="n">
        <x:v>25</x:v>
      </x:c>
      <x:c r="U30" s="69" t="n">
        <x:f>G30*T30</x:f>
        <x:v>7500</x:v>
      </x:c>
      <x:c r="V30" s="69" t="n">
        <x:f>U30-R30</x:f>
        <x:v>3528.48</x:v>
      </x:c>
      <x:c r="W30" s="70" t="n">
        <x:f>IF(U30=0,0,V30/U30)</x:f>
        <x:v>0.470464</x:v>
      </x:c>
      <x:c r="X30" s="66" t="str">
        <x:f>IF(W30&lt;0,"UNPROFITABLE",IF(W30&lt;0.15,"MARGIN WATCH","HEALTHY"))</x:f>
        <x:v>HEALTHY</x:v>
      </x:c>
      <x:c r="Y30" s="66" t="str">
        <x:v>L7</x:v>
      </x:c>
      <x:c r="Z30" s="69" t="n">
        <x:v>17.8</x:v>
      </x:c>
      <x:c r="AA30" s="69" t="n">
        <x:f>I30*Z30+L30+((I30*Z30+L30)*M30)</x:f>
        <x:v>3971.52</x:v>
      </x:c>
      <x:c r="AB30" s="69" t="n">
        <x:f>AA30-R30</x:f>
        <x:v>0</x:v>
      </x:c>
      <x:c r="AC30" s="66" t="str">
        <x:f>IF(W30&lt;0,"RENEGOTIATE / REJECT",IF(AB30&lt;-500,"CONSIDER REALLOCATION",IF(W30&lt;0.15,"MARGIN WATCH","ACCEPT")))</x:f>
        <x:v>ACCEPT</x:v>
      </x:c>
      <x:c r="AD30" s="72" t="str">
        <x:f>IF(Q30&gt;0,"Includes overtime premium",IF(AB30&lt;-500,"Alternative lab materially cheaper","Standard costing"))</x:f>
        <x:v>Standard costing</x:v>
      </x:c>
    </x:row>
    <x:row r="31">
      <x:c r="A31" s="65" t="str">
        <x:f>orders!A31</x:f>
        <x:v>ORD-1130</x:v>
      </x:c>
      <x:c r="B31" s="66" t="str">
        <x:f>orders!B31</x:f>
        <x:v>Casa Palermo</x:v>
      </x:c>
      <x:c r="C31" s="66" t="str">
        <x:f>orders!C31</x:f>
        <x:v>STY-013-2</x:v>
      </x:c>
      <x:c r="D31" s="66" t="str">
        <x:f>orders!D31</x:f>
        <x:v>Slip</x:v>
      </x:c>
      <x:c r="E31" s="66" t="str">
        <x:f>orders!J31</x:f>
        <x:v>L9</x:v>
      </x:c>
      <x:c r="F31" s="66" t="str">
        <x:f>orders!K31</x:f>
        <x:v>LN-039</x:v>
      </x:c>
      <x:c r="G31" s="67" t="n">
        <x:f>orders!E31</x:f>
        <x:v>500</x:v>
      </x:c>
      <x:c r="H31" s="67" t="n">
        <x:f>orders!O31</x:f>
        <x:v>34</x:v>
      </x:c>
      <x:c r="I31" s="68" t="n">
        <x:f>orders!P31/60</x:f>
        <x:v>283.3333333333333</x:v>
      </x:c>
      <x:c r="J31" s="69" t="n">
        <x:v>18</x:v>
      </x:c>
      <x:c r="K31" s="69" t="n">
        <x:f>I31*J31</x:f>
        <x:v>5100</x:v>
      </x:c>
      <x:c r="L31" s="69" t="n">
        <x:v>75</x:v>
      </x:c>
      <x:c r="M31" s="70" t="n">
        <x:v>0.12</x:v>
      </x:c>
      <x:c r="N31" s="69" t="n">
        <x:f>(K31+L31)*M31</x:f>
        <x:v>621</x:v>
      </x:c>
      <x:c r="O31" s="71" t="n">
        <x:v>1.25</x:v>
      </x:c>
      <x:c r="P31" s="68" t="n">
        <x:f>MAX(0,(orders!Q31-orders!R31)*8)</x:f>
        <x:v>0</x:v>
      </x:c>
      <x:c r="Q31" s="69" t="n">
        <x:f>P31*(J31*O31)</x:f>
        <x:v>0</x:v>
      </x:c>
      <x:c r="R31" s="69" t="n">
        <x:f>K31+L31+N31+Q31</x:f>
        <x:v>5796</x:v>
      </x:c>
      <x:c r="S31" s="69" t="n">
        <x:f>R31/G31</x:f>
        <x:v>11.592</x:v>
      </x:c>
      <x:c r="T31" s="69" t="n">
        <x:v>25</x:v>
      </x:c>
      <x:c r="U31" s="69" t="n">
        <x:f>G31*T31</x:f>
        <x:v>12500</x:v>
      </x:c>
      <x:c r="V31" s="69" t="n">
        <x:f>U31-R31</x:f>
        <x:v>6704</x:v>
      </x:c>
      <x:c r="W31" s="70" t="n">
        <x:f>IF(U31=0,0,V31/U31)</x:f>
        <x:v>0.53632</x:v>
      </x:c>
      <x:c r="X31" s="66" t="str">
        <x:f>IF(W31&lt;0,"UNPROFITABLE",IF(W31&lt;0.15,"MARGIN WATCH","HEALTHY"))</x:f>
        <x:v>HEALTHY</x:v>
      </x:c>
      <x:c r="Y31" s="66" t="str">
        <x:v>L7</x:v>
      </x:c>
      <x:c r="Z31" s="69" t="n">
        <x:v>17.8</x:v>
      </x:c>
      <x:c r="AA31" s="69" t="n">
        <x:f>I31*Z31+L31+((I31*Z31+L31)*M31)</x:f>
        <x:v>5732.533333333333</x:v>
      </x:c>
      <x:c r="AB31" s="69" t="n">
        <x:f>AA31-R31</x:f>
        <x:v>-63.46666666666715</x:v>
      </x:c>
      <x:c r="AC31" s="66" t="str">
        <x:f>IF(W31&lt;0,"RENEGOTIATE / REJECT",IF(AB31&lt;-500,"CONSIDER REALLOCATION",IF(W31&lt;0.15,"MARGIN WATCH","ACCEPT")))</x:f>
        <x:v>ACCEPT</x:v>
      </x:c>
      <x:c r="AD31" s="72" t="str">
        <x:f>IF(Q31&gt;0,"Includes overtime premium",IF(AB31&lt;-500,"Alternative lab materially cheaper","Standard costing"))</x:f>
        <x:v>Standard costing</x:v>
      </x:c>
    </x:row>
    <x:row r="32">
      <x:c r="A32" s="65" t="str">
        <x:f>orders!A32</x:f>
        <x:v>ORD-1131</x:v>
      </x:c>
      <x:c r="B32" s="66" t="str">
        <x:f>orders!B32</x:f>
        <x:v>Torino Mode</x:v>
      </x:c>
      <x:c r="C32" s="66" t="str">
        <x:f>orders!C32</x:f>
        <x:v>STY-013-1</x:v>
      </x:c>
      <x:c r="D32" s="66" t="str">
        <x:f>orders!D32</x:f>
        <x:v>Slip</x:v>
      </x:c>
      <x:c r="E32" s="66" t="str">
        <x:f>orders!J32</x:f>
        <x:v>L7</x:v>
      </x:c>
      <x:c r="F32" s="66" t="str">
        <x:f>orders!K32</x:f>
        <x:v>LN-030</x:v>
      </x:c>
      <x:c r="G32" s="67" t="n">
        <x:f>orders!E32</x:f>
        <x:v>300</x:v>
      </x:c>
      <x:c r="H32" s="67" t="n">
        <x:f>orders!O32</x:f>
        <x:v>26</x:v>
      </x:c>
      <x:c r="I32" s="68" t="n">
        <x:f>orders!P32/60</x:f>
        <x:v>130</x:v>
      </x:c>
      <x:c r="J32" s="69" t="n">
        <x:v>17.8</x:v>
      </x:c>
      <x:c r="K32" s="69" t="n">
        <x:f>I32*J32</x:f>
        <x:v>2314</x:v>
      </x:c>
      <x:c r="L32" s="69" t="n">
        <x:v>75</x:v>
      </x:c>
      <x:c r="M32" s="70" t="n">
        <x:v>0.12</x:v>
      </x:c>
      <x:c r="N32" s="69" t="n">
        <x:f>(K32+L32)*M32</x:f>
        <x:v>286.68</x:v>
      </x:c>
      <x:c r="O32" s="71" t="n">
        <x:v>1.25</x:v>
      </x:c>
      <x:c r="P32" s="68" t="n">
        <x:f>MAX(0,(orders!Q32-orders!R32)*8)</x:f>
        <x:v>0</x:v>
      </x:c>
      <x:c r="Q32" s="69" t="n">
        <x:f>P32*(J32*O32)</x:f>
        <x:v>0</x:v>
      </x:c>
      <x:c r="R32" s="69" t="n">
        <x:f>K32+L32+N32+Q32</x:f>
        <x:v>2675.68</x:v>
      </x:c>
      <x:c r="S32" s="69" t="n">
        <x:f>R32/G32</x:f>
        <x:v>8.918933333333333</x:v>
      </x:c>
      <x:c r="T32" s="69" t="n">
        <x:v>25</x:v>
      </x:c>
      <x:c r="U32" s="69" t="n">
        <x:f>G32*T32</x:f>
        <x:v>7500</x:v>
      </x:c>
      <x:c r="V32" s="69" t="n">
        <x:f>U32-R32</x:f>
        <x:v>4824.32</x:v>
      </x:c>
      <x:c r="W32" s="70" t="n">
        <x:f>IF(U32=0,0,V32/U32)</x:f>
        <x:v>0.6432426666666666</x:v>
      </x:c>
      <x:c r="X32" s="66" t="str">
        <x:f>IF(W32&lt;0,"UNPROFITABLE",IF(W32&lt;0.15,"MARGIN WATCH","HEALTHY"))</x:f>
        <x:v>HEALTHY</x:v>
      </x:c>
      <x:c r="Y32" s="66" t="str">
        <x:v>L7</x:v>
      </x:c>
      <x:c r="Z32" s="69" t="n">
        <x:v>17.8</x:v>
      </x:c>
      <x:c r="AA32" s="69" t="n">
        <x:f>I32*Z32+L32+((I32*Z32+L32)*M32)</x:f>
        <x:v>2675.68</x:v>
      </x:c>
      <x:c r="AB32" s="69" t="n">
        <x:f>AA32-R32</x:f>
        <x:v>0</x:v>
      </x:c>
      <x:c r="AC32" s="66" t="str">
        <x:f>IF(W32&lt;0,"RENEGOTIATE / REJECT",IF(AB32&lt;-500,"CONSIDER REALLOCATION",IF(W32&lt;0.15,"MARGIN WATCH","ACCEPT")))</x:f>
        <x:v>ACCEPT</x:v>
      </x:c>
      <x:c r="AD32" s="72" t="str">
        <x:f>IF(Q32&gt;0,"Includes overtime premium",IF(AB32&lt;-500,"Alternative lab materially cheaper","Standard costing"))</x:f>
        <x:v>Standard costing</x:v>
      </x:c>
    </x:row>
    <x:row r="33">
      <x:c r="A33" s="65" t="str">
        <x:f>orders!A33</x:f>
        <x:v>ORD-1132</x:v>
      </x:c>
      <x:c r="B33" s="66" t="str">
        <x:f>orders!B33</x:f>
        <x:v>Moda Verona</x:v>
      </x:c>
      <x:c r="C33" s="66" t="str">
        <x:f>orders!C33</x:f>
        <x:v>STY-010-1</x:v>
      </x:c>
      <x:c r="D33" s="66" t="str">
        <x:f>orders!D33</x:f>
        <x:v>Top</x:v>
      </x:c>
      <x:c r="E33" s="66" t="str">
        <x:f>orders!J33</x:f>
        <x:v>L8</x:v>
      </x:c>
      <x:c r="F33" s="66" t="str">
        <x:f>orders!K33</x:f>
        <x:v>LN-035</x:v>
      </x:c>
      <x:c r="G33" s="67" t="n">
        <x:f>orders!E33</x:f>
        <x:v>1050</x:v>
      </x:c>
      <x:c r="H33" s="67" t="n">
        <x:f>orders!O33</x:f>
        <x:v>23</x:v>
      </x:c>
      <x:c r="I33" s="68" t="n">
        <x:f>orders!P33/60</x:f>
        <x:v>402.5</x:v>
      </x:c>
      <x:c r="J33" s="69" t="n">
        <x:v>20</x:v>
      </x:c>
      <x:c r="K33" s="69" t="n">
        <x:f>I33*J33</x:f>
        <x:v>8050</x:v>
      </x:c>
      <x:c r="L33" s="69" t="n">
        <x:v>50</x:v>
      </x:c>
      <x:c r="M33" s="70" t="n">
        <x:v>0.1</x:v>
      </x:c>
      <x:c r="N33" s="69" t="n">
        <x:f>(K33+L33)*M33</x:f>
        <x:v>810</x:v>
      </x:c>
      <x:c r="O33" s="71" t="n">
        <x:v>1.3</x:v>
      </x:c>
      <x:c r="P33" s="68" t="n">
        <x:f>MAX(0,(orders!Q33-orders!R33)*8)</x:f>
        <x:v>0</x:v>
      </x:c>
      <x:c r="Q33" s="69" t="n">
        <x:f>P33*(J33*O33)</x:f>
        <x:v>0</x:v>
      </x:c>
      <x:c r="R33" s="69" t="n">
        <x:f>K33+L33+N33+Q33</x:f>
        <x:v>8910</x:v>
      </x:c>
      <x:c r="S33" s="69" t="n">
        <x:f>R33/G33</x:f>
        <x:v>8.485714285714286</x:v>
      </x:c>
      <x:c r="T33" s="69" t="n">
        <x:v>16</x:v>
      </x:c>
      <x:c r="U33" s="69" t="n">
        <x:f>G33*T33</x:f>
        <x:v>16800</x:v>
      </x:c>
      <x:c r="V33" s="69" t="n">
        <x:f>U33-R33</x:f>
        <x:v>7890</x:v>
      </x:c>
      <x:c r="W33" s="70" t="n">
        <x:f>IF(U33=0,0,V33/U33)</x:f>
        <x:v>0.46964285714285714</x:v>
      </x:c>
      <x:c r="X33" s="66" t="str">
        <x:f>IF(W33&lt;0,"UNPROFITABLE",IF(W33&lt;0.15,"MARGIN WATCH","HEALTHY"))</x:f>
        <x:v>HEALTHY</x:v>
      </x:c>
      <x:c r="Y33" s="66" t="str">
        <x:v>L9</x:v>
      </x:c>
      <x:c r="Z33" s="69" t="n">
        <x:v>18</x:v>
      </x:c>
      <x:c r="AA33" s="69" t="n">
        <x:f>I33*Z33+L33+((I33*Z33+L33)*M33)</x:f>
        <x:v>8024.5</x:v>
      </x:c>
      <x:c r="AB33" s="69" t="n">
        <x:f>AA33-R33</x:f>
        <x:v>-885.5</x:v>
      </x:c>
      <x:c r="AC33" s="66" t="str">
        <x:f>IF(W33&lt;0,"RENEGOTIATE / REJECT",IF(AB33&lt;-500,"CONSIDER REALLOCATION",IF(W33&lt;0.15,"MARGIN WATCH","ACCEPT")))</x:f>
        <x:v>CONSIDER REALLOCATION</x:v>
      </x:c>
      <x:c r="AD33" s="72" t="str">
        <x:f>IF(Q33&gt;0,"Includes overtime premium",IF(AB33&lt;-500,"Alternative lab materially cheaper","Standard costing"))</x:f>
        <x:v>Alternative lab materially cheaper</x:v>
      </x:c>
    </x:row>
    <x:row r="34">
      <x:c r="A34" s="65" t="str">
        <x:f>orders!A34</x:f>
        <x:v>ORD-1133</x:v>
      </x:c>
      <x:c r="B34" s="66" t="str">
        <x:f>orders!B34</x:f>
        <x:v>Boutique Genova</x:v>
      </x:c>
      <x:c r="C34" s="66" t="str">
        <x:f>orders!C34</x:f>
        <x:v>STY-005-2</x:v>
      </x:c>
      <x:c r="D34" s="66" t="str">
        <x:f>orders!D34</x:f>
        <x:v>Jeans</x:v>
      </x:c>
      <x:c r="E34" s="66" t="str">
        <x:f>orders!J34</x:f>
        <x:v>L4</x:v>
      </x:c>
      <x:c r="F34" s="66" t="str">
        <x:f>orders!K34</x:f>
        <x:v>LN-016</x:v>
      </x:c>
      <x:c r="G34" s="67" t="n">
        <x:f>orders!E34</x:f>
        <x:v>1300</x:v>
      </x:c>
      <x:c r="H34" s="67" t="n">
        <x:f>orders!O34</x:f>
        <x:v>35</x:v>
      </x:c>
      <x:c r="I34" s="68" t="n">
        <x:f>orders!P34/60</x:f>
        <x:v>758.3333333333334</x:v>
      </x:c>
      <x:c r="J34" s="69" t="n">
        <x:v>21.5</x:v>
      </x:c>
      <x:c r="K34" s="69" t="n">
        <x:f>I34*J34</x:f>
        <x:v>16304.166666666668</x:v>
      </x:c>
      <x:c r="L34" s="69" t="n">
        <x:v>90</x:v>
      </x:c>
      <x:c r="M34" s="70" t="n">
        <x:v>0.14</x:v>
      </x:c>
      <x:c r="N34" s="69" t="n">
        <x:f>(K34+L34)*M34</x:f>
        <x:v>2295.183333333334</x:v>
      </x:c>
      <x:c r="O34" s="71" t="n">
        <x:v>1.3</x:v>
      </x:c>
      <x:c r="P34" s="68" t="n">
        <x:f>MAX(0,(orders!Q34-orders!R34)*8)</x:f>
        <x:v>0</x:v>
      </x:c>
      <x:c r="Q34" s="69" t="n">
        <x:f>P34*(J34*O34)</x:f>
        <x:v>0</x:v>
      </x:c>
      <x:c r="R34" s="69" t="n">
        <x:f>K34+L34+N34+Q34</x:f>
        <x:v>18689.350000000002</x:v>
      </x:c>
      <x:c r="S34" s="69" t="n">
        <x:f>R34/G34</x:f>
        <x:v>14.376423076923079</x:v>
      </x:c>
      <x:c r="T34" s="69" t="n">
        <x:v>36</x:v>
      </x:c>
      <x:c r="U34" s="69" t="n">
        <x:f>G34*T34</x:f>
        <x:v>46800</x:v>
      </x:c>
      <x:c r="V34" s="69" t="n">
        <x:f>U34-R34</x:f>
        <x:v>28110.649999999998</x:v>
      </x:c>
      <x:c r="W34" s="70" t="n">
        <x:f>IF(U34=0,0,V34/U34)</x:f>
        <x:v>0.6006549145299145</x:v>
      </x:c>
      <x:c r="X34" s="66" t="str">
        <x:f>IF(W34&lt;0,"UNPROFITABLE",IF(W34&lt;0.15,"MARGIN WATCH","HEALTHY"))</x:f>
        <x:v>HEALTHY</x:v>
      </x:c>
      <x:c r="Y34" s="66" t="str">
        <x:v>L5</x:v>
      </x:c>
      <x:c r="Z34" s="69" t="n">
        <x:v>18.5</x:v>
      </x:c>
      <x:c r="AA34" s="69" t="n">
        <x:f>I34*Z34+L34+((I34*Z34+L34)*M34)</x:f>
        <x:v>16095.850000000002</x:v>
      </x:c>
      <x:c r="AB34" s="69" t="n">
        <x:f>AA34-R34</x:f>
        <x:v>-2593.5</x:v>
      </x:c>
      <x:c r="AC34" s="66" t="str">
        <x:f>IF(W34&lt;0,"RENEGOTIATE / REJECT",IF(AB34&lt;-500,"CONSIDER REALLOCATION",IF(W34&lt;0.15,"MARGIN WATCH","ACCEPT")))</x:f>
        <x:v>CONSIDER REALLOCATION</x:v>
      </x:c>
      <x:c r="AD34" s="72" t="str">
        <x:f>IF(Q34&gt;0,"Includes overtime premium",IF(AB34&lt;-500,"Alternative lab materially cheaper","Standard costing"))</x:f>
        <x:v>Alternative lab materially cheaper</x:v>
      </x:c>
    </x:row>
    <x:row r="35">
      <x:c r="A35" s="65" t="str">
        <x:f>orders!A35</x:f>
        <x:v>ORD-1134</x:v>
      </x:c>
      <x:c r="B35" s="66" t="str">
        <x:f>orders!B35</x:f>
        <x:v>Venezia Atelier</x:v>
      </x:c>
      <x:c r="C35" s="66" t="str">
        <x:f>orders!C35</x:f>
        <x:v>STY-015-1</x:v>
      </x:c>
      <x:c r="D35" s="66" t="str">
        <x:f>orders!D35</x:f>
        <x:v>Boxer</x:v>
      </x:c>
      <x:c r="E35" s="66" t="str">
        <x:f>orders!J35</x:f>
        <x:v>L9</x:v>
      </x:c>
      <x:c r="F35" s="66" t="str">
        <x:f>orders!K35</x:f>
        <x:v>LN-039</x:v>
      </x:c>
      <x:c r="G35" s="67" t="n">
        <x:f>orders!E35</x:f>
        <x:v>500</x:v>
      </x:c>
      <x:c r="H35" s="67" t="n">
        <x:f>orders!O35</x:f>
        <x:v>39</x:v>
      </x:c>
      <x:c r="I35" s="68" t="n">
        <x:f>orders!P35/60</x:f>
        <x:v>325</x:v>
      </x:c>
      <x:c r="J35" s="69" t="n">
        <x:v>18</x:v>
      </x:c>
      <x:c r="K35" s="69" t="n">
        <x:f>I35*J35</x:f>
        <x:v>5850</x:v>
      </x:c>
      <x:c r="L35" s="69" t="n">
        <x:v>75</x:v>
      </x:c>
      <x:c r="M35" s="70" t="n">
        <x:v>0.12</x:v>
      </x:c>
      <x:c r="N35" s="69" t="n">
        <x:f>(K35+L35)*M35</x:f>
        <x:v>711</x:v>
      </x:c>
      <x:c r="O35" s="71" t="n">
        <x:v>1.25</x:v>
      </x:c>
      <x:c r="P35" s="68" t="n">
        <x:f>MAX(0,(orders!Q35-orders!R35)*8)</x:f>
        <x:v>0</x:v>
      </x:c>
      <x:c r="Q35" s="69" t="n">
        <x:f>P35*(J35*O35)</x:f>
        <x:v>0</x:v>
      </x:c>
      <x:c r="R35" s="69" t="n">
        <x:f>K35+L35+N35+Q35</x:f>
        <x:v>6636</x:v>
      </x:c>
      <x:c r="S35" s="69" t="n">
        <x:f>R35/G35</x:f>
        <x:v>13.272</x:v>
      </x:c>
      <x:c r="T35" s="69" t="n">
        <x:v>25</x:v>
      </x:c>
      <x:c r="U35" s="69" t="n">
        <x:f>G35*T35</x:f>
        <x:v>12500</x:v>
      </x:c>
      <x:c r="V35" s="69" t="n">
        <x:f>U35-R35</x:f>
        <x:v>5864</x:v>
      </x:c>
      <x:c r="W35" s="70" t="n">
        <x:f>IF(U35=0,0,V35/U35)</x:f>
        <x:v>0.46912</x:v>
      </x:c>
      <x:c r="X35" s="66" t="str">
        <x:f>IF(W35&lt;0,"UNPROFITABLE",IF(W35&lt;0.15,"MARGIN WATCH","HEALTHY"))</x:f>
        <x:v>HEALTHY</x:v>
      </x:c>
      <x:c r="Y35" s="66" t="str">
        <x:v>L7</x:v>
      </x:c>
      <x:c r="Z35" s="69" t="n">
        <x:v>17.8</x:v>
      </x:c>
      <x:c r="AA35" s="69" t="n">
        <x:f>I35*Z35+L35+((I35*Z35+L35)*M35)</x:f>
        <x:v>6563.2</x:v>
      </x:c>
      <x:c r="AB35" s="69" t="n">
        <x:f>AA35-R35</x:f>
        <x:v>-72.80000000000018</x:v>
      </x:c>
      <x:c r="AC35" s="66" t="str">
        <x:f>IF(W35&lt;0,"RENEGOTIATE / REJECT",IF(AB35&lt;-500,"CONSIDER REALLOCATION",IF(W35&lt;0.15,"MARGIN WATCH","ACCEPT")))</x:f>
        <x:v>ACCEPT</x:v>
      </x:c>
      <x:c r="AD35" s="72" t="str">
        <x:f>IF(Q35&gt;0,"Includes overtime premium",IF(AB35&lt;-500,"Alternative lab materially cheaper","Standard costing"))</x:f>
        <x:v>Standard costing</x:v>
      </x:c>
    </x:row>
    <x:row r="36">
      <x:c r="A36" s="65" t="str">
        <x:f>orders!A36</x:f>
        <x:v>ORD-1135</x:v>
      </x:c>
      <x:c r="B36" s="66" t="str">
        <x:f>orders!B36</x:f>
        <x:v>Torino Mode</x:v>
      </x:c>
      <x:c r="C36" s="66" t="str">
        <x:f>orders!C36</x:f>
        <x:v>STY-006-1</x:v>
      </x:c>
      <x:c r="D36" s="66" t="str">
        <x:f>orders!D36</x:f>
        <x:v>T-shirt</x:v>
      </x:c>
      <x:c r="E36" s="66" t="str">
        <x:f>orders!J36</x:f>
        <x:v>L4</x:v>
      </x:c>
      <x:c r="F36" s="66" t="str">
        <x:f>orders!K36</x:f>
        <x:v>LN-016</x:v>
      </x:c>
      <x:c r="G36" s="67" t="n">
        <x:f>orders!E36</x:f>
        <x:v>950</x:v>
      </x:c>
      <x:c r="H36" s="67" t="n">
        <x:f>orders!O36</x:f>
        <x:v>17</x:v>
      </x:c>
      <x:c r="I36" s="68" t="n">
        <x:f>orders!P36/60</x:f>
        <x:v>269.1666666666667</x:v>
      </x:c>
      <x:c r="J36" s="69" t="n">
        <x:v>21.5</x:v>
      </x:c>
      <x:c r="K36" s="69" t="n">
        <x:f>I36*J36</x:f>
        <x:v>5787.083333333334</x:v>
      </x:c>
      <x:c r="L36" s="69" t="n">
        <x:v>40</x:v>
      </x:c>
      <x:c r="M36" s="70" t="n">
        <x:v>0.1</x:v>
      </x:c>
      <x:c r="N36" s="69" t="n">
        <x:f>(K36+L36)*M36</x:f>
        <x:v>582.7083333333334</x:v>
      </x:c>
      <x:c r="O36" s="71" t="n">
        <x:v>1.3</x:v>
      </x:c>
      <x:c r="P36" s="68" t="n">
        <x:f>MAX(0,(orders!Q36-orders!R36)*8)</x:f>
        <x:v>0</x:v>
      </x:c>
      <x:c r="Q36" s="69" t="n">
        <x:f>P36*(J36*O36)</x:f>
        <x:v>0</x:v>
      </x:c>
      <x:c r="R36" s="69" t="n">
        <x:f>K36+L36+N36+Q36</x:f>
        <x:v>6409.791666666667</x:v>
      </x:c>
      <x:c r="S36" s="69" t="n">
        <x:f>R36/G36</x:f>
        <x:v>6.747149122807018</x:v>
      </x:c>
      <x:c r="T36" s="69" t="n">
        <x:v>12</x:v>
      </x:c>
      <x:c r="U36" s="69" t="n">
        <x:f>G36*T36</x:f>
        <x:v>11400</x:v>
      </x:c>
      <x:c r="V36" s="69" t="n">
        <x:f>U36-R36</x:f>
        <x:v>4990.208333333333</x:v>
      </x:c>
      <x:c r="W36" s="70" t="n">
        <x:f>IF(U36=0,0,V36/U36)</x:f>
        <x:v>0.4377375730994152</x:v>
      </x:c>
      <x:c r="X36" s="66" t="str">
        <x:f>IF(W36&lt;0,"UNPROFITABLE",IF(W36&lt;0.15,"MARGIN WATCH","HEALTHY"))</x:f>
        <x:v>HEALTHY</x:v>
      </x:c>
      <x:c r="Y36" s="66" t="str">
        <x:v>L5</x:v>
      </x:c>
      <x:c r="Z36" s="69" t="n">
        <x:v>18.5</x:v>
      </x:c>
      <x:c r="AA36" s="69" t="n">
        <x:f>I36*Z36+L36+((I36*Z36+L36)*M36)</x:f>
        <x:v>5521.541666666667</x:v>
      </x:c>
      <x:c r="AB36" s="69" t="n">
        <x:f>AA36-R36</x:f>
        <x:v>-888.25</x:v>
      </x:c>
      <x:c r="AC36" s="66" t="str">
        <x:f>IF(W36&lt;0,"RENEGOTIATE / REJECT",IF(AB36&lt;-500,"CONSIDER REALLOCATION",IF(W36&lt;0.15,"MARGIN WATCH","ACCEPT")))</x:f>
        <x:v>CONSIDER REALLOCATION</x:v>
      </x:c>
      <x:c r="AD36" s="72" t="str">
        <x:f>IF(Q36&gt;0,"Includes overtime premium",IF(AB36&lt;-500,"Alternative lab materially cheaper","Standard costing"))</x:f>
        <x:v>Alternative lab materially cheaper</x:v>
      </x:c>
    </x:row>
    <x:row r="37">
      <x:c r="A37" s="65" t="str">
        <x:f>orders!A37</x:f>
        <x:v>ORD-1136</x:v>
      </x:c>
      <x:c r="B37" s="66" t="str">
        <x:f>orders!B37</x:f>
        <x:v>Linea Roma</x:v>
      </x:c>
      <x:c r="C37" s="66" t="str">
        <x:f>orders!C37</x:f>
        <x:v>STY-006-2</x:v>
      </x:c>
      <x:c r="D37" s="66" t="str">
        <x:f>orders!D37</x:f>
        <x:v>T-shirt</x:v>
      </x:c>
      <x:c r="E37" s="66" t="str">
        <x:f>orders!J37</x:f>
        <x:v>L9</x:v>
      </x:c>
      <x:c r="F37" s="66" t="str">
        <x:f>orders!K37</x:f>
        <x:v>LN-039</x:v>
      </x:c>
      <x:c r="G37" s="67" t="n">
        <x:f>orders!E37</x:f>
        <x:v>1450</x:v>
      </x:c>
      <x:c r="H37" s="67" t="n">
        <x:f>orders!O37</x:f>
        <x:v>16</x:v>
      </x:c>
      <x:c r="I37" s="68" t="n">
        <x:f>orders!P37/60</x:f>
        <x:v>386.6666666666667</x:v>
      </x:c>
      <x:c r="J37" s="69" t="n">
        <x:v>18</x:v>
      </x:c>
      <x:c r="K37" s="69" t="n">
        <x:f>I37*J37</x:f>
        <x:v>6960</x:v>
      </x:c>
      <x:c r="L37" s="69" t="n">
        <x:v>40</x:v>
      </x:c>
      <x:c r="M37" s="70" t="n">
        <x:v>0.1</x:v>
      </x:c>
      <x:c r="N37" s="69" t="n">
        <x:f>(K37+L37)*M37</x:f>
        <x:v>700</x:v>
      </x:c>
      <x:c r="O37" s="71" t="n">
        <x:v>1.25</x:v>
      </x:c>
      <x:c r="P37" s="68" t="n">
        <x:f>MAX(0,(orders!Q37-orders!R37)*8)</x:f>
        <x:v>0</x:v>
      </x:c>
      <x:c r="Q37" s="69" t="n">
        <x:f>P37*(J37*O37)</x:f>
        <x:v>0</x:v>
      </x:c>
      <x:c r="R37" s="69" t="n">
        <x:f>K37+L37+N37+Q37</x:f>
        <x:v>7700</x:v>
      </x:c>
      <x:c r="S37" s="69" t="n">
        <x:f>R37/G37</x:f>
        <x:v>5.310344827586207</x:v>
      </x:c>
      <x:c r="T37" s="69" t="n">
        <x:v>12</x:v>
      </x:c>
      <x:c r="U37" s="69" t="n">
        <x:f>G37*T37</x:f>
        <x:v>17400</x:v>
      </x:c>
      <x:c r="V37" s="69" t="n">
        <x:f>U37-R37</x:f>
        <x:v>9700</x:v>
      </x:c>
      <x:c r="W37" s="70" t="n">
        <x:f>IF(U37=0,0,V37/U37)</x:f>
        <x:v>0.5574712643678161</x:v>
      </x:c>
      <x:c r="X37" s="66" t="str">
        <x:f>IF(W37&lt;0,"UNPROFITABLE",IF(W37&lt;0.15,"MARGIN WATCH","HEALTHY"))</x:f>
        <x:v>HEALTHY</x:v>
      </x:c>
      <x:c r="Y37" s="66" t="str">
        <x:v>L5</x:v>
      </x:c>
      <x:c r="Z37" s="69" t="n">
        <x:v>18.5</x:v>
      </x:c>
      <x:c r="AA37" s="69" t="n">
        <x:f>I37*Z37+L37+((I37*Z37+L37)*M37)</x:f>
        <x:v>7912.666666666668</x:v>
      </x:c>
      <x:c r="AB37" s="69" t="n">
        <x:f>AA37-R37</x:f>
        <x:v>212.66666666666788</x:v>
      </x:c>
      <x:c r="AC37" s="66" t="str">
        <x:f>IF(W37&lt;0,"RENEGOTIATE / REJECT",IF(AB37&lt;-500,"CONSIDER REALLOCATION",IF(W37&lt;0.15,"MARGIN WATCH","ACCEPT")))</x:f>
        <x:v>ACCEPT</x:v>
      </x:c>
      <x:c r="AD37" s="72" t="str">
        <x:f>IF(Q37&gt;0,"Includes overtime premium",IF(AB37&lt;-500,"Alternative lab materially cheaper","Standard costing"))</x:f>
        <x:v>Standard costing</x:v>
      </x:c>
    </x:row>
    <x:row r="38">
      <x:c r="A38" s="65" t="str">
        <x:f>orders!A38</x:f>
        <x:v>ORD-1137</x:v>
      </x:c>
      <x:c r="B38" s="66" t="str">
        <x:f>orders!B38</x:f>
        <x:v>Atelier Bologna</x:v>
      </x:c>
      <x:c r="C38" s="66" t="str">
        <x:f>orders!C38</x:f>
        <x:v>STY-008-2</x:v>
      </x:c>
      <x:c r="D38" s="66" t="str">
        <x:f>orders!D38</x:f>
        <x:v>Blazer</x:v>
      </x:c>
      <x:c r="E38" s="66" t="str">
        <x:f>orders!J38</x:f>
        <x:v>L7</x:v>
      </x:c>
      <x:c r="F38" s="66" t="str">
        <x:f>orders!K38</x:f>
        <x:v>LN-030</x:v>
      </x:c>
      <x:c r="G38" s="67" t="n">
        <x:f>orders!E38</x:f>
        <x:v>80</x:v>
      </x:c>
      <x:c r="H38" s="67" t="n">
        <x:f>orders!O38</x:f>
        <x:v>63</x:v>
      </x:c>
      <x:c r="I38" s="68" t="n">
        <x:f>orders!P38/60</x:f>
        <x:v>84</x:v>
      </x:c>
      <x:c r="J38" s="69" t="n">
        <x:v>17.8</x:v>
      </x:c>
      <x:c r="K38" s="69" t="n">
        <x:f>I38*J38</x:f>
        <x:v>1495.2</x:v>
      </x:c>
      <x:c r="L38" s="69" t="n">
        <x:v>160</x:v>
      </x:c>
      <x:c r="M38" s="70" t="n">
        <x:v>0.16</x:v>
      </x:c>
      <x:c r="N38" s="69" t="n">
        <x:f>(K38+L38)*M38</x:f>
        <x:v>264.832</x:v>
      </x:c>
      <x:c r="O38" s="71" t="n">
        <x:v>1.25</x:v>
      </x:c>
      <x:c r="P38" s="68" t="n">
        <x:f>MAX(0,(orders!Q38-orders!R38)*8)</x:f>
        <x:v>0</x:v>
      </x:c>
      <x:c r="Q38" s="69" t="n">
        <x:f>P38*(J38*O38)</x:f>
        <x:v>0</x:v>
      </x:c>
      <x:c r="R38" s="69" t="n">
        <x:f>K38+L38+N38+Q38</x:f>
        <x:v>1920.0320000000002</x:v>
      </x:c>
      <x:c r="S38" s="69" t="n">
        <x:f>R38/G38</x:f>
        <x:v>24.000400000000003</x:v>
      </x:c>
      <x:c r="T38" s="69" t="n">
        <x:v>68</x:v>
      </x:c>
      <x:c r="U38" s="69" t="n">
        <x:f>G38*T38</x:f>
        <x:v>5440</x:v>
      </x:c>
      <x:c r="V38" s="69" t="n">
        <x:f>U38-R38</x:f>
        <x:v>3519.968</x:v>
      </x:c>
      <x:c r="W38" s="70" t="n">
        <x:f>IF(U38=0,0,V38/U38)</x:f>
        <x:v>0.6470529411764706</x:v>
      </x:c>
      <x:c r="X38" s="66" t="str">
        <x:f>IF(W38&lt;0,"UNPROFITABLE",IF(W38&lt;0.15,"MARGIN WATCH","HEALTHY"))</x:f>
        <x:v>HEALTHY</x:v>
      </x:c>
      <x:c r="Y38" s="66" t="str">
        <x:v>L2</x:v>
      </x:c>
      <x:c r="Z38" s="69" t="n">
        <x:v>20.5</x:v>
      </x:c>
      <x:c r="AA38" s="69" t="n">
        <x:f>I38*Z38+L38+((I38*Z38+L38)*M38)</x:f>
        <x:v>2183.12</x:v>
      </x:c>
      <x:c r="AB38" s="69" t="n">
        <x:f>AA38-R38</x:f>
        <x:v>263.08799999999974</x:v>
      </x:c>
      <x:c r="AC38" s="66" t="str">
        <x:f>IF(W38&lt;0,"RENEGOTIATE / REJECT",IF(AB38&lt;-500,"CONSIDER REALLOCATION",IF(W38&lt;0.15,"MARGIN WATCH","ACCEPT")))</x:f>
        <x:v>ACCEPT</x:v>
      </x:c>
      <x:c r="AD38" s="72" t="str">
        <x:f>IF(Q38&gt;0,"Includes overtime premium",IF(AB38&lt;-500,"Alternative lab materially cheaper","Standard costing"))</x:f>
        <x:v>Standard costing</x:v>
      </x:c>
    </x:row>
    <x:row r="39">
      <x:c r="A39" s="65" t="str">
        <x:f>orders!A39</x:f>
        <x:v>ORD-1138</x:v>
      </x:c>
      <x:c r="B39" s="66" t="str">
        <x:f>orders!B39</x:f>
        <x:v>Linea Roma</x:v>
      </x:c>
      <x:c r="C39" s="66" t="str">
        <x:f>orders!C39</x:f>
        <x:v>STY-005-2</x:v>
      </x:c>
      <x:c r="D39" s="66" t="str">
        <x:f>orders!D39</x:f>
        <x:v>Jeans</x:v>
      </x:c>
      <x:c r="E39" s="66" t="str">
        <x:f>orders!J39</x:f>
        <x:v>L10</x:v>
      </x:c>
      <x:c r="F39" s="66" t="str">
        <x:f>orders!K39</x:f>
        <x:v>LN-044</x:v>
      </x:c>
      <x:c r="G39" s="67" t="n">
        <x:f>orders!E39</x:f>
        <x:v>240</x:v>
      </x:c>
      <x:c r="H39" s="67" t="n">
        <x:f>orders!O39</x:f>
        <x:v>35</x:v>
      </x:c>
      <x:c r="I39" s="68" t="n">
        <x:f>orders!P39/60</x:f>
        <x:v>140</x:v>
      </x:c>
      <x:c r="J39" s="69" t="n">
        <x:v>21</x:v>
      </x:c>
      <x:c r="K39" s="69" t="n">
        <x:f>I39*J39</x:f>
        <x:v>2940</x:v>
      </x:c>
      <x:c r="L39" s="69" t="n">
        <x:v>90</x:v>
      </x:c>
      <x:c r="M39" s="70" t="n">
        <x:v>0.14</x:v>
      </x:c>
      <x:c r="N39" s="69" t="n">
        <x:f>(K39+L39)*M39</x:f>
        <x:v>424.20000000000005</x:v>
      </x:c>
      <x:c r="O39" s="71" t="n">
        <x:v>1.35</x:v>
      </x:c>
      <x:c r="P39" s="68" t="n">
        <x:f>MAX(0,(orders!Q39-orders!R39)*8)</x:f>
        <x:v>0</x:v>
      </x:c>
      <x:c r="Q39" s="69" t="n">
        <x:f>P39*(J39*O39)</x:f>
        <x:v>0</x:v>
      </x:c>
      <x:c r="R39" s="69" t="n">
        <x:f>K39+L39+N39+Q39</x:f>
        <x:v>3454.2</x:v>
      </x:c>
      <x:c r="S39" s="69" t="n">
        <x:f>R39/G39</x:f>
        <x:v>14.3925</x:v>
      </x:c>
      <x:c r="T39" s="69" t="n">
        <x:v>36</x:v>
      </x:c>
      <x:c r="U39" s="69" t="n">
        <x:f>G39*T39</x:f>
        <x:v>8640</x:v>
      </x:c>
      <x:c r="V39" s="69" t="n">
        <x:f>U39-R39</x:f>
        <x:v>5185.8</x:v>
      </x:c>
      <x:c r="W39" s="70" t="n">
        <x:f>IF(U39=0,0,V39/U39)</x:f>
        <x:v>0.6002083333333333</x:v>
      </x:c>
      <x:c r="X39" s="66" t="str">
        <x:f>IF(W39&lt;0,"UNPROFITABLE",IF(W39&lt;0.15,"MARGIN WATCH","HEALTHY"))</x:f>
        <x:v>HEALTHY</x:v>
      </x:c>
      <x:c r="Y39" s="66" t="str">
        <x:v>L5</x:v>
      </x:c>
      <x:c r="Z39" s="69" t="n">
        <x:v>18.5</x:v>
      </x:c>
      <x:c r="AA39" s="69" t="n">
        <x:f>I39*Z39+L39+((I39*Z39+L39)*M39)</x:f>
        <x:v>3055.2</x:v>
      </x:c>
      <x:c r="AB39" s="69" t="n">
        <x:f>AA39-R39</x:f>
        <x:v>-399</x:v>
      </x:c>
      <x:c r="AC39" s="66" t="str">
        <x:f>IF(W39&lt;0,"RENEGOTIATE / REJECT",IF(AB39&lt;-500,"CONSIDER REALLOCATION",IF(W39&lt;0.15,"MARGIN WATCH","ACCEPT")))</x:f>
        <x:v>ACCEPT</x:v>
      </x:c>
      <x:c r="AD39" s="72" t="str">
        <x:f>IF(Q39&gt;0,"Includes overtime premium",IF(AB39&lt;-500,"Alternative lab materially cheaper","Standard costing"))</x:f>
        <x:v>Standard costing</x:v>
      </x:c>
    </x:row>
    <x:row r="40">
      <x:c r="A40" s="65" t="str">
        <x:f>orders!A40</x:f>
        <x:v>ORD-1139</x:v>
      </x:c>
      <x:c r="B40" s="66" t="str">
        <x:f>orders!B40</x:f>
        <x:v>Sartoria Napoli</x:v>
      </x:c>
      <x:c r="C40" s="66" t="str">
        <x:f>orders!C40</x:f>
        <x:v>STY-010-1</x:v>
      </x:c>
      <x:c r="D40" s="66" t="str">
        <x:f>orders!D40</x:f>
        <x:v>Top</x:v>
      </x:c>
      <x:c r="E40" s="66" t="str">
        <x:f>orders!J40</x:f>
        <x:v>L4</x:v>
      </x:c>
      <x:c r="F40" s="66" t="str">
        <x:f>orders!K40</x:f>
        <x:v>LN-016</x:v>
      </x:c>
      <x:c r="G40" s="67" t="n">
        <x:f>orders!E40</x:f>
        <x:v>280</x:v>
      </x:c>
      <x:c r="H40" s="67" t="n">
        <x:f>orders!O40</x:f>
        <x:v>23</x:v>
      </x:c>
      <x:c r="I40" s="68" t="n">
        <x:f>orders!P40/60</x:f>
        <x:v>107.33333333333333</x:v>
      </x:c>
      <x:c r="J40" s="69" t="n">
        <x:v>21.5</x:v>
      </x:c>
      <x:c r="K40" s="69" t="n">
        <x:f>I40*J40</x:f>
        <x:v>2307.6666666666665</x:v>
      </x:c>
      <x:c r="L40" s="69" t="n">
        <x:v>50</x:v>
      </x:c>
      <x:c r="M40" s="70" t="n">
        <x:v>0.1</x:v>
      </x:c>
      <x:c r="N40" s="69" t="n">
        <x:f>(K40+L40)*M40</x:f>
        <x:v>235.76666666666665</x:v>
      </x:c>
      <x:c r="O40" s="71" t="n">
        <x:v>1.3</x:v>
      </x:c>
      <x:c r="P40" s="68" t="n">
        <x:f>MAX(0,(orders!Q40-orders!R40)*8)</x:f>
        <x:v>0</x:v>
      </x:c>
      <x:c r="Q40" s="69" t="n">
        <x:f>P40*(J40*O40)</x:f>
        <x:v>0</x:v>
      </x:c>
      <x:c r="R40" s="69" t="n">
        <x:f>K40+L40+N40+Q40</x:f>
        <x:v>2593.4333333333334</x:v>
      </x:c>
      <x:c r="S40" s="69" t="n">
        <x:f>R40/G40</x:f>
        <x:v>9.262261904761905</x:v>
      </x:c>
      <x:c r="T40" s="69" t="n">
        <x:v>16</x:v>
      </x:c>
      <x:c r="U40" s="69" t="n">
        <x:f>G40*T40</x:f>
        <x:v>4480</x:v>
      </x:c>
      <x:c r="V40" s="69" t="n">
        <x:f>U40-R40</x:f>
        <x:v>1886.5666666666666</x:v>
      </x:c>
      <x:c r="W40" s="70" t="n">
        <x:f>IF(U40=0,0,V40/U40)</x:f>
        <x:v>0.42110863095238094</x:v>
      </x:c>
      <x:c r="X40" s="66" t="str">
        <x:f>IF(W40&lt;0,"UNPROFITABLE",IF(W40&lt;0.15,"MARGIN WATCH","HEALTHY"))</x:f>
        <x:v>HEALTHY</x:v>
      </x:c>
      <x:c r="Y40" s="66" t="str">
        <x:v>L9</x:v>
      </x:c>
      <x:c r="Z40" s="69" t="n">
        <x:v>18</x:v>
      </x:c>
      <x:c r="AA40" s="69" t="n">
        <x:f>I40*Z40+L40+((I40*Z40+L40)*M40)</x:f>
        <x:v>2180.2</x:v>
      </x:c>
      <x:c r="AB40" s="69" t="n">
        <x:f>AA40-R40</x:f>
        <x:v>-413.2333333333336</x:v>
      </x:c>
      <x:c r="AC40" s="66" t="str">
        <x:f>IF(W40&lt;0,"RENEGOTIATE / REJECT",IF(AB40&lt;-500,"CONSIDER REALLOCATION",IF(W40&lt;0.15,"MARGIN WATCH","ACCEPT")))</x:f>
        <x:v>ACCEPT</x:v>
      </x:c>
      <x:c r="AD40" s="72" t="str">
        <x:f>IF(Q40&gt;0,"Includes overtime premium",IF(AB40&lt;-500,"Alternative lab materially cheaper","Standard costing"))</x:f>
        <x:v>Standard costing</x:v>
      </x:c>
    </x:row>
    <x:row r="41">
      <x:c r="A41" s="65" t="str">
        <x:f>orders!A41</x:f>
        <x:v>ORD-1140</x:v>
      </x:c>
      <x:c r="B41" s="66" t="str">
        <x:f>orders!B41</x:f>
        <x:v>Casa Palermo</x:v>
      </x:c>
      <x:c r="C41" s="66" t="str">
        <x:f>orders!C41</x:f>
        <x:v>STY-008-1</x:v>
      </x:c>
      <x:c r="D41" s="66" t="str">
        <x:f>orders!D41</x:f>
        <x:v>Blazer</x:v>
      </x:c>
      <x:c r="E41" s="66" t="str">
        <x:f>orders!J41</x:f>
        <x:v>L7</x:v>
      </x:c>
      <x:c r="F41" s="66" t="str">
        <x:f>orders!K41</x:f>
        <x:v>LN-030</x:v>
      </x:c>
      <x:c r="G41" s="67" t="n">
        <x:f>orders!E41</x:f>
        <x:v>80</x:v>
      </x:c>
      <x:c r="H41" s="67" t="n">
        <x:f>orders!O41</x:f>
        <x:v>56</x:v>
      </x:c>
      <x:c r="I41" s="68" t="n">
        <x:f>orders!P41/60</x:f>
        <x:v>74.66666666666667</x:v>
      </x:c>
      <x:c r="J41" s="69" t="n">
        <x:v>17.8</x:v>
      </x:c>
      <x:c r="K41" s="69" t="n">
        <x:f>I41*J41</x:f>
        <x:v>1329.0666666666668</x:v>
      </x:c>
      <x:c r="L41" s="69" t="n">
        <x:v>160</x:v>
      </x:c>
      <x:c r="M41" s="70" t="n">
        <x:v>0.16</x:v>
      </x:c>
      <x:c r="N41" s="69" t="n">
        <x:f>(K41+L41)*M41</x:f>
        <x:v>238.2506666666667</x:v>
      </x:c>
      <x:c r="O41" s="71" t="n">
        <x:v>1.25</x:v>
      </x:c>
      <x:c r="P41" s="68" t="n">
        <x:f>MAX(0,(orders!Q41-orders!R41)*8)</x:f>
        <x:v>0</x:v>
      </x:c>
      <x:c r="Q41" s="69" t="n">
        <x:f>P41*(J41*O41)</x:f>
        <x:v>0</x:v>
      </x:c>
      <x:c r="R41" s="69" t="n">
        <x:f>K41+L41+N41+Q41</x:f>
        <x:v>1727.3173333333334</x:v>
      </x:c>
      <x:c r="S41" s="69" t="n">
        <x:f>R41/G41</x:f>
        <x:v>21.59146666666667</x:v>
      </x:c>
      <x:c r="T41" s="69" t="n">
        <x:v>68</x:v>
      </x:c>
      <x:c r="U41" s="69" t="n">
        <x:f>G41*T41</x:f>
        <x:v>5440</x:v>
      </x:c>
      <x:c r="V41" s="69" t="n">
        <x:f>U41-R41</x:f>
        <x:v>3712.6826666666666</x:v>
      </x:c>
      <x:c r="W41" s="70" t="n">
        <x:f>IF(U41=0,0,V41/U41)</x:f>
        <x:v>0.682478431372549</x:v>
      </x:c>
      <x:c r="X41" s="66" t="str">
        <x:f>IF(W41&lt;0,"UNPROFITABLE",IF(W41&lt;0.15,"MARGIN WATCH","HEALTHY"))</x:f>
        <x:v>HEALTHY</x:v>
      </x:c>
      <x:c r="Y41" s="66" t="str">
        <x:v>L2</x:v>
      </x:c>
      <x:c r="Z41" s="69" t="n">
        <x:v>20.5</x:v>
      </x:c>
      <x:c r="AA41" s="69" t="n">
        <x:f>I41*Z41+L41+((I41*Z41+L41)*M41)</x:f>
        <x:v>1961.1733333333334</x:v>
      </x:c>
      <x:c r="AB41" s="69" t="n">
        <x:f>AA41-R41</x:f>
        <x:v>233.856</x:v>
      </x:c>
      <x:c r="AC41" s="66" t="str">
        <x:f>IF(W41&lt;0,"RENEGOTIATE / REJECT",IF(AB41&lt;-500,"CONSIDER REALLOCATION",IF(W41&lt;0.15,"MARGIN WATCH","ACCEPT")))</x:f>
        <x:v>ACCEPT</x:v>
      </x:c>
      <x:c r="AD41" s="72" t="str">
        <x:f>IF(Q41&gt;0,"Includes overtime premium",IF(AB41&lt;-500,"Alternative lab materially cheaper","Standard costing"))</x:f>
        <x:v>Standard costing</x:v>
      </x:c>
    </x:row>
    <x:row r="42">
      <x:c r="A42" s="65" t="str">
        <x:f>orders!A42</x:f>
        <x:v>ORD-1141</x:v>
      </x:c>
      <x:c r="B42" s="66" t="str">
        <x:f>orders!B42</x:f>
        <x:v>Linea Roma</x:v>
      </x:c>
      <x:c r="C42" s="66" t="str">
        <x:f>orders!C42</x:f>
        <x:v>STY-001-2</x:v>
      </x:c>
      <x:c r="D42" s="66" t="str">
        <x:f>orders!D42</x:f>
        <x:v>Cappotto</x:v>
      </x:c>
      <x:c r="E42" s="66" t="str">
        <x:f>orders!J42</x:f>
        <x:v>L9</x:v>
      </x:c>
      <x:c r="F42" s="66" t="str">
        <x:f>orders!K42</x:f>
        <x:v>LN-039</x:v>
      </x:c>
      <x:c r="G42" s="67" t="n">
        <x:f>orders!E42</x:f>
        <x:v>220</x:v>
      </x:c>
      <x:c r="H42" s="67" t="n">
        <x:f>orders!O42</x:f>
        <x:v>79</x:v>
      </x:c>
      <x:c r="I42" s="68" t="n">
        <x:f>orders!P42/60</x:f>
        <x:v>289.6666666666667</x:v>
      </x:c>
      <x:c r="J42" s="69" t="n">
        <x:v>18</x:v>
      </x:c>
      <x:c r="K42" s="69" t="n">
        <x:f>I42*J42</x:f>
        <x:v>5214</x:v>
      </x:c>
      <x:c r="L42" s="69" t="n">
        <x:v>180</x:v>
      </x:c>
      <x:c r="M42" s="70" t="n">
        <x:v>0.15</x:v>
      </x:c>
      <x:c r="N42" s="69" t="n">
        <x:f>(K42+L42)*M42</x:f>
        <x:v>809.1</x:v>
      </x:c>
      <x:c r="O42" s="71" t="n">
        <x:v>1.25</x:v>
      </x:c>
      <x:c r="P42" s="68" t="n">
        <x:f>MAX(0,(orders!Q42-orders!R42)*8)</x:f>
        <x:v>0</x:v>
      </x:c>
      <x:c r="Q42" s="69" t="n">
        <x:f>P42*(J42*O42)</x:f>
        <x:v>0</x:v>
      </x:c>
      <x:c r="R42" s="69" t="n">
        <x:f>K42+L42+N42+Q42</x:f>
        <x:v>6203.1</x:v>
      </x:c>
      <x:c r="S42" s="69" t="n">
        <x:f>R42/G42</x:f>
        <x:v>28.195909090909094</x:v>
      </x:c>
      <x:c r="T42" s="69" t="n">
        <x:v>72</x:v>
      </x:c>
      <x:c r="U42" s="69" t="n">
        <x:f>G42*T42</x:f>
        <x:v>15840</x:v>
      </x:c>
      <x:c r="V42" s="69" t="n">
        <x:f>U42-R42</x:f>
        <x:v>9636.9</x:v>
      </x:c>
      <x:c r="W42" s="70" t="n">
        <x:f>IF(U42=0,0,V42/U42)</x:f>
        <x:v>0.6083901515151515</x:v>
      </x:c>
      <x:c r="X42" s="66" t="str">
        <x:f>IF(W42&lt;0,"UNPROFITABLE",IF(W42&lt;0.15,"MARGIN WATCH","HEALTHY"))</x:f>
        <x:v>HEALTHY</x:v>
      </x:c>
      <x:c r="Y42" s="66" t="str">
        <x:v>L2</x:v>
      </x:c>
      <x:c r="Z42" s="69" t="n">
        <x:v>20.5</x:v>
      </x:c>
      <x:c r="AA42" s="69" t="n">
        <x:f>I42*Z42+L42+((I42*Z42+L42)*M42)</x:f>
        <x:v>7035.891666666667</x:v>
      </x:c>
      <x:c r="AB42" s="69" t="n">
        <x:f>AA42-R42</x:f>
        <x:v>832.791666666667</x:v>
      </x:c>
      <x:c r="AC42" s="66" t="str">
        <x:f>IF(W42&lt;0,"RENEGOTIATE / REJECT",IF(AB42&lt;-500,"CONSIDER REALLOCATION",IF(W42&lt;0.15,"MARGIN WATCH","ACCEPT")))</x:f>
        <x:v>ACCEPT</x:v>
      </x:c>
      <x:c r="AD42" s="72" t="str">
        <x:f>IF(Q42&gt;0,"Includes overtime premium",IF(AB42&lt;-500,"Alternative lab materially cheaper","Standard costing"))</x:f>
        <x:v>Standard costing</x:v>
      </x:c>
    </x:row>
    <x:row r="43">
      <x:c r="A43" s="65" t="str">
        <x:f>orders!A43</x:f>
        <x:v>ORD-1142</x:v>
      </x:c>
      <x:c r="B43" s="66" t="str">
        <x:f>orders!B43</x:f>
        <x:v>Boutique Genova</x:v>
      </x:c>
      <x:c r="C43" s="66" t="str">
        <x:f>orders!C43</x:f>
        <x:v>STY-004-2</x:v>
      </x:c>
      <x:c r="D43" s="66" t="str">
        <x:f>orders!D43</x:f>
        <x:v>Abito</x:v>
      </x:c>
      <x:c r="E43" s="66" t="str">
        <x:f>orders!J43</x:f>
        <x:v>L8</x:v>
      </x:c>
      <x:c r="F43" s="66" t="str">
        <x:f>orders!K43</x:f>
        <x:v>LN-035</x:v>
      </x:c>
      <x:c r="G43" s="67" t="n">
        <x:f>orders!E43</x:f>
        <x:v>320</x:v>
      </x:c>
      <x:c r="H43" s="67" t="n">
        <x:f>orders!O43</x:f>
        <x:v>44</x:v>
      </x:c>
      <x:c r="I43" s="68" t="n">
        <x:f>orders!P43/60</x:f>
        <x:v>234.66666666666666</x:v>
      </x:c>
      <x:c r="J43" s="69" t="n">
        <x:v>20</x:v>
      </x:c>
      <x:c r="K43" s="69" t="n">
        <x:f>I43*J43</x:f>
        <x:v>4693.333333333333</x:v>
      </x:c>
      <x:c r="L43" s="69" t="n">
        <x:v>120</x:v>
      </x:c>
      <x:c r="M43" s="70" t="n">
        <x:v>0.15</x:v>
      </x:c>
      <x:c r="N43" s="69" t="n">
        <x:f>(K43+L43)*M43</x:f>
        <x:v>721.9999999999999</x:v>
      </x:c>
      <x:c r="O43" s="71" t="n">
        <x:v>1.3</x:v>
      </x:c>
      <x:c r="P43" s="68" t="n">
        <x:f>MAX(0,(orders!Q43-orders!R43)*8)</x:f>
        <x:v>0</x:v>
      </x:c>
      <x:c r="Q43" s="69" t="n">
        <x:f>P43*(J43*O43)</x:f>
        <x:v>0</x:v>
      </x:c>
      <x:c r="R43" s="69" t="n">
        <x:f>K43+L43+N43+Q43</x:f>
        <x:v>5535.333333333333</x:v>
      </x:c>
      <x:c r="S43" s="69" t="n">
        <x:f>R43/G43</x:f>
        <x:v>17.297916666666666</x:v>
      </x:c>
      <x:c r="T43" s="69" t="n">
        <x:v>52</x:v>
      </x:c>
      <x:c r="U43" s="69" t="n">
        <x:f>G43*T43</x:f>
        <x:v>16640</x:v>
      </x:c>
      <x:c r="V43" s="69" t="n">
        <x:f>U43-R43</x:f>
        <x:v>11104.666666666668</x:v>
      </x:c>
      <x:c r="W43" s="70" t="n">
        <x:f>IF(U43=0,0,V43/U43)</x:f>
        <x:v>0.6673477564102565</x:v>
      </x:c>
      <x:c r="X43" s="66" t="str">
        <x:f>IF(W43&lt;0,"UNPROFITABLE",IF(W43&lt;0.15,"MARGIN WATCH","HEALTHY"))</x:f>
        <x:v>HEALTHY</x:v>
      </x:c>
      <x:c r="Y43" s="66" t="str">
        <x:v>L3</x:v>
      </x:c>
      <x:c r="Z43" s="69" t="n">
        <x:v>19</x:v>
      </x:c>
      <x:c r="AA43" s="69" t="n">
        <x:f>I43*Z43+L43+((I43*Z43+L43)*M43)</x:f>
        <x:v>5265.466666666666</x:v>
      </x:c>
      <x:c r="AB43" s="69" t="n">
        <x:f>AA43-R43</x:f>
        <x:v>-269.8666666666668</x:v>
      </x:c>
      <x:c r="AC43" s="66" t="str">
        <x:f>IF(W43&lt;0,"RENEGOTIATE / REJECT",IF(AB43&lt;-500,"CONSIDER REALLOCATION",IF(W43&lt;0.15,"MARGIN WATCH","ACCEPT")))</x:f>
        <x:v>ACCEPT</x:v>
      </x:c>
      <x:c r="AD43" s="72" t="str">
        <x:f>IF(Q43&gt;0,"Includes overtime premium",IF(AB43&lt;-500,"Alternative lab materially cheaper","Standard costing"))</x:f>
        <x:v>Standard costing</x:v>
      </x:c>
    </x:row>
    <x:row r="44">
      <x:c r="A44" s="65" t="str">
        <x:f>orders!A44</x:f>
        <x:v>ORD-1143</x:v>
      </x:c>
      <x:c r="B44" s="66" t="str">
        <x:f>orders!B44</x:f>
        <x:v>Moda Verona</x:v>
      </x:c>
      <x:c r="C44" s="66" t="str">
        <x:f>orders!C44</x:f>
        <x:v>STY-002-2</x:v>
      </x:c>
      <x:c r="D44" s="66" t="str">
        <x:f>orders!D44</x:f>
        <x:v>Gonna</x:v>
      </x:c>
      <x:c r="E44" s="66" t="str">
        <x:f>orders!J44</x:f>
        <x:v>L5</x:v>
      </x:c>
      <x:c r="F44" s="66" t="str">
        <x:f>orders!K44</x:f>
        <x:v>LN-021</x:v>
      </x:c>
      <x:c r="G44" s="67" t="n">
        <x:f>orders!E44</x:f>
        <x:v>900</x:v>
      </x:c>
      <x:c r="H44" s="67" t="n">
        <x:f>orders!O44</x:f>
        <x:v>23</x:v>
      </x:c>
      <x:c r="I44" s="68" t="n">
        <x:f>orders!P44/60</x:f>
        <x:v>345</x:v>
      </x:c>
      <x:c r="J44" s="69" t="n">
        <x:v>18.5</x:v>
      </x:c>
      <x:c r="K44" s="69" t="n">
        <x:f>I44*J44</x:f>
        <x:v>6382.5</x:v>
      </x:c>
      <x:c r="L44" s="69" t="n">
        <x:v>60</x:v>
      </x:c>
      <x:c r="M44" s="70" t="n">
        <x:v>0.12</x:v>
      </x:c>
      <x:c r="N44" s="69" t="n">
        <x:f>(K44+L44)*M44</x:f>
        <x:v>773.1</x:v>
      </x:c>
      <x:c r="O44" s="71" t="n">
        <x:v>1.25</x:v>
      </x:c>
      <x:c r="P44" s="68" t="n">
        <x:f>MAX(0,(orders!Q44-orders!R44)*8)</x:f>
        <x:v>0</x:v>
      </x:c>
      <x:c r="Q44" s="69" t="n">
        <x:f>P44*(J44*O44)</x:f>
        <x:v>0</x:v>
      </x:c>
      <x:c r="R44" s="69" t="n">
        <x:f>K44+L44+N44+Q44</x:f>
        <x:v>7215.6</x:v>
      </x:c>
      <x:c r="S44" s="69" t="n">
        <x:f>R44/G44</x:f>
        <x:v>8.017333333333333</x:v>
      </x:c>
      <x:c r="T44" s="69" t="n">
        <x:v>19</x:v>
      </x:c>
      <x:c r="U44" s="69" t="n">
        <x:f>G44*T44</x:f>
        <x:v>17100</x:v>
      </x:c>
      <x:c r="V44" s="69" t="n">
        <x:f>U44-R44</x:f>
        <x:v>9884.4</x:v>
      </x:c>
      <x:c r="W44" s="70" t="n">
        <x:f>IF(U44=0,0,V44/U44)</x:f>
        <x:v>0.5780350877192982</x:v>
      </x:c>
      <x:c r="X44" s="66" t="str">
        <x:f>IF(W44&lt;0,"UNPROFITABLE",IF(W44&lt;0.15,"MARGIN WATCH","HEALTHY"))</x:f>
        <x:v>HEALTHY</x:v>
      </x:c>
      <x:c r="Y44" s="66" t="str">
        <x:v>L7</x:v>
      </x:c>
      <x:c r="Z44" s="69" t="n">
        <x:v>17.8</x:v>
      </x:c>
      <x:c r="AA44" s="69" t="n">
        <x:f>I44*Z44+L44+((I44*Z44+L44)*M44)</x:f>
        <x:v>6945.12</x:v>
      </x:c>
      <x:c r="AB44" s="69" t="n">
        <x:f>AA44-R44</x:f>
        <x:v>-270.4800000000005</x:v>
      </x:c>
      <x:c r="AC44" s="66" t="str">
        <x:f>IF(W44&lt;0,"RENEGOTIATE / REJECT",IF(AB44&lt;-500,"CONSIDER REALLOCATION",IF(W44&lt;0.15,"MARGIN WATCH","ACCEPT")))</x:f>
        <x:v>ACCEPT</x:v>
      </x:c>
      <x:c r="AD44" s="72" t="str">
        <x:f>IF(Q44&gt;0,"Includes overtime premium",IF(AB44&lt;-500,"Alternative lab materially cheaper","Standard costing"))</x:f>
        <x:v>Standard costing</x:v>
      </x:c>
    </x:row>
    <x:row r="45">
      <x:c r="A45" s="65" t="str">
        <x:f>orders!A45</x:f>
        <x:v>ORD-1144</x:v>
      </x:c>
      <x:c r="B45" s="66" t="str">
        <x:f>orders!B45</x:f>
        <x:v>Maison Milano</x:v>
      </x:c>
      <x:c r="C45" s="66" t="str">
        <x:f>orders!C45</x:f>
        <x:v>STY-007-2</x:v>
      </x:c>
      <x:c r="D45" s="66" t="str">
        <x:f>orders!D45</x:f>
        <x:v>Pantalone</x:v>
      </x:c>
      <x:c r="E45" s="66" t="str">
        <x:f>orders!J45</x:f>
        <x:v>L9</x:v>
      </x:c>
      <x:c r="F45" s="66" t="str">
        <x:f>orders!K45</x:f>
        <x:v>LN-039</x:v>
      </x:c>
      <x:c r="G45" s="67" t="n">
        <x:f>orders!E45</x:f>
        <x:v>1100</x:v>
      </x:c>
      <x:c r="H45" s="67" t="n">
        <x:f>orders!O45</x:f>
        <x:v>38</x:v>
      </x:c>
      <x:c r="I45" s="68" t="n">
        <x:f>orders!P45/60</x:f>
        <x:v>696.6666666666666</x:v>
      </x:c>
      <x:c r="J45" s="69" t="n">
        <x:v>18</x:v>
      </x:c>
      <x:c r="K45" s="69" t="n">
        <x:f>I45*J45</x:f>
        <x:v>12540</x:v>
      </x:c>
      <x:c r="L45" s="69" t="n">
        <x:v>80</x:v>
      </x:c>
      <x:c r="M45" s="70" t="n">
        <x:v>0.13</x:v>
      </x:c>
      <x:c r="N45" s="69" t="n">
        <x:f>(K45+L45)*M45</x:f>
        <x:v>1640.6000000000001</x:v>
      </x:c>
      <x:c r="O45" s="71" t="n">
        <x:v>1.25</x:v>
      </x:c>
      <x:c r="P45" s="68" t="n">
        <x:f>MAX(0,(orders!Q45-orders!R45)*8)</x:f>
        <x:v>0</x:v>
      </x:c>
      <x:c r="Q45" s="69" t="n">
        <x:f>P45*(J45*O45)</x:f>
        <x:v>0</x:v>
      </x:c>
      <x:c r="R45" s="69" t="n">
        <x:f>K45+L45+N45+Q45</x:f>
        <x:v>14260.6</x:v>
      </x:c>
      <x:c r="S45" s="69" t="n">
        <x:f>R45/G45</x:f>
        <x:v>12.96418181818182</x:v>
      </x:c>
      <x:c r="T45" s="69" t="n">
        <x:v>28</x:v>
      </x:c>
      <x:c r="U45" s="69" t="n">
        <x:f>G45*T45</x:f>
        <x:v>30800</x:v>
      </x:c>
      <x:c r="V45" s="69" t="n">
        <x:f>U45-R45</x:f>
        <x:v>16539.4</x:v>
      </x:c>
      <x:c r="W45" s="70" t="n">
        <x:f>IF(U45=0,0,V45/U45)</x:f>
        <x:v>0.5369935064935065</x:v>
      </x:c>
      <x:c r="X45" s="66" t="str">
        <x:f>IF(W45&lt;0,"UNPROFITABLE",IF(W45&lt;0.15,"MARGIN WATCH","HEALTHY"))</x:f>
        <x:v>HEALTHY</x:v>
      </x:c>
      <x:c r="Y45" s="66" t="str">
        <x:v>L7</x:v>
      </x:c>
      <x:c r="Z45" s="69" t="n">
        <x:v>17.8</x:v>
      </x:c>
      <x:c r="AA45" s="69" t="n">
        <x:f>I45*Z45+L45+((I45*Z45+L45)*M45)</x:f>
        <x:v>14103.153333333332</x:v>
      </x:c>
      <x:c r="AB45" s="69" t="n">
        <x:f>AA45-R45</x:f>
        <x:v>-157.44666666666853</x:v>
      </x:c>
      <x:c r="AC45" s="66" t="str">
        <x:f>IF(W45&lt;0,"RENEGOTIATE / REJECT",IF(AB45&lt;-500,"CONSIDER REALLOCATION",IF(W45&lt;0.15,"MARGIN WATCH","ACCEPT")))</x:f>
        <x:v>ACCEPT</x:v>
      </x:c>
      <x:c r="AD45" s="72" t="str">
        <x:f>IF(Q45&gt;0,"Includes overtime premium",IF(AB45&lt;-500,"Alternative lab materially cheaper","Standard costing"))</x:f>
        <x:v>Standard costing</x:v>
      </x:c>
    </x:row>
    <x:row r="46">
      <x:c r="A46" s="65" t="str">
        <x:f>orders!A46</x:f>
        <x:v>ORD-1145</x:v>
      </x:c>
      <x:c r="B46" s="66" t="str">
        <x:f>orders!B46</x:f>
        <x:v>Linea Roma</x:v>
      </x:c>
      <x:c r="C46" s="66" t="str">
        <x:f>orders!C46</x:f>
        <x:v>STY-011-1</x:v>
      </x:c>
      <x:c r="D46" s="66" t="str">
        <x:f>orders!D46</x:f>
        <x:v>Kimono</x:v>
      </x:c>
      <x:c r="E46" s="66" t="str">
        <x:f>orders!J46</x:f>
        <x:v>L7</x:v>
      </x:c>
      <x:c r="F46" s="66" t="str">
        <x:f>orders!K46</x:f>
        <x:v>LN-030</x:v>
      </x:c>
      <x:c r="G46" s="67" t="n">
        <x:f>orders!E46</x:f>
        <x:v>480</x:v>
      </x:c>
      <x:c r="H46" s="67" t="n">
        <x:f>orders!O46</x:f>
        <x:v>36</x:v>
      </x:c>
      <x:c r="I46" s="68" t="n">
        <x:f>orders!P46/60</x:f>
        <x:v>288</x:v>
      </x:c>
      <x:c r="J46" s="69" t="n">
        <x:v>17.8</x:v>
      </x:c>
      <x:c r="K46" s="69" t="n">
        <x:f>I46*J46</x:f>
        <x:v>5126.400000000001</x:v>
      </x:c>
      <x:c r="L46" s="69" t="n">
        <x:v>120</x:v>
      </x:c>
      <x:c r="M46" s="70" t="n">
        <x:v>0.15</x:v>
      </x:c>
      <x:c r="N46" s="69" t="n">
        <x:f>(K46+L46)*M46</x:f>
        <x:v>786.96</x:v>
      </x:c>
      <x:c r="O46" s="71" t="n">
        <x:v>1.25</x:v>
      </x:c>
      <x:c r="P46" s="68" t="n">
        <x:f>MAX(0,(orders!Q46-orders!R46)*8)</x:f>
        <x:v>0</x:v>
      </x:c>
      <x:c r="Q46" s="69" t="n">
        <x:f>P46*(J46*O46)</x:f>
        <x:v>0</x:v>
      </x:c>
      <x:c r="R46" s="69" t="n">
        <x:f>K46+L46+N46+Q46</x:f>
        <x:v>6033.360000000001</x:v>
      </x:c>
      <x:c r="S46" s="69" t="n">
        <x:f>R46/G46</x:f>
        <x:v>12.569500000000001</x:v>
      </x:c>
      <x:c r="T46" s="69" t="n">
        <x:v>44</x:v>
      </x:c>
      <x:c r="U46" s="69" t="n">
        <x:f>G46*T46</x:f>
        <x:v>21120</x:v>
      </x:c>
      <x:c r="V46" s="69" t="n">
        <x:f>U46-R46</x:f>
        <x:v>15086.64</x:v>
      </x:c>
      <x:c r="W46" s="70" t="n">
        <x:f>IF(U46=0,0,V46/U46)</x:f>
        <x:v>0.7143295454545454</x:v>
      </x:c>
      <x:c r="X46" s="66" t="str">
        <x:f>IF(W46&lt;0,"UNPROFITABLE",IF(W46&lt;0.15,"MARGIN WATCH","HEALTHY"))</x:f>
        <x:v>HEALTHY</x:v>
      </x:c>
      <x:c r="Y46" s="66" t="str">
        <x:v>L4</x:v>
      </x:c>
      <x:c r="Z46" s="69" t="n">
        <x:v>21.5</x:v>
      </x:c>
      <x:c r="AA46" s="69" t="n">
        <x:f>I46*Z46+L46+((I46*Z46+L46)*M46)</x:f>
        <x:v>7258.8</x:v>
      </x:c>
      <x:c r="AB46" s="69" t="n">
        <x:f>AA46-R46</x:f>
        <x:v>1225.4399999999996</x:v>
      </x:c>
      <x:c r="AC46" s="66" t="str">
        <x:f>IF(W46&lt;0,"RENEGOTIATE / REJECT",IF(AB46&lt;-500,"CONSIDER REALLOCATION",IF(W46&lt;0.15,"MARGIN WATCH","ACCEPT")))</x:f>
        <x:v>ACCEPT</x:v>
      </x:c>
      <x:c r="AD46" s="72" t="str">
        <x:f>IF(Q46&gt;0,"Includes overtime premium",IF(AB46&lt;-500,"Alternative lab materially cheaper","Standard costing"))</x:f>
        <x:v>Standard costing</x:v>
      </x:c>
    </x:row>
    <x:row r="47">
      <x:c r="A47" s="65" t="str">
        <x:f>orders!A47</x:f>
        <x:v>ORD-1146</x:v>
      </x:c>
      <x:c r="B47" s="66" t="str">
        <x:f>orders!B47</x:f>
        <x:v>Atelier Bologna</x:v>
      </x:c>
      <x:c r="C47" s="66" t="str">
        <x:f>orders!C47</x:f>
        <x:v>STY-010-2</x:v>
      </x:c>
      <x:c r="D47" s="66" t="str">
        <x:f>orders!D47</x:f>
        <x:v>Top</x:v>
      </x:c>
      <x:c r="E47" s="66" t="str">
        <x:f>orders!J47</x:f>
        <x:v>L6</x:v>
      </x:c>
      <x:c r="F47" s="66" t="str">
        <x:f>orders!K47</x:f>
        <x:v>LN-026</x:v>
      </x:c>
      <x:c r="G47" s="67" t="n">
        <x:f>orders!E47</x:f>
        <x:v>650</x:v>
      </x:c>
      <x:c r="H47" s="67" t="n">
        <x:f>orders!O47</x:f>
        <x:v>18</x:v>
      </x:c>
      <x:c r="I47" s="68" t="n">
        <x:f>orders!P47/60</x:f>
        <x:v>195</x:v>
      </x:c>
      <x:c r="J47" s="69" t="n">
        <x:v>23</x:v>
      </x:c>
      <x:c r="K47" s="69" t="n">
        <x:f>I47*J47</x:f>
        <x:v>4485</x:v>
      </x:c>
      <x:c r="L47" s="69" t="n">
        <x:v>50</x:v>
      </x:c>
      <x:c r="M47" s="70" t="n">
        <x:v>0.1</x:v>
      </x:c>
      <x:c r="N47" s="69" t="n">
        <x:f>(K47+L47)*M47</x:f>
        <x:v>453.5</x:v>
      </x:c>
      <x:c r="O47" s="71" t="n">
        <x:v>1.4</x:v>
      </x:c>
      <x:c r="P47" s="68" t="n">
        <x:f>MAX(0,(orders!Q47-orders!R47)*8)</x:f>
        <x:v>0</x:v>
      </x:c>
      <x:c r="Q47" s="69" t="n">
        <x:f>P47*(J47*O47)</x:f>
        <x:v>0</x:v>
      </x:c>
      <x:c r="R47" s="69" t="n">
        <x:f>K47+L47+N47+Q47</x:f>
        <x:v>4988.5</x:v>
      </x:c>
      <x:c r="S47" s="69" t="n">
        <x:f>R47/G47</x:f>
        <x:v>7.674615384615384</x:v>
      </x:c>
      <x:c r="T47" s="69" t="n">
        <x:v>16</x:v>
      </x:c>
      <x:c r="U47" s="69" t="n">
        <x:f>G47*T47</x:f>
        <x:v>10400</x:v>
      </x:c>
      <x:c r="V47" s="69" t="n">
        <x:f>U47-R47</x:f>
        <x:v>5411.5</x:v>
      </x:c>
      <x:c r="W47" s="70" t="n">
        <x:f>IF(U47=0,0,V47/U47)</x:f>
        <x:v>0.5203365384615385</x:v>
      </x:c>
      <x:c r="X47" s="66" t="str">
        <x:f>IF(W47&lt;0,"UNPROFITABLE",IF(W47&lt;0.15,"MARGIN WATCH","HEALTHY"))</x:f>
        <x:v>HEALTHY</x:v>
      </x:c>
      <x:c r="Y47" s="66" t="str">
        <x:v>L9</x:v>
      </x:c>
      <x:c r="Z47" s="69" t="n">
        <x:v>18</x:v>
      </x:c>
      <x:c r="AA47" s="69" t="n">
        <x:f>I47*Z47+L47+((I47*Z47+L47)*M47)</x:f>
        <x:v>3916</x:v>
      </x:c>
      <x:c r="AB47" s="69" t="n">
        <x:f>AA47-R47</x:f>
        <x:v>-1072.5</x:v>
      </x:c>
      <x:c r="AC47" s="66" t="str">
        <x:f>IF(W47&lt;0,"RENEGOTIATE / REJECT",IF(AB47&lt;-500,"CONSIDER REALLOCATION",IF(W47&lt;0.15,"MARGIN WATCH","ACCEPT")))</x:f>
        <x:v>CONSIDER REALLOCATION</x:v>
      </x:c>
      <x:c r="AD47" s="72" t="str">
        <x:f>IF(Q47&gt;0,"Includes overtime premium",IF(AB47&lt;-500,"Alternative lab materially cheaper","Standard costing"))</x:f>
        <x:v>Alternative lab materially cheaper</x:v>
      </x:c>
    </x:row>
    <x:row r="48">
      <x:c r="A48" s="65" t="str">
        <x:f>orders!A48</x:f>
        <x:v>ORD-1147</x:v>
      </x:c>
      <x:c r="B48" s="66" t="str">
        <x:f>orders!B48</x:f>
        <x:v>Sartoria Napoli</x:v>
      </x:c>
      <x:c r="C48" s="66" t="str">
        <x:f>orders!C48</x:f>
        <x:v>STY-012-2</x:v>
      </x:c>
      <x:c r="D48" s="66" t="str">
        <x:f>orders!D48</x:f>
        <x:v>Body</x:v>
      </x:c>
      <x:c r="E48" s="66" t="str">
        <x:f>orders!J48</x:f>
        <x:v>L10</x:v>
      </x:c>
      <x:c r="F48" s="66" t="str">
        <x:f>orders!K48</x:f>
        <x:v>LN-044</x:v>
      </x:c>
      <x:c r="G48" s="67" t="n">
        <x:f>orders!E48</x:f>
        <x:v>140</x:v>
      </x:c>
      <x:c r="H48" s="67" t="n">
        <x:f>orders!O48</x:f>
        <x:v>25</x:v>
      </x:c>
      <x:c r="I48" s="68" t="n">
        <x:f>orders!P48/60</x:f>
        <x:v>58.333333333333336</x:v>
      </x:c>
      <x:c r="J48" s="69" t="n">
        <x:v>21</x:v>
      </x:c>
      <x:c r="K48" s="69" t="n">
        <x:f>I48*J48</x:f>
        <x:v>1225</x:v>
      </x:c>
      <x:c r="L48" s="69" t="n">
        <x:v>55</x:v>
      </x:c>
      <x:c r="M48" s="70" t="n">
        <x:v>0.11</x:v>
      </x:c>
      <x:c r="N48" s="69" t="n">
        <x:f>(K48+L48)*M48</x:f>
        <x:v>140.8</x:v>
      </x:c>
      <x:c r="O48" s="71" t="n">
        <x:v>1.35</x:v>
      </x:c>
      <x:c r="P48" s="68" t="n">
        <x:f>MAX(0,(orders!Q48-orders!R48)*8)</x:f>
        <x:v>0</x:v>
      </x:c>
      <x:c r="Q48" s="69" t="n">
        <x:f>P48*(J48*O48)</x:f>
        <x:v>0</x:v>
      </x:c>
      <x:c r="R48" s="69" t="n">
        <x:f>K48+L48+N48+Q48</x:f>
        <x:v>1420.8</x:v>
      </x:c>
      <x:c r="S48" s="69" t="n">
        <x:f>R48/G48</x:f>
        <x:v>10.148571428571428</x:v>
      </x:c>
      <x:c r="T48" s="69" t="n">
        <x:v>18</x:v>
      </x:c>
      <x:c r="U48" s="69" t="n">
        <x:f>G48*T48</x:f>
        <x:v>2520</x:v>
      </x:c>
      <x:c r="V48" s="69" t="n">
        <x:f>U48-R48</x:f>
        <x:v>1099.2</x:v>
      </x:c>
      <x:c r="W48" s="70" t="n">
        <x:f>IF(U48=0,0,V48/U48)</x:f>
        <x:v>0.4361904761904762</x:v>
      </x:c>
      <x:c r="X48" s="66" t="str">
        <x:f>IF(W48&lt;0,"UNPROFITABLE",IF(W48&lt;0.15,"MARGIN WATCH","HEALTHY"))</x:f>
        <x:v>HEALTHY</x:v>
      </x:c>
      <x:c r="Y48" s="66" t="str">
        <x:v>L3</x:v>
      </x:c>
      <x:c r="Z48" s="69" t="n">
        <x:v>19</x:v>
      </x:c>
      <x:c r="AA48" s="69" t="n">
        <x:f>I48*Z48+L48+((I48*Z48+L48)*M48)</x:f>
        <x:v>1291.3000000000002</x:v>
      </x:c>
      <x:c r="AB48" s="69" t="n">
        <x:f>AA48-R48</x:f>
        <x:v>-129.49999999999977</x:v>
      </x:c>
      <x:c r="AC48" s="66" t="str">
        <x:f>IF(W48&lt;0,"RENEGOTIATE / REJECT",IF(AB48&lt;-500,"CONSIDER REALLOCATION",IF(W48&lt;0.15,"MARGIN WATCH","ACCEPT")))</x:f>
        <x:v>ACCEPT</x:v>
      </x:c>
      <x:c r="AD48" s="72" t="str">
        <x:f>IF(Q48&gt;0,"Includes overtime premium",IF(AB48&lt;-500,"Alternative lab materially cheaper","Standard costing"))</x:f>
        <x:v>Standard costing</x:v>
      </x:c>
    </x:row>
    <x:row r="49">
      <x:c r="A49" s="65" t="str">
        <x:f>orders!A49</x:f>
        <x:v>ORD-1148</x:v>
      </x:c>
      <x:c r="B49" s="66" t="str">
        <x:f>orders!B49</x:f>
        <x:v>Boutique Genova</x:v>
      </x:c>
      <x:c r="C49" s="66" t="str">
        <x:f>orders!C49</x:f>
        <x:v>STY-006-1</x:v>
      </x:c>
      <x:c r="D49" s="66" t="str">
        <x:f>orders!D49</x:f>
        <x:v>T-shirt</x:v>
      </x:c>
      <x:c r="E49" s="66" t="str">
        <x:f>orders!J49</x:f>
        <x:v>L9</x:v>
      </x:c>
      <x:c r="F49" s="66" t="str">
        <x:f>orders!K49</x:f>
        <x:v>LN-039</x:v>
      </x:c>
      <x:c r="G49" s="67" t="n">
        <x:f>orders!E49</x:f>
        <x:v>1450</x:v>
      </x:c>
      <x:c r="H49" s="67" t="n">
        <x:f>orders!O49</x:f>
        <x:v>17</x:v>
      </x:c>
      <x:c r="I49" s="68" t="n">
        <x:f>orders!P49/60</x:f>
        <x:v>410.8333333333333</x:v>
      </x:c>
      <x:c r="J49" s="69" t="n">
        <x:v>18</x:v>
      </x:c>
      <x:c r="K49" s="69" t="n">
        <x:f>I49*J49</x:f>
        <x:v>7395</x:v>
      </x:c>
      <x:c r="L49" s="69" t="n">
        <x:v>40</x:v>
      </x:c>
      <x:c r="M49" s="70" t="n">
        <x:v>0.1</x:v>
      </x:c>
      <x:c r="N49" s="69" t="n">
        <x:f>(K49+L49)*M49</x:f>
        <x:v>743.5</x:v>
      </x:c>
      <x:c r="O49" s="71" t="n">
        <x:v>1.25</x:v>
      </x:c>
      <x:c r="P49" s="68" t="n">
        <x:f>MAX(0,(orders!Q49-orders!R49)*8)</x:f>
        <x:v>0</x:v>
      </x:c>
      <x:c r="Q49" s="69" t="n">
        <x:f>P49*(J49*O49)</x:f>
        <x:v>0</x:v>
      </x:c>
      <x:c r="R49" s="69" t="n">
        <x:f>K49+L49+N49+Q49</x:f>
        <x:v>8178.5</x:v>
      </x:c>
      <x:c r="S49" s="69" t="n">
        <x:f>R49/G49</x:f>
        <x:v>5.6403448275862065</x:v>
      </x:c>
      <x:c r="T49" s="69" t="n">
        <x:v>12</x:v>
      </x:c>
      <x:c r="U49" s="69" t="n">
        <x:f>G49*T49</x:f>
        <x:v>17400</x:v>
      </x:c>
      <x:c r="V49" s="69" t="n">
        <x:f>U49-R49</x:f>
        <x:v>9221.5</x:v>
      </x:c>
      <x:c r="W49" s="70" t="n">
        <x:f>IF(U49=0,0,V49/U49)</x:f>
        <x:v>0.529971264367816</x:v>
      </x:c>
      <x:c r="X49" s="66" t="str">
        <x:f>IF(W49&lt;0,"UNPROFITABLE",IF(W49&lt;0.15,"MARGIN WATCH","HEALTHY"))</x:f>
        <x:v>HEALTHY</x:v>
      </x:c>
      <x:c r="Y49" s="66" t="str">
        <x:v>L5</x:v>
      </x:c>
      <x:c r="Z49" s="69" t="n">
        <x:v>18.5</x:v>
      </x:c>
      <x:c r="AA49" s="69" t="n">
        <x:f>I49*Z49+L49+((I49*Z49+L49)*M49)</x:f>
        <x:v>8404.458333333332</x:v>
      </x:c>
      <x:c r="AB49" s="69" t="n">
        <x:f>AA49-R49</x:f>
        <x:v>225.95833333333212</x:v>
      </x:c>
      <x:c r="AC49" s="66" t="str">
        <x:f>IF(W49&lt;0,"RENEGOTIATE / REJECT",IF(AB49&lt;-500,"CONSIDER REALLOCATION",IF(W49&lt;0.15,"MARGIN WATCH","ACCEPT")))</x:f>
        <x:v>ACCEPT</x:v>
      </x:c>
      <x:c r="AD49" s="72" t="str">
        <x:f>IF(Q49&gt;0,"Includes overtime premium",IF(AB49&lt;-500,"Alternative lab materially cheaper","Standard costing"))</x:f>
        <x:v>Standard costing</x:v>
      </x:c>
    </x:row>
    <x:row r="50">
      <x:c r="A50" s="65" t="str">
        <x:f>orders!A50</x:f>
        <x:v>ORD-1149</x:v>
      </x:c>
      <x:c r="B50" s="66" t="str">
        <x:f>orders!B50</x:f>
        <x:v>Maison Milano</x:v>
      </x:c>
      <x:c r="C50" s="66" t="str">
        <x:f>orders!C50</x:f>
        <x:v>STY-005-2</x:v>
      </x:c>
      <x:c r="D50" s="66" t="str">
        <x:f>orders!D50</x:f>
        <x:v>Jeans</x:v>
      </x:c>
      <x:c r="E50" s="66" t="str">
        <x:f>orders!J50</x:f>
        <x:v>L9</x:v>
      </x:c>
      <x:c r="F50" s="66" t="str">
        <x:f>orders!K50</x:f>
        <x:v>LN-039</x:v>
      </x:c>
      <x:c r="G50" s="67" t="n">
        <x:f>orders!E50</x:f>
        <x:v>700</x:v>
      </x:c>
      <x:c r="H50" s="67" t="n">
        <x:f>orders!O50</x:f>
        <x:v>35</x:v>
      </x:c>
      <x:c r="I50" s="68" t="n">
        <x:f>orders!P50/60</x:f>
        <x:v>408.3333333333333</x:v>
      </x:c>
      <x:c r="J50" s="69" t="n">
        <x:v>18</x:v>
      </x:c>
      <x:c r="K50" s="69" t="n">
        <x:f>I50*J50</x:f>
        <x:v>7350</x:v>
      </x:c>
      <x:c r="L50" s="69" t="n">
        <x:v>90</x:v>
      </x:c>
      <x:c r="M50" s="70" t="n">
        <x:v>0.14</x:v>
      </x:c>
      <x:c r="N50" s="69" t="n">
        <x:f>(K50+L50)*M50</x:f>
        <x:v>1041.6000000000001</x:v>
      </x:c>
      <x:c r="O50" s="71" t="n">
        <x:v>1.25</x:v>
      </x:c>
      <x:c r="P50" s="68" t="n">
        <x:f>MAX(0,(orders!Q50-orders!R50)*8)</x:f>
        <x:v>0</x:v>
      </x:c>
      <x:c r="Q50" s="69" t="n">
        <x:f>P50*(J50*O50)</x:f>
        <x:v>0</x:v>
      </x:c>
      <x:c r="R50" s="69" t="n">
        <x:f>K50+L50+N50+Q50</x:f>
        <x:v>8481.6</x:v>
      </x:c>
      <x:c r="S50" s="69" t="n">
        <x:f>R50/G50</x:f>
        <x:v>12.11657142857143</x:v>
      </x:c>
      <x:c r="T50" s="69" t="n">
        <x:v>36</x:v>
      </x:c>
      <x:c r="U50" s="69" t="n">
        <x:f>G50*T50</x:f>
        <x:v>25200</x:v>
      </x:c>
      <x:c r="V50" s="69" t="n">
        <x:f>U50-R50</x:f>
        <x:v>16718.4</x:v>
      </x:c>
      <x:c r="W50" s="70" t="n">
        <x:f>IF(U50=0,0,V50/U50)</x:f>
        <x:v>0.6634285714285715</x:v>
      </x:c>
      <x:c r="X50" s="66" t="str">
        <x:f>IF(W50&lt;0,"UNPROFITABLE",IF(W50&lt;0.15,"MARGIN WATCH","HEALTHY"))</x:f>
        <x:v>HEALTHY</x:v>
      </x:c>
      <x:c r="Y50" s="66" t="str">
        <x:v>L5</x:v>
      </x:c>
      <x:c r="Z50" s="69" t="n">
        <x:v>18.5</x:v>
      </x:c>
      <x:c r="AA50" s="69" t="n">
        <x:f>I50*Z50+L50+((I50*Z50+L50)*M50)</x:f>
        <x:v>8714.349999999999</x:v>
      </x:c>
      <x:c r="AB50" s="69" t="n">
        <x:f>AA50-R50</x:f>
        <x:v>232.74999999999818</x:v>
      </x:c>
      <x:c r="AC50" s="66" t="str">
        <x:f>IF(W50&lt;0,"RENEGOTIATE / REJECT",IF(AB50&lt;-500,"CONSIDER REALLOCATION",IF(W50&lt;0.15,"MARGIN WATCH","ACCEPT")))</x:f>
        <x:v>ACCEPT</x:v>
      </x:c>
      <x:c r="AD50" s="72" t="str">
        <x:f>IF(Q50&gt;0,"Includes overtime premium",IF(AB50&lt;-500,"Alternative lab materially cheaper","Standard costing"))</x:f>
        <x:v>Standard costing</x:v>
      </x:c>
    </x:row>
    <x:row r="51">
      <x:c r="A51" s="65" t="str">
        <x:f>orders!A51</x:f>
        <x:v>ORD-1150</x:v>
      </x:c>
      <x:c r="B51" s="66" t="str">
        <x:f>orders!B51</x:f>
        <x:v>Linea Roma</x:v>
      </x:c>
      <x:c r="C51" s="66" t="str">
        <x:f>orders!C51</x:f>
        <x:v>STY-001-1</x:v>
      </x:c>
      <x:c r="D51" s="66" t="str">
        <x:f>orders!D51</x:f>
        <x:v>Cappotto</x:v>
      </x:c>
      <x:c r="E51" s="66" t="str">
        <x:f>orders!J51</x:f>
        <x:v>L9</x:v>
      </x:c>
      <x:c r="F51" s="66" t="str">
        <x:f>orders!K51</x:f>
        <x:v>LN-039</x:v>
      </x:c>
      <x:c r="G51" s="67" t="n">
        <x:f>orders!E51</x:f>
        <x:v>60</x:v>
      </x:c>
      <x:c r="H51" s="67" t="n">
        <x:f>orders!O51</x:f>
        <x:v>80</x:v>
      </x:c>
      <x:c r="I51" s="68" t="n">
        <x:f>orders!P51/60</x:f>
        <x:v>80</x:v>
      </x:c>
      <x:c r="J51" s="69" t="n">
        <x:v>18</x:v>
      </x:c>
      <x:c r="K51" s="69" t="n">
        <x:f>I51*J51</x:f>
        <x:v>1440</x:v>
      </x:c>
      <x:c r="L51" s="69" t="n">
        <x:v>180</x:v>
      </x:c>
      <x:c r="M51" s="70" t="n">
        <x:v>0.15</x:v>
      </x:c>
      <x:c r="N51" s="69" t="n">
        <x:f>(K51+L51)*M51</x:f>
        <x:v>243</x:v>
      </x:c>
      <x:c r="O51" s="71" t="n">
        <x:v>1.25</x:v>
      </x:c>
      <x:c r="P51" s="68" t="n">
        <x:f>MAX(0,(orders!Q51-orders!R51)*8)</x:f>
        <x:v>0</x:v>
      </x:c>
      <x:c r="Q51" s="69" t="n">
        <x:f>P51*(J51*O51)</x:f>
        <x:v>0</x:v>
      </x:c>
      <x:c r="R51" s="69" t="n">
        <x:f>K51+L51+N51+Q51</x:f>
        <x:v>1863</x:v>
      </x:c>
      <x:c r="S51" s="69" t="n">
        <x:f>R51/G51</x:f>
        <x:v>31.05</x:v>
      </x:c>
      <x:c r="T51" s="69" t="n">
        <x:v>72</x:v>
      </x:c>
      <x:c r="U51" s="69" t="n">
        <x:f>G51*T51</x:f>
        <x:v>4320</x:v>
      </x:c>
      <x:c r="V51" s="69" t="n">
        <x:f>U51-R51</x:f>
        <x:v>2457</x:v>
      </x:c>
      <x:c r="W51" s="70" t="n">
        <x:f>IF(U51=0,0,V51/U51)</x:f>
        <x:v>0.56875</x:v>
      </x:c>
      <x:c r="X51" s="66" t="str">
        <x:f>IF(W51&lt;0,"UNPROFITABLE",IF(W51&lt;0.15,"MARGIN WATCH","HEALTHY"))</x:f>
        <x:v>HEALTHY</x:v>
      </x:c>
      <x:c r="Y51" s="66" t="str">
        <x:v>L2</x:v>
      </x:c>
      <x:c r="Z51" s="69" t="n">
        <x:v>20.5</x:v>
      </x:c>
      <x:c r="AA51" s="69" t="n">
        <x:f>I51*Z51+L51+((I51*Z51+L51)*M51)</x:f>
        <x:v>2093</x:v>
      </x:c>
      <x:c r="AB51" s="69" t="n">
        <x:f>AA51-R51</x:f>
        <x:v>230</x:v>
      </x:c>
      <x:c r="AC51" s="66" t="str">
        <x:f>IF(W51&lt;0,"RENEGOTIATE / REJECT",IF(AB51&lt;-500,"CONSIDER REALLOCATION",IF(W51&lt;0.15,"MARGIN WATCH","ACCEPT")))</x:f>
        <x:v>ACCEPT</x:v>
      </x:c>
      <x:c r="AD51" s="72" t="str">
        <x:f>IF(Q51&gt;0,"Includes overtime premium",IF(AB51&lt;-500,"Alternative lab materially cheaper","Standard costing"))</x:f>
        <x:v>Standard costing</x:v>
      </x:c>
    </x:row>
    <x:row r="52">
      <x:c r="A52" s="65" t="str">
        <x:f>orders!A52</x:f>
        <x:v>ORD-1151</x:v>
      </x:c>
      <x:c r="B52" s="66" t="str">
        <x:f>orders!B52</x:f>
        <x:v>Boutique Genova</x:v>
      </x:c>
      <x:c r="C52" s="66" t="str">
        <x:f>orders!C52</x:f>
        <x:v>STY-007-1</x:v>
      </x:c>
      <x:c r="D52" s="66" t="str">
        <x:f>orders!D52</x:f>
        <x:v>Pantalone</x:v>
      </x:c>
      <x:c r="E52" s="66" t="str">
        <x:f>orders!J52</x:f>
        <x:v>L7</x:v>
      </x:c>
      <x:c r="F52" s="66" t="str">
        <x:f>orders!K52</x:f>
        <x:v>LN-030</x:v>
      </x:c>
      <x:c r="G52" s="67" t="n">
        <x:f>orders!E52</x:f>
        <x:v>360</x:v>
      </x:c>
      <x:c r="H52" s="67" t="n">
        <x:f>orders!O52</x:f>
        <x:v>34</x:v>
      </x:c>
      <x:c r="I52" s="68" t="n">
        <x:f>orders!P52/60</x:f>
        <x:v>204</x:v>
      </x:c>
      <x:c r="J52" s="69" t="n">
        <x:v>17.8</x:v>
      </x:c>
      <x:c r="K52" s="69" t="n">
        <x:f>I52*J52</x:f>
        <x:v>3631.2000000000003</x:v>
      </x:c>
      <x:c r="L52" s="69" t="n">
        <x:v>80</x:v>
      </x:c>
      <x:c r="M52" s="70" t="n">
        <x:v>0.13</x:v>
      </x:c>
      <x:c r="N52" s="69" t="n">
        <x:f>(K52+L52)*M52</x:f>
        <x:v>482.4560000000001</x:v>
      </x:c>
      <x:c r="O52" s="71" t="n">
        <x:v>1.25</x:v>
      </x:c>
      <x:c r="P52" s="68" t="n">
        <x:f>MAX(0,(orders!Q52-orders!R52)*8)</x:f>
        <x:v>0</x:v>
      </x:c>
      <x:c r="Q52" s="69" t="n">
        <x:f>P52*(J52*O52)</x:f>
        <x:v>0</x:v>
      </x:c>
      <x:c r="R52" s="69" t="n">
        <x:f>K52+L52+N52+Q52</x:f>
        <x:v>4193.656</x:v>
      </x:c>
      <x:c r="S52" s="69" t="n">
        <x:f>R52/G52</x:f>
        <x:v>11.649044444444444</x:v>
      </x:c>
      <x:c r="T52" s="69" t="n">
        <x:v>28</x:v>
      </x:c>
      <x:c r="U52" s="69" t="n">
        <x:f>G52*T52</x:f>
        <x:v>10080</x:v>
      </x:c>
      <x:c r="V52" s="69" t="n">
        <x:f>U52-R52</x:f>
        <x:v>5886.344</x:v>
      </x:c>
      <x:c r="W52" s="70" t="n">
        <x:f>IF(U52=0,0,V52/U52)</x:f>
        <x:v>0.5839626984126984</x:v>
      </x:c>
      <x:c r="X52" s="66" t="str">
        <x:f>IF(W52&lt;0,"UNPROFITABLE",IF(W52&lt;0.15,"MARGIN WATCH","HEALTHY"))</x:f>
        <x:v>HEALTHY</x:v>
      </x:c>
      <x:c r="Y52" s="66" t="str">
        <x:v>L7</x:v>
      </x:c>
      <x:c r="Z52" s="69" t="n">
        <x:v>17.8</x:v>
      </x:c>
      <x:c r="AA52" s="69" t="n">
        <x:f>I52*Z52+L52+((I52*Z52+L52)*M52)</x:f>
        <x:v>4193.656</x:v>
      </x:c>
      <x:c r="AB52" s="69" t="n">
        <x:f>AA52-R52</x:f>
        <x:v>0</x:v>
      </x:c>
      <x:c r="AC52" s="66" t="str">
        <x:f>IF(W52&lt;0,"RENEGOTIATE / REJECT",IF(AB52&lt;-500,"CONSIDER REALLOCATION",IF(W52&lt;0.15,"MARGIN WATCH","ACCEPT")))</x:f>
        <x:v>ACCEPT</x:v>
      </x:c>
      <x:c r="AD52" s="72" t="str">
        <x:f>IF(Q52&gt;0,"Includes overtime premium",IF(AB52&lt;-500,"Alternative lab materially cheaper","Standard costing"))</x:f>
        <x:v>Standard costing</x:v>
      </x:c>
    </x:row>
    <x:row r="53">
      <x:c r="A53" s="65" t="str">
        <x:f>orders!A53</x:f>
        <x:v>ORD-1152</x:v>
      </x:c>
      <x:c r="B53" s="66" t="str">
        <x:f>orders!B53</x:f>
        <x:v>Boutique Genova</x:v>
      </x:c>
      <x:c r="C53" s="66" t="str">
        <x:f>orders!C53</x:f>
        <x:v>STY-010-2</x:v>
      </x:c>
      <x:c r="D53" s="66" t="str">
        <x:f>orders!D53</x:f>
        <x:v>Top</x:v>
      </x:c>
      <x:c r="E53" s="66" t="str">
        <x:f>orders!J53</x:f>
        <x:v>L6</x:v>
      </x:c>
      <x:c r="F53" s="66" t="str">
        <x:f>orders!K53</x:f>
        <x:v>LN-026</x:v>
      </x:c>
      <x:c r="G53" s="67" t="n">
        <x:f>orders!E53</x:f>
        <x:v>650</x:v>
      </x:c>
      <x:c r="H53" s="67" t="n">
        <x:f>orders!O53</x:f>
        <x:v>18</x:v>
      </x:c>
      <x:c r="I53" s="68" t="n">
        <x:f>orders!P53/60</x:f>
        <x:v>195</x:v>
      </x:c>
      <x:c r="J53" s="69" t="n">
        <x:v>23</x:v>
      </x:c>
      <x:c r="K53" s="69" t="n">
        <x:f>I53*J53</x:f>
        <x:v>4485</x:v>
      </x:c>
      <x:c r="L53" s="69" t="n">
        <x:v>50</x:v>
      </x:c>
      <x:c r="M53" s="70" t="n">
        <x:v>0.1</x:v>
      </x:c>
      <x:c r="N53" s="69" t="n">
        <x:f>(K53+L53)*M53</x:f>
        <x:v>453.5</x:v>
      </x:c>
      <x:c r="O53" s="71" t="n">
        <x:v>1.4</x:v>
      </x:c>
      <x:c r="P53" s="68" t="n">
        <x:f>MAX(0,(orders!Q53-orders!R53)*8)</x:f>
        <x:v>0</x:v>
      </x:c>
      <x:c r="Q53" s="69" t="n">
        <x:f>P53*(J53*O53)</x:f>
        <x:v>0</x:v>
      </x:c>
      <x:c r="R53" s="69" t="n">
        <x:f>K53+L53+N53+Q53</x:f>
        <x:v>4988.5</x:v>
      </x:c>
      <x:c r="S53" s="69" t="n">
        <x:f>R53/G53</x:f>
        <x:v>7.674615384615384</x:v>
      </x:c>
      <x:c r="T53" s="69" t="n">
        <x:v>16</x:v>
      </x:c>
      <x:c r="U53" s="69" t="n">
        <x:f>G53*T53</x:f>
        <x:v>10400</x:v>
      </x:c>
      <x:c r="V53" s="69" t="n">
        <x:f>U53-R53</x:f>
        <x:v>5411.5</x:v>
      </x:c>
      <x:c r="W53" s="70" t="n">
        <x:f>IF(U53=0,0,V53/U53)</x:f>
        <x:v>0.5203365384615385</x:v>
      </x:c>
      <x:c r="X53" s="66" t="str">
        <x:f>IF(W53&lt;0,"UNPROFITABLE",IF(W53&lt;0.15,"MARGIN WATCH","HEALTHY"))</x:f>
        <x:v>HEALTHY</x:v>
      </x:c>
      <x:c r="Y53" s="66" t="str">
        <x:v>L9</x:v>
      </x:c>
      <x:c r="Z53" s="69" t="n">
        <x:v>18</x:v>
      </x:c>
      <x:c r="AA53" s="69" t="n">
        <x:f>I53*Z53+L53+((I53*Z53+L53)*M53)</x:f>
        <x:v>3916</x:v>
      </x:c>
      <x:c r="AB53" s="69" t="n">
        <x:f>AA53-R53</x:f>
        <x:v>-1072.5</x:v>
      </x:c>
      <x:c r="AC53" s="66" t="str">
        <x:f>IF(W53&lt;0,"RENEGOTIATE / REJECT",IF(AB53&lt;-500,"CONSIDER REALLOCATION",IF(W53&lt;0.15,"MARGIN WATCH","ACCEPT")))</x:f>
        <x:v>CONSIDER REALLOCATION</x:v>
      </x:c>
      <x:c r="AD53" s="72" t="str">
        <x:f>IF(Q53&gt;0,"Includes overtime premium",IF(AB53&lt;-500,"Alternative lab materially cheaper","Standard costing"))</x:f>
        <x:v>Alternative lab materially cheaper</x:v>
      </x:c>
    </x:row>
    <x:row r="54">
      <x:c r="A54" s="65" t="str">
        <x:f>orders!A54</x:f>
        <x:v>ORD-1153</x:v>
      </x:c>
      <x:c r="B54" s="66" t="str">
        <x:f>orders!B54</x:f>
        <x:v>Venezia Atelier</x:v>
      </x:c>
      <x:c r="C54" s="66" t="str">
        <x:f>orders!C54</x:f>
        <x:v>STY-001-2</x:v>
      </x:c>
      <x:c r="D54" s="66" t="str">
        <x:f>orders!D54</x:f>
        <x:v>Cappotto</x:v>
      </x:c>
      <x:c r="E54" s="66" t="str">
        <x:f>orders!J54</x:f>
        <x:v>L9</x:v>
      </x:c>
      <x:c r="F54" s="66" t="str">
        <x:f>orders!K54</x:f>
        <x:v>LN-039</x:v>
      </x:c>
      <x:c r="G54" s="67" t="n">
        <x:f>orders!E54</x:f>
        <x:v>60</x:v>
      </x:c>
      <x:c r="H54" s="67" t="n">
        <x:f>orders!O54</x:f>
        <x:v>79</x:v>
      </x:c>
      <x:c r="I54" s="68" t="n">
        <x:f>orders!P54/60</x:f>
        <x:v>79</x:v>
      </x:c>
      <x:c r="J54" s="69" t="n">
        <x:v>18</x:v>
      </x:c>
      <x:c r="K54" s="69" t="n">
        <x:f>I54*J54</x:f>
        <x:v>1422</x:v>
      </x:c>
      <x:c r="L54" s="69" t="n">
        <x:v>180</x:v>
      </x:c>
      <x:c r="M54" s="70" t="n">
        <x:v>0.15</x:v>
      </x:c>
      <x:c r="N54" s="69" t="n">
        <x:f>(K54+L54)*M54</x:f>
        <x:v>240.29999999999998</x:v>
      </x:c>
      <x:c r="O54" s="71" t="n">
        <x:v>1.25</x:v>
      </x:c>
      <x:c r="P54" s="68" t="n">
        <x:f>MAX(0,(orders!Q54-orders!R54)*8)</x:f>
        <x:v>0</x:v>
      </x:c>
      <x:c r="Q54" s="69" t="n">
        <x:f>P54*(J54*O54)</x:f>
        <x:v>0</x:v>
      </x:c>
      <x:c r="R54" s="69" t="n">
        <x:f>K54+L54+N54+Q54</x:f>
        <x:v>1842.3</x:v>
      </x:c>
      <x:c r="S54" s="69" t="n">
        <x:f>R54/G54</x:f>
        <x:v>30.705</x:v>
      </x:c>
      <x:c r="T54" s="69" t="n">
        <x:v>72</x:v>
      </x:c>
      <x:c r="U54" s="69" t="n">
        <x:f>G54*T54</x:f>
        <x:v>4320</x:v>
      </x:c>
      <x:c r="V54" s="69" t="n">
        <x:f>U54-R54</x:f>
        <x:v>2477.7</x:v>
      </x:c>
      <x:c r="W54" s="70" t="n">
        <x:f>IF(U54=0,0,V54/U54)</x:f>
        <x:v>0.5735416666666666</x:v>
      </x:c>
      <x:c r="X54" s="66" t="str">
        <x:f>IF(W54&lt;0,"UNPROFITABLE",IF(W54&lt;0.15,"MARGIN WATCH","HEALTHY"))</x:f>
        <x:v>HEALTHY</x:v>
      </x:c>
      <x:c r="Y54" s="66" t="str">
        <x:v>L2</x:v>
      </x:c>
      <x:c r="Z54" s="69" t="n">
        <x:v>20.5</x:v>
      </x:c>
      <x:c r="AA54" s="69" t="n">
        <x:f>I54*Z54+L54+((I54*Z54+L54)*M54)</x:f>
        <x:v>2069.425</x:v>
      </x:c>
      <x:c r="AB54" s="69" t="n">
        <x:f>AA54-R54</x:f>
        <x:v>227.12500000000023</x:v>
      </x:c>
      <x:c r="AC54" s="66" t="str">
        <x:f>IF(W54&lt;0,"RENEGOTIATE / REJECT",IF(AB54&lt;-500,"CONSIDER REALLOCATION",IF(W54&lt;0.15,"MARGIN WATCH","ACCEPT")))</x:f>
        <x:v>ACCEPT</x:v>
      </x:c>
      <x:c r="AD54" s="72" t="str">
        <x:f>IF(Q54&gt;0,"Includes overtime premium",IF(AB54&lt;-500,"Alternative lab materially cheaper","Standard costing"))</x:f>
        <x:v>Standard costing</x:v>
      </x:c>
    </x:row>
    <x:row r="55">
      <x:c r="A55" s="65" t="str">
        <x:f>orders!A55</x:f>
        <x:v>ORD-1154</x:v>
      </x:c>
      <x:c r="B55" s="66" t="str">
        <x:f>orders!B55</x:f>
        <x:v>Studio Firenze</x:v>
      </x:c>
      <x:c r="C55" s="66" t="str">
        <x:f>orders!C55</x:f>
        <x:v>STY-016-2</x:v>
      </x:c>
      <x:c r="D55" s="66" t="str">
        <x:f>orders!D55</x:f>
        <x:v>Baby doll</x:v>
      </x:c>
      <x:c r="E55" s="66" t="str">
        <x:f>orders!J55</x:f>
        <x:v>L9</x:v>
      </x:c>
      <x:c r="F55" s="66" t="str">
        <x:f>orders!K55</x:f>
        <x:v>LN-039</x:v>
      </x:c>
      <x:c r="G55" s="67" t="n">
        <x:f>orders!E55</x:f>
        <x:v>300</x:v>
      </x:c>
      <x:c r="H55" s="67" t="n">
        <x:f>orders!O55</x:f>
        <x:v>27</x:v>
      </x:c>
      <x:c r="I55" s="68" t="n">
        <x:f>orders!P55/60</x:f>
        <x:v>135</x:v>
      </x:c>
      <x:c r="J55" s="69" t="n">
        <x:v>18</x:v>
      </x:c>
      <x:c r="K55" s="69" t="n">
        <x:f>I55*J55</x:f>
        <x:v>2430</x:v>
      </x:c>
      <x:c r="L55" s="69" t="n">
        <x:v>75</x:v>
      </x:c>
      <x:c r="M55" s="70" t="n">
        <x:v>0.12</x:v>
      </x:c>
      <x:c r="N55" s="69" t="n">
        <x:f>(K55+L55)*M55</x:f>
        <x:v>300.59999999999997</x:v>
      </x:c>
      <x:c r="O55" s="71" t="n">
        <x:v>1.25</x:v>
      </x:c>
      <x:c r="P55" s="68" t="n">
        <x:f>MAX(0,(orders!Q55-orders!R55)*8)</x:f>
        <x:v>0</x:v>
      </x:c>
      <x:c r="Q55" s="69" t="n">
        <x:f>P55*(J55*O55)</x:f>
        <x:v>0</x:v>
      </x:c>
      <x:c r="R55" s="69" t="n">
        <x:f>K55+L55+N55+Q55</x:f>
        <x:v>2805.6</x:v>
      </x:c>
      <x:c r="S55" s="69" t="n">
        <x:f>R55/G55</x:f>
        <x:v>9.352</x:v>
      </x:c>
      <x:c r="T55" s="69" t="n">
        <x:v>25</x:v>
      </x:c>
      <x:c r="U55" s="69" t="n">
        <x:f>G55*T55</x:f>
        <x:v>7500</x:v>
      </x:c>
      <x:c r="V55" s="69" t="n">
        <x:f>U55-R55</x:f>
        <x:v>4694.4</x:v>
      </x:c>
      <x:c r="W55" s="70" t="n">
        <x:f>IF(U55=0,0,V55/U55)</x:f>
        <x:v>0.6259199999999999</x:v>
      </x:c>
      <x:c r="X55" s="66" t="str">
        <x:f>IF(W55&lt;0,"UNPROFITABLE",IF(W55&lt;0.15,"MARGIN WATCH","HEALTHY"))</x:f>
        <x:v>HEALTHY</x:v>
      </x:c>
      <x:c r="Y55" s="66" t="str">
        <x:v>L7</x:v>
      </x:c>
      <x:c r="Z55" s="69" t="n">
        <x:v>17.8</x:v>
      </x:c>
      <x:c r="AA55" s="69" t="n">
        <x:f>I55*Z55+L55+((I55*Z55+L55)*M55)</x:f>
        <x:v>2775.36</x:v>
      </x:c>
      <x:c r="AB55" s="69" t="n">
        <x:f>AA55-R55</x:f>
        <x:v>-30.23999999999978</x:v>
      </x:c>
      <x:c r="AC55" s="66" t="str">
        <x:f>IF(W55&lt;0,"RENEGOTIATE / REJECT",IF(AB55&lt;-500,"CONSIDER REALLOCATION",IF(W55&lt;0.15,"MARGIN WATCH","ACCEPT")))</x:f>
        <x:v>ACCEPT</x:v>
      </x:c>
      <x:c r="AD55" s="72" t="str">
        <x:f>IF(Q55&gt;0,"Includes overtime premium",IF(AB55&lt;-500,"Alternative lab materially cheaper","Standard costing"))</x:f>
        <x:v>Standard costing</x:v>
      </x:c>
    </x:row>
    <x:row r="56">
      <x:c r="A56" s="65" t="str">
        <x:f>orders!A56</x:f>
        <x:v>ORD-1155</x:v>
      </x:c>
      <x:c r="B56" s="66" t="str">
        <x:f>orders!B56</x:f>
        <x:v>Studio Firenze</x:v>
      </x:c>
      <x:c r="C56" s="66" t="str">
        <x:f>orders!C56</x:f>
        <x:v>STY-006-1</x:v>
      </x:c>
      <x:c r="D56" s="66" t="str">
        <x:f>orders!D56</x:f>
        <x:v>T-shirt</x:v>
      </x:c>
      <x:c r="E56" s="66" t="str">
        <x:f>orders!J56</x:f>
        <x:v>L6</x:v>
      </x:c>
      <x:c r="F56" s="66" t="str">
        <x:f>orders!K56</x:f>
        <x:v>LN-026</x:v>
      </x:c>
      <x:c r="G56" s="67" t="n">
        <x:f>orders!E56</x:f>
        <x:v>480</x:v>
      </x:c>
      <x:c r="H56" s="67" t="n">
        <x:f>orders!O56</x:f>
        <x:v>17</x:v>
      </x:c>
      <x:c r="I56" s="68" t="n">
        <x:f>orders!P56/60</x:f>
        <x:v>136</x:v>
      </x:c>
      <x:c r="J56" s="69" t="n">
        <x:v>23</x:v>
      </x:c>
      <x:c r="K56" s="69" t="n">
        <x:f>I56*J56</x:f>
        <x:v>3128</x:v>
      </x:c>
      <x:c r="L56" s="69" t="n">
        <x:v>40</x:v>
      </x:c>
      <x:c r="M56" s="70" t="n">
        <x:v>0.1</x:v>
      </x:c>
      <x:c r="N56" s="69" t="n">
        <x:f>(K56+L56)*M56</x:f>
        <x:v>316.8</x:v>
      </x:c>
      <x:c r="O56" s="71" t="n">
        <x:v>1.4</x:v>
      </x:c>
      <x:c r="P56" s="68" t="n">
        <x:f>MAX(0,(orders!Q56-orders!R56)*8)</x:f>
        <x:v>0</x:v>
      </x:c>
      <x:c r="Q56" s="69" t="n">
        <x:f>P56*(J56*O56)</x:f>
        <x:v>0</x:v>
      </x:c>
      <x:c r="R56" s="69" t="n">
        <x:f>K56+L56+N56+Q56</x:f>
        <x:v>3484.8</x:v>
      </x:c>
      <x:c r="S56" s="69" t="n">
        <x:f>R56/G56</x:f>
        <x:v>7.260000000000001</x:v>
      </x:c>
      <x:c r="T56" s="69" t="n">
        <x:v>12</x:v>
      </x:c>
      <x:c r="U56" s="69" t="n">
        <x:f>G56*T56</x:f>
        <x:v>5760</x:v>
      </x:c>
      <x:c r="V56" s="69" t="n">
        <x:f>U56-R56</x:f>
        <x:v>2275.2</x:v>
      </x:c>
      <x:c r="W56" s="70" t="n">
        <x:f>IF(U56=0,0,V56/U56)</x:f>
        <x:v>0.39499999999999996</x:v>
      </x:c>
      <x:c r="X56" s="66" t="str">
        <x:f>IF(W56&lt;0,"UNPROFITABLE",IF(W56&lt;0.15,"MARGIN WATCH","HEALTHY"))</x:f>
        <x:v>HEALTHY</x:v>
      </x:c>
      <x:c r="Y56" s="66" t="str">
        <x:v>L5</x:v>
      </x:c>
      <x:c r="Z56" s="69" t="n">
        <x:v>18.5</x:v>
      </x:c>
      <x:c r="AA56" s="69" t="n">
        <x:f>I56*Z56+L56+((I56*Z56+L56)*M56)</x:f>
        <x:v>2811.6</x:v>
      </x:c>
      <x:c r="AB56" s="69" t="n">
        <x:f>AA56-R56</x:f>
        <x:v>-673.2000000000003</x:v>
      </x:c>
      <x:c r="AC56" s="66" t="str">
        <x:f>IF(W56&lt;0,"RENEGOTIATE / REJECT",IF(AB56&lt;-500,"CONSIDER REALLOCATION",IF(W56&lt;0.15,"MARGIN WATCH","ACCEPT")))</x:f>
        <x:v>CONSIDER REALLOCATION</x:v>
      </x:c>
      <x:c r="AD56" s="72" t="str">
        <x:f>IF(Q56&gt;0,"Includes overtime premium",IF(AB56&lt;-500,"Alternative lab materially cheaper","Standard costing"))</x:f>
        <x:v>Alternative lab materially cheaper</x:v>
      </x:c>
    </x:row>
    <x:row r="57">
      <x:c r="A57" s="65" t="str">
        <x:f>orders!A57</x:f>
        <x:v>ORD-1156</x:v>
      </x:c>
      <x:c r="B57" s="66" t="str">
        <x:f>orders!B57</x:f>
        <x:v>Casa Palermo</x:v>
      </x:c>
      <x:c r="C57" s="66" t="str">
        <x:f>orders!C57</x:f>
        <x:v>STY-010-1</x:v>
      </x:c>
      <x:c r="D57" s="66" t="str">
        <x:f>orders!D57</x:f>
        <x:v>Top</x:v>
      </x:c>
      <x:c r="E57" s="66" t="str">
        <x:f>orders!J57</x:f>
        <x:v>L8</x:v>
      </x:c>
      <x:c r="F57" s="66" t="str">
        <x:f>orders!K57</x:f>
        <x:v>LN-035</x:v>
      </x:c>
      <x:c r="G57" s="67" t="n">
        <x:f>orders!E57</x:f>
        <x:v>1050</x:v>
      </x:c>
      <x:c r="H57" s="67" t="n">
        <x:f>orders!O57</x:f>
        <x:v>23</x:v>
      </x:c>
      <x:c r="I57" s="68" t="n">
        <x:f>orders!P57/60</x:f>
        <x:v>402.5</x:v>
      </x:c>
      <x:c r="J57" s="69" t="n">
        <x:v>20</x:v>
      </x:c>
      <x:c r="K57" s="69" t="n">
        <x:f>I57*J57</x:f>
        <x:v>8050</x:v>
      </x:c>
      <x:c r="L57" s="69" t="n">
        <x:v>50</x:v>
      </x:c>
      <x:c r="M57" s="70" t="n">
        <x:v>0.1</x:v>
      </x:c>
      <x:c r="N57" s="69" t="n">
        <x:f>(K57+L57)*M57</x:f>
        <x:v>810</x:v>
      </x:c>
      <x:c r="O57" s="71" t="n">
        <x:v>1.3</x:v>
      </x:c>
      <x:c r="P57" s="68" t="n">
        <x:f>MAX(0,(orders!Q57-orders!R57)*8)</x:f>
        <x:v>0</x:v>
      </x:c>
      <x:c r="Q57" s="69" t="n">
        <x:f>P57*(J57*O57)</x:f>
        <x:v>0</x:v>
      </x:c>
      <x:c r="R57" s="69" t="n">
        <x:f>K57+L57+N57+Q57</x:f>
        <x:v>8910</x:v>
      </x:c>
      <x:c r="S57" s="69" t="n">
        <x:f>R57/G57</x:f>
        <x:v>8.485714285714286</x:v>
      </x:c>
      <x:c r="T57" s="69" t="n">
        <x:v>16</x:v>
      </x:c>
      <x:c r="U57" s="69" t="n">
        <x:f>G57*T57</x:f>
        <x:v>16800</x:v>
      </x:c>
      <x:c r="V57" s="69" t="n">
        <x:f>U57-R57</x:f>
        <x:v>7890</x:v>
      </x:c>
      <x:c r="W57" s="70" t="n">
        <x:f>IF(U57=0,0,V57/U57)</x:f>
        <x:v>0.46964285714285714</x:v>
      </x:c>
      <x:c r="X57" s="66" t="str">
        <x:f>IF(W57&lt;0,"UNPROFITABLE",IF(W57&lt;0.15,"MARGIN WATCH","HEALTHY"))</x:f>
        <x:v>HEALTHY</x:v>
      </x:c>
      <x:c r="Y57" s="66" t="str">
        <x:v>L9</x:v>
      </x:c>
      <x:c r="Z57" s="69" t="n">
        <x:v>18</x:v>
      </x:c>
      <x:c r="AA57" s="69" t="n">
        <x:f>I57*Z57+L57+((I57*Z57+L57)*M57)</x:f>
        <x:v>8024.5</x:v>
      </x:c>
      <x:c r="AB57" s="69" t="n">
        <x:f>AA57-R57</x:f>
        <x:v>-885.5</x:v>
      </x:c>
      <x:c r="AC57" s="66" t="str">
        <x:f>IF(W57&lt;0,"RENEGOTIATE / REJECT",IF(AB57&lt;-500,"CONSIDER REALLOCATION",IF(W57&lt;0.15,"MARGIN WATCH","ACCEPT")))</x:f>
        <x:v>CONSIDER REALLOCATION</x:v>
      </x:c>
      <x:c r="AD57" s="72" t="str">
        <x:f>IF(Q57&gt;0,"Includes overtime premium",IF(AB57&lt;-500,"Alternative lab materially cheaper","Standard costing"))</x:f>
        <x:v>Alternative lab materially cheaper</x:v>
      </x:c>
    </x:row>
    <x:row r="58">
      <x:c r="A58" s="65" t="str">
        <x:f>orders!A58</x:f>
        <x:v>ORD-1157</x:v>
      </x:c>
      <x:c r="B58" s="66" t="str">
        <x:f>orders!B58</x:f>
        <x:v>Bari Concept</x:v>
      </x:c>
      <x:c r="C58" s="66" t="str">
        <x:f>orders!C58</x:f>
        <x:v>STY-005-1</x:v>
      </x:c>
      <x:c r="D58" s="66" t="str">
        <x:f>orders!D58</x:f>
        <x:v>Jeans</x:v>
      </x:c>
      <x:c r="E58" s="66" t="str">
        <x:f>orders!J58</x:f>
        <x:v>L4</x:v>
      </x:c>
      <x:c r="F58" s="66" t="str">
        <x:f>orders!K58</x:f>
        <x:v>LN-016</x:v>
      </x:c>
      <x:c r="G58" s="67" t="n">
        <x:f>orders!E58</x:f>
        <x:v>1150</x:v>
      </x:c>
      <x:c r="H58" s="67" t="n">
        <x:f>orders!O58</x:f>
        <x:v>35</x:v>
      </x:c>
      <x:c r="I58" s="68" t="n">
        <x:f>orders!P58/60</x:f>
        <x:v>670.8333333333334</x:v>
      </x:c>
      <x:c r="J58" s="69" t="n">
        <x:v>21.5</x:v>
      </x:c>
      <x:c r="K58" s="69" t="n">
        <x:f>I58*J58</x:f>
        <x:v>14422.916666666668</x:v>
      </x:c>
      <x:c r="L58" s="69" t="n">
        <x:v>90</x:v>
      </x:c>
      <x:c r="M58" s="70" t="n">
        <x:v>0.14</x:v>
      </x:c>
      <x:c r="N58" s="69" t="n">
        <x:f>(K58+L58)*M58</x:f>
        <x:v>2031.8083333333336</x:v>
      </x:c>
      <x:c r="O58" s="71" t="n">
        <x:v>1.3</x:v>
      </x:c>
      <x:c r="P58" s="68" t="n">
        <x:f>MAX(0,(orders!Q58-orders!R58)*8)</x:f>
        <x:v>0</x:v>
      </x:c>
      <x:c r="Q58" s="69" t="n">
        <x:f>P58*(J58*O58)</x:f>
        <x:v>0</x:v>
      </x:c>
      <x:c r="R58" s="69" t="n">
        <x:f>K58+L58+N58+Q58</x:f>
        <x:v>16544.725000000002</x:v>
      </x:c>
      <x:c r="S58" s="69" t="n">
        <x:f>R58/G58</x:f>
        <x:v>14.38671739130435</x:v>
      </x:c>
      <x:c r="T58" s="69" t="n">
        <x:v>36</x:v>
      </x:c>
      <x:c r="U58" s="69" t="n">
        <x:f>G58*T58</x:f>
        <x:v>41400</x:v>
      </x:c>
      <x:c r="V58" s="69" t="n">
        <x:f>U58-R58</x:f>
        <x:v>24855.274999999998</x:v>
      </x:c>
      <x:c r="W58" s="70" t="n">
        <x:f>IF(U58=0,0,V58/U58)</x:f>
        <x:v>0.6003689613526569</x:v>
      </x:c>
      <x:c r="X58" s="66" t="str">
        <x:f>IF(W58&lt;0,"UNPROFITABLE",IF(W58&lt;0.15,"MARGIN WATCH","HEALTHY"))</x:f>
        <x:v>HEALTHY</x:v>
      </x:c>
      <x:c r="Y58" s="66" t="str">
        <x:v>L5</x:v>
      </x:c>
      <x:c r="Z58" s="69" t="n">
        <x:v>18.5</x:v>
      </x:c>
      <x:c r="AA58" s="69" t="n">
        <x:f>I58*Z58+L58+((I58*Z58+L58)*M58)</x:f>
        <x:v>14250.475000000002</x:v>
      </x:c>
      <x:c r="AB58" s="69" t="n">
        <x:f>AA58-R58</x:f>
        <x:v>-2294.25</x:v>
      </x:c>
      <x:c r="AC58" s="66" t="str">
        <x:f>IF(W58&lt;0,"RENEGOTIATE / REJECT",IF(AB58&lt;-500,"CONSIDER REALLOCATION",IF(W58&lt;0.15,"MARGIN WATCH","ACCEPT")))</x:f>
        <x:v>CONSIDER REALLOCATION</x:v>
      </x:c>
      <x:c r="AD58" s="72" t="str">
        <x:f>IF(Q58&gt;0,"Includes overtime premium",IF(AB58&lt;-500,"Alternative lab materially cheaper","Standard costing"))</x:f>
        <x:v>Alternative lab materially cheaper</x:v>
      </x:c>
    </x:row>
    <x:row r="59">
      <x:c r="A59" s="65" t="str">
        <x:f>orders!A59</x:f>
        <x:v>ORD-1158</x:v>
      </x:c>
      <x:c r="B59" s="66" t="str">
        <x:f>orders!B59</x:f>
        <x:v>Torino Mode</x:v>
      </x:c>
      <x:c r="C59" s="66" t="str">
        <x:f>orders!C59</x:f>
        <x:v>STY-009-1</x:v>
      </x:c>
      <x:c r="D59" s="66" t="str">
        <x:f>orders!D59</x:f>
        <x:v>Felpa</x:v>
      </x:c>
      <x:c r="E59" s="66" t="str">
        <x:f>orders!J59</x:f>
        <x:v>L9</x:v>
      </x:c>
      <x:c r="F59" s="66" t="str">
        <x:f>orders!K59</x:f>
        <x:v>LN-039</x:v>
      </x:c>
      <x:c r="G59" s="67" t="n">
        <x:f>orders!E59</x:f>
        <x:v>900</x:v>
      </x:c>
      <x:c r="H59" s="67" t="n">
        <x:f>orders!O59</x:f>
        <x:v>27</x:v>
      </x:c>
      <x:c r="I59" s="68" t="n">
        <x:f>orders!P59/60</x:f>
        <x:v>405</x:v>
      </x:c>
      <x:c r="J59" s="69" t="n">
        <x:v>18</x:v>
      </x:c>
      <x:c r="K59" s="69" t="n">
        <x:f>I59*J59</x:f>
        <x:v>7290</x:v>
      </x:c>
      <x:c r="L59" s="69" t="n">
        <x:v>65</x:v>
      </x:c>
      <x:c r="M59" s="70" t="n">
        <x:v>0.12</x:v>
      </x:c>
      <x:c r="N59" s="69" t="n">
        <x:f>(K59+L59)*M59</x:f>
        <x:v>882.6</x:v>
      </x:c>
      <x:c r="O59" s="71" t="n">
        <x:v>1.25</x:v>
      </x:c>
      <x:c r="P59" s="68" t="n">
        <x:f>MAX(0,(orders!Q59-orders!R59)*8)</x:f>
        <x:v>0</x:v>
      </x:c>
      <x:c r="Q59" s="69" t="n">
        <x:f>P59*(J59*O59)</x:f>
        <x:v>0</x:v>
      </x:c>
      <x:c r="R59" s="69" t="n">
        <x:f>K59+L59+N59+Q59</x:f>
        <x:v>8237.6</x:v>
      </x:c>
      <x:c r="S59" s="69" t="n">
        <x:f>R59/G59</x:f>
        <x:v>9.152888888888889</x:v>
      </x:c>
      <x:c r="T59" s="69" t="n">
        <x:v>24</x:v>
      </x:c>
      <x:c r="U59" s="69" t="n">
        <x:f>G59*T59</x:f>
        <x:v>21600</x:v>
      </x:c>
      <x:c r="V59" s="69" t="n">
        <x:f>U59-R59</x:f>
        <x:v>13362.4</x:v>
      </x:c>
      <x:c r="W59" s="70" t="n">
        <x:f>IF(U59=0,0,V59/U59)</x:f>
        <x:v>0.6186296296296296</x:v>
      </x:c>
      <x:c r="X59" s="66" t="str">
        <x:f>IF(W59&lt;0,"UNPROFITABLE",IF(W59&lt;0.15,"MARGIN WATCH","HEALTHY"))</x:f>
        <x:v>HEALTHY</x:v>
      </x:c>
      <x:c r="Y59" s="66" t="str">
        <x:v>L5</x:v>
      </x:c>
      <x:c r="Z59" s="69" t="n">
        <x:v>18.5</x:v>
      </x:c>
      <x:c r="AA59" s="69" t="n">
        <x:f>I59*Z59+L59+((I59*Z59+L59)*M59)</x:f>
        <x:v>8464.4</x:v>
      </x:c>
      <x:c r="AB59" s="69" t="n">
        <x:f>AA59-R59</x:f>
        <x:v>226.79999999999927</x:v>
      </x:c>
      <x:c r="AC59" s="66" t="str">
        <x:f>IF(W59&lt;0,"RENEGOTIATE / REJECT",IF(AB59&lt;-500,"CONSIDER REALLOCATION",IF(W59&lt;0.15,"MARGIN WATCH","ACCEPT")))</x:f>
        <x:v>ACCEPT</x:v>
      </x:c>
      <x:c r="AD59" s="72" t="str">
        <x:f>IF(Q59&gt;0,"Includes overtime premium",IF(AB59&lt;-500,"Alternative lab materially cheaper","Standard costing"))</x:f>
        <x:v>Standard costing</x:v>
      </x:c>
    </x:row>
    <x:row r="60">
      <x:c r="A60" s="65" t="str">
        <x:f>orders!A60</x:f>
        <x:v>ORD-1159</x:v>
      </x:c>
      <x:c r="B60" s="66" t="str">
        <x:f>orders!B60</x:f>
        <x:v>Linea Roma</x:v>
      </x:c>
      <x:c r="C60" s="66" t="str">
        <x:f>orders!C60</x:f>
        <x:v>STY-013-2</x:v>
      </x:c>
      <x:c r="D60" s="66" t="str">
        <x:f>orders!D60</x:f>
        <x:v>Slip</x:v>
      </x:c>
      <x:c r="E60" s="66" t="str">
        <x:f>orders!J60</x:f>
        <x:v>L7</x:v>
      </x:c>
      <x:c r="F60" s="66" t="str">
        <x:f>orders!K60</x:f>
        <x:v>LN-030</x:v>
      </x:c>
      <x:c r="G60" s="67" t="n">
        <x:f>orders!E60</x:f>
        <x:v>150</x:v>
      </x:c>
      <x:c r="H60" s="67" t="n">
        <x:f>orders!O60</x:f>
        <x:v>34</x:v>
      </x:c>
      <x:c r="I60" s="68" t="n">
        <x:f>orders!P60/60</x:f>
        <x:v>85</x:v>
      </x:c>
      <x:c r="J60" s="69" t="n">
        <x:v>17.8</x:v>
      </x:c>
      <x:c r="K60" s="69" t="n">
        <x:f>I60*J60</x:f>
        <x:v>1513</x:v>
      </x:c>
      <x:c r="L60" s="69" t="n">
        <x:v>75</x:v>
      </x:c>
      <x:c r="M60" s="70" t="n">
        <x:v>0.12</x:v>
      </x:c>
      <x:c r="N60" s="69" t="n">
        <x:f>(K60+L60)*M60</x:f>
        <x:v>190.56</x:v>
      </x:c>
      <x:c r="O60" s="71" t="n">
        <x:v>1.25</x:v>
      </x:c>
      <x:c r="P60" s="68" t="n">
        <x:f>MAX(0,(orders!Q60-orders!R60)*8)</x:f>
        <x:v>0</x:v>
      </x:c>
      <x:c r="Q60" s="69" t="n">
        <x:f>P60*(J60*O60)</x:f>
        <x:v>0</x:v>
      </x:c>
      <x:c r="R60" s="69" t="n">
        <x:f>K60+L60+N60+Q60</x:f>
        <x:v>1778.56</x:v>
      </x:c>
      <x:c r="S60" s="69" t="n">
        <x:f>R60/G60</x:f>
        <x:v>11.857066666666666</x:v>
      </x:c>
      <x:c r="T60" s="69" t="n">
        <x:v>25</x:v>
      </x:c>
      <x:c r="U60" s="69" t="n">
        <x:f>G60*T60</x:f>
        <x:v>3750</x:v>
      </x:c>
      <x:c r="V60" s="69" t="n">
        <x:f>U60-R60</x:f>
        <x:v>1971.44</x:v>
      </x:c>
      <x:c r="W60" s="70" t="n">
        <x:f>IF(U60=0,0,V60/U60)</x:f>
        <x:v>0.5257173333333334</x:v>
      </x:c>
      <x:c r="X60" s="66" t="str">
        <x:f>IF(W60&lt;0,"UNPROFITABLE",IF(W60&lt;0.15,"MARGIN WATCH","HEALTHY"))</x:f>
        <x:v>HEALTHY</x:v>
      </x:c>
      <x:c r="Y60" s="66" t="str">
        <x:v>L7</x:v>
      </x:c>
      <x:c r="Z60" s="69" t="n">
        <x:v>17.8</x:v>
      </x:c>
      <x:c r="AA60" s="69" t="n">
        <x:f>I60*Z60+L60+((I60*Z60+L60)*M60)</x:f>
        <x:v>1778.56</x:v>
      </x:c>
      <x:c r="AB60" s="69" t="n">
        <x:f>AA60-R60</x:f>
        <x:v>0</x:v>
      </x:c>
      <x:c r="AC60" s="66" t="str">
        <x:f>IF(W60&lt;0,"RENEGOTIATE / REJECT",IF(AB60&lt;-500,"CONSIDER REALLOCATION",IF(W60&lt;0.15,"MARGIN WATCH","ACCEPT")))</x:f>
        <x:v>ACCEPT</x:v>
      </x:c>
      <x:c r="AD60" s="72" t="str">
        <x:f>IF(Q60&gt;0,"Includes overtime premium",IF(AB60&lt;-500,"Alternative lab materially cheaper","Standard costing"))</x:f>
        <x:v>Standard costing</x:v>
      </x:c>
    </x:row>
    <x:row r="61">
      <x:c r="A61" s="73" t="str">
        <x:f>orders!A61</x:f>
        <x:v>ORD-1160</x:v>
      </x:c>
      <x:c r="B61" s="74" t="str">
        <x:f>orders!B61</x:f>
        <x:v>Studio Firenze</x:v>
      </x:c>
      <x:c r="C61" s="74" t="str">
        <x:f>orders!C61</x:f>
        <x:v>STY-011-2</x:v>
      </x:c>
      <x:c r="D61" s="74" t="str">
        <x:f>orders!D61</x:f>
        <x:v>Kimono</x:v>
      </x:c>
      <x:c r="E61" s="74" t="str">
        <x:f>orders!J61</x:f>
        <x:v>L7</x:v>
      </x:c>
      <x:c r="F61" s="74" t="str">
        <x:f>orders!K61</x:f>
        <x:v>LN-030</x:v>
      </x:c>
      <x:c r="G61" s="75" t="n">
        <x:f>orders!E61</x:f>
        <x:v>480</x:v>
      </x:c>
      <x:c r="H61" s="75" t="n">
        <x:f>orders!O61</x:f>
        <x:v>39</x:v>
      </x:c>
      <x:c r="I61" s="76" t="n">
        <x:f>orders!P61/60</x:f>
        <x:v>312</x:v>
      </x:c>
      <x:c r="J61" s="77" t="n">
        <x:v>17.8</x:v>
      </x:c>
      <x:c r="K61" s="77" t="n">
        <x:f>I61*J61</x:f>
        <x:v>5553.6</x:v>
      </x:c>
      <x:c r="L61" s="77" t="n">
        <x:v>120</x:v>
      </x:c>
      <x:c r="M61" s="78" t="n">
        <x:v>0.15</x:v>
      </x:c>
      <x:c r="N61" s="77" t="n">
        <x:f>(K61+L61)*M61</x:f>
        <x:v>851.0400000000001</x:v>
      </x:c>
      <x:c r="O61" s="79" t="n">
        <x:v>1.25</x:v>
      </x:c>
      <x:c r="P61" s="76" t="n">
        <x:f>MAX(0,(orders!Q61-orders!R61)*8)</x:f>
        <x:v>0</x:v>
      </x:c>
      <x:c r="Q61" s="77" t="n">
        <x:f>P61*(J61*O61)</x:f>
        <x:v>0</x:v>
      </x:c>
      <x:c r="R61" s="77" t="n">
        <x:f>K61+L61+N61+Q61</x:f>
        <x:v>6524.64</x:v>
      </x:c>
      <x:c r="S61" s="77" t="n">
        <x:f>R61/G61</x:f>
        <x:v>13.593</x:v>
      </x:c>
      <x:c r="T61" s="77" t="n">
        <x:v>44</x:v>
      </x:c>
      <x:c r="U61" s="77" t="n">
        <x:f>G61*T61</x:f>
        <x:v>21120</x:v>
      </x:c>
      <x:c r="V61" s="77" t="n">
        <x:f>U61-R61</x:f>
        <x:v>14595.36</x:v>
      </x:c>
      <x:c r="W61" s="78" t="n">
        <x:f>IF(U61=0,0,V61/U61)</x:f>
        <x:v>0.6910681818181819</x:v>
      </x:c>
      <x:c r="X61" s="74" t="str">
        <x:f>IF(W61&lt;0,"UNPROFITABLE",IF(W61&lt;0.15,"MARGIN WATCH","HEALTHY"))</x:f>
        <x:v>HEALTHY</x:v>
      </x:c>
      <x:c r="Y61" s="74" t="str">
        <x:v>L4</x:v>
      </x:c>
      <x:c r="Z61" s="77" t="n">
        <x:v>21.5</x:v>
      </x:c>
      <x:c r="AA61" s="77" t="n">
        <x:f>I61*Z61+L61+((I61*Z61+L61)*M61)</x:f>
        <x:v>7852.2</x:v>
      </x:c>
      <x:c r="AB61" s="77" t="n">
        <x:f>AA61-R61</x:f>
        <x:v>1327.5599999999995</x:v>
      </x:c>
      <x:c r="AC61" s="74" t="str">
        <x:f>IF(W61&lt;0,"RENEGOTIATE / REJECT",IF(AB61&lt;-500,"CONSIDER REALLOCATION",IF(W61&lt;0.15,"MARGIN WATCH","ACCEPT")))</x:f>
        <x:v>ACCEPT</x:v>
      </x:c>
      <x:c r="AD61" s="80" t="str">
        <x:f>IF(Q61&gt;0,"Includes overtime premium",IF(AB61&lt;-500,"Alternative lab materially cheaper","Standard costing"))</x:f>
        <x:v>Standard costing</x:v>
      </x:c>
    </x:row>
  </x:sheetData>
  <x:mergeCells>
    <x:mergeCell ref="AF1:AG1"/>
  </x:mergeCells>
  <x:conditionalFormatting sqref="W2:W6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X2:X61">
    <x:cfRule type="expression" dxfId="5" priority="2">
      <x:formula>$X2="UNPROFITABLE"</x:formula>
    </x:cfRule>
    <x:cfRule type="expression" dxfId="6" priority="3">
      <x:formula>$X2="MARGIN WATCH"</x:formula>
    </x:cfRule>
    <x:cfRule type="expression" dxfId="7" priority="4">
      <x:formula>$X2="HEALTHY"</x:formula>
    </x:cfRule>
  </x:conditionalFormatting>
  <x:conditionalFormatting sqref="AC2:AC61">
    <x:cfRule type="expression" dxfId="8" priority="5">
      <x:formula>ISNUMBER(SEARCH("RENEGOTIATE",$AC2))</x:formula>
    </x:cfRule>
    <x:cfRule type="expression" dxfId="9" priority="6">
      <x:formula>ISNUMBER(SEARCH("REALLOCATION",$AC2))</x:formula>
    </x:cfRule>
    <x:cfRule type="expression" dxfId="10" priority="7">
      <x:formula>$AC2="ACCEPT"</x:formula>
    </x:cfRule>
  </x:conditionalFormatting>
  <x:pageMargins left="0.7" right="0.7" top="0.75" bottom="0.75" header="0.3" footer="0.3"/>
  <x:drawing xmlns:r="http://schemas.openxmlformats.org/officeDocument/2006/relationships" r:id="R831cbf3389a94dd7"/>
  <x:tableParts count="1">
    <x:tablePart xmlns:r="http://schemas.openxmlformats.org/officeDocument/2006/relationships" r:id="Rc5306aa7aa6d4452"/>
  </x:tableParts>
</x:worksheet>
</file>