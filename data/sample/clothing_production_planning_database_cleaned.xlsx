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showInkAnnotation="0"/>
  <xr:revisionPtr revIDLastSave="0" documentId="8_{67334705-4750-554F-B4AE-2DC7FA4B834F}" xr6:coauthVersionLast="47" xr6:coauthVersionMax="47" xr10:uidLastSave="{00000000-0000-0000-0000-000000000000}"/>
  <bookViews>
    <workbookView xWindow="0" yWindow="0" windowWidth="0" windowHeight="0" activeTab="7" xr2:uid="{00000000-000D-0000-FFFF-FFFF00000000}"/>
  </bookViews>
  <sheets>
    <sheet name="Dashboard" sheetId="1" r:id="rId1"/>
    <sheet name="style_master" sheetId="2" r:id="rId2"/>
    <sheet name="orders" sheetId="3" r:id="rId3"/>
    <sheet name="product_matrix" sheetId="4" r:id="rId4"/>
    <sheet name="labs_factories" sheetId="5" r:id="rId5"/>
    <sheet name="line_capacity" sheetId="6" r:id="rId6"/>
    <sheet name="phase_capacity" sheetId="7" r:id="rId7"/>
    <sheet name="TNA_calendar" sheetId="8" r:id="rId8"/>
    <sheet name="risk_register" sheetId="9" r:id="rId9"/>
    <sheet name="data_dictionary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9" l="1"/>
  <c r="F6" i="9"/>
  <c r="F5" i="9"/>
  <c r="F4" i="9"/>
  <c r="F3" i="9"/>
  <c r="F2" i="9"/>
  <c r="F641" i="8"/>
  <c r="G641" i="8"/>
  <c r="F640" i="8"/>
  <c r="G640" i="8"/>
  <c r="G639" i="8"/>
  <c r="F639" i="8"/>
  <c r="G638" i="8"/>
  <c r="F638" i="8"/>
  <c r="F637" i="8"/>
  <c r="G637" i="8"/>
  <c r="F636" i="8"/>
  <c r="G636" i="8"/>
  <c r="F635" i="8"/>
  <c r="G635" i="8"/>
  <c r="G634" i="8"/>
  <c r="F634" i="8"/>
  <c r="G633" i="8"/>
  <c r="F633" i="8"/>
  <c r="F632" i="8"/>
  <c r="G632" i="8"/>
  <c r="F631" i="8"/>
  <c r="G631" i="8"/>
  <c r="G630" i="8"/>
  <c r="F630" i="8"/>
  <c r="F629" i="8"/>
  <c r="G629" i="8"/>
  <c r="F628" i="8"/>
  <c r="G628" i="8"/>
  <c r="F627" i="8"/>
  <c r="G627" i="8"/>
  <c r="F626" i="8"/>
  <c r="G626" i="8"/>
  <c r="G625" i="8"/>
  <c r="F625" i="8"/>
  <c r="F624" i="8"/>
  <c r="G624" i="8"/>
  <c r="F623" i="8"/>
  <c r="G623" i="8"/>
  <c r="G622" i="8"/>
  <c r="F622" i="8"/>
  <c r="G621" i="8"/>
  <c r="F621" i="8"/>
  <c r="F620" i="8"/>
  <c r="G620" i="8"/>
  <c r="F619" i="8"/>
  <c r="G619" i="8"/>
  <c r="F618" i="8"/>
  <c r="G618" i="8"/>
  <c r="G617" i="8"/>
  <c r="F617" i="8"/>
  <c r="F616" i="8"/>
  <c r="G616" i="8"/>
  <c r="G615" i="8"/>
  <c r="F615" i="8"/>
  <c r="F614" i="8"/>
  <c r="G614" i="8"/>
  <c r="G613" i="8"/>
  <c r="F613" i="8"/>
  <c r="F612" i="8"/>
  <c r="G612" i="8"/>
  <c r="G611" i="8"/>
  <c r="F611" i="8"/>
  <c r="F610" i="8"/>
  <c r="G610" i="8"/>
  <c r="G609" i="8"/>
  <c r="F609" i="8"/>
  <c r="G608" i="8"/>
  <c r="F608" i="8"/>
  <c r="F607" i="8"/>
  <c r="G607" i="8"/>
  <c r="G606" i="8"/>
  <c r="F606" i="8"/>
  <c r="F605" i="8"/>
  <c r="G605" i="8"/>
  <c r="F604" i="8"/>
  <c r="G604" i="8"/>
  <c r="F603" i="8"/>
  <c r="G603" i="8"/>
  <c r="F602" i="8"/>
  <c r="G602" i="8"/>
  <c r="F601" i="8"/>
  <c r="G601" i="8"/>
  <c r="F600" i="8"/>
  <c r="G600" i="8"/>
  <c r="G599" i="8"/>
  <c r="F599" i="8"/>
  <c r="F598" i="8"/>
  <c r="G598" i="8"/>
  <c r="G597" i="8"/>
  <c r="F597" i="8"/>
  <c r="G596" i="8"/>
  <c r="F596" i="8"/>
  <c r="F595" i="8"/>
  <c r="G595" i="8"/>
  <c r="G594" i="8"/>
  <c r="F594" i="8"/>
  <c r="G593" i="8"/>
  <c r="F593" i="8"/>
  <c r="F592" i="8"/>
  <c r="G592" i="8"/>
  <c r="F591" i="8"/>
  <c r="G591" i="8"/>
  <c r="F590" i="8"/>
  <c r="G590" i="8"/>
  <c r="G589" i="8"/>
  <c r="F589" i="8"/>
  <c r="F588" i="8"/>
  <c r="G588" i="8"/>
  <c r="F587" i="8"/>
  <c r="G587" i="8"/>
  <c r="F586" i="8"/>
  <c r="G586" i="8"/>
  <c r="F585" i="8"/>
  <c r="G585" i="8"/>
  <c r="F584" i="8"/>
  <c r="G584" i="8"/>
  <c r="G583" i="8"/>
  <c r="F583" i="8"/>
  <c r="G582" i="8"/>
  <c r="F582" i="8"/>
  <c r="F581" i="8"/>
  <c r="G581" i="8"/>
  <c r="G580" i="8"/>
  <c r="F580" i="8"/>
  <c r="F579" i="8"/>
  <c r="G579" i="8"/>
  <c r="F578" i="8"/>
  <c r="G578" i="8"/>
  <c r="F577" i="8"/>
  <c r="G577" i="8"/>
  <c r="F576" i="8"/>
  <c r="G576" i="8"/>
  <c r="G575" i="8"/>
  <c r="F575" i="8"/>
  <c r="G574" i="8"/>
  <c r="F574" i="8"/>
  <c r="F573" i="8"/>
  <c r="G573" i="8"/>
  <c r="F572" i="8"/>
  <c r="G572" i="8"/>
  <c r="G571" i="8"/>
  <c r="F571" i="8"/>
  <c r="F570" i="8"/>
  <c r="G570" i="8"/>
  <c r="G569" i="8"/>
  <c r="F569" i="8"/>
  <c r="F568" i="8"/>
  <c r="G568" i="8"/>
  <c r="G567" i="8"/>
  <c r="F567" i="8"/>
  <c r="F566" i="8"/>
  <c r="G566" i="8"/>
  <c r="G565" i="8"/>
  <c r="F565" i="8"/>
  <c r="G564" i="8"/>
  <c r="F564" i="8"/>
  <c r="G563" i="8"/>
  <c r="F563" i="8"/>
  <c r="F562" i="8"/>
  <c r="G562" i="8"/>
  <c r="F561" i="8"/>
  <c r="G561" i="8"/>
  <c r="G560" i="8"/>
  <c r="F560" i="8"/>
  <c r="F559" i="8"/>
  <c r="G559" i="8"/>
  <c r="F558" i="8"/>
  <c r="G558" i="8"/>
  <c r="F557" i="8"/>
  <c r="G557" i="8"/>
  <c r="G556" i="8"/>
  <c r="F556" i="8"/>
  <c r="G555" i="8"/>
  <c r="F555" i="8"/>
  <c r="G554" i="8"/>
  <c r="F554" i="8"/>
  <c r="F553" i="8"/>
  <c r="G553" i="8"/>
  <c r="F552" i="8"/>
  <c r="G552" i="8"/>
  <c r="F551" i="8"/>
  <c r="G551" i="8"/>
  <c r="F550" i="8"/>
  <c r="G550" i="8"/>
  <c r="F549" i="8"/>
  <c r="G549" i="8"/>
  <c r="G548" i="8"/>
  <c r="F548" i="8"/>
  <c r="F547" i="8"/>
  <c r="G547" i="8"/>
  <c r="F546" i="8"/>
  <c r="G546" i="8"/>
  <c r="F545" i="8"/>
  <c r="G545" i="8"/>
  <c r="F544" i="8"/>
  <c r="G544" i="8"/>
  <c r="F543" i="8"/>
  <c r="G543" i="8"/>
  <c r="F542" i="8"/>
  <c r="G542" i="8"/>
  <c r="G541" i="8"/>
  <c r="F541" i="8"/>
  <c r="G540" i="8"/>
  <c r="F540" i="8"/>
  <c r="F539" i="8"/>
  <c r="G539" i="8"/>
  <c r="G538" i="8"/>
  <c r="F538" i="8"/>
  <c r="F537" i="8"/>
  <c r="G537" i="8"/>
  <c r="F536" i="8"/>
  <c r="G536" i="8"/>
  <c r="F535" i="8"/>
  <c r="G535" i="8"/>
  <c r="F534" i="8"/>
  <c r="G534" i="8"/>
  <c r="G533" i="8"/>
  <c r="F533" i="8"/>
  <c r="F532" i="8"/>
  <c r="G532" i="8"/>
  <c r="F531" i="8"/>
  <c r="G531" i="8"/>
  <c r="F530" i="8"/>
  <c r="G530" i="8"/>
  <c r="F529" i="8"/>
  <c r="G529" i="8"/>
  <c r="F528" i="8"/>
  <c r="G528" i="8"/>
  <c r="F527" i="8"/>
  <c r="G527" i="8"/>
  <c r="F526" i="8"/>
  <c r="G526" i="8"/>
  <c r="F525" i="8"/>
  <c r="G525" i="8"/>
  <c r="F524" i="8"/>
  <c r="G524" i="8"/>
  <c r="F523" i="8"/>
  <c r="G523" i="8"/>
  <c r="F522" i="8"/>
  <c r="G522" i="8"/>
  <c r="F521" i="8"/>
  <c r="G521" i="8"/>
  <c r="F520" i="8"/>
  <c r="G520" i="8"/>
  <c r="G519" i="8"/>
  <c r="F519" i="8"/>
  <c r="F518" i="8"/>
  <c r="G518" i="8"/>
  <c r="G517" i="8"/>
  <c r="F517" i="8"/>
  <c r="G516" i="8"/>
  <c r="F516" i="8"/>
  <c r="G515" i="8"/>
  <c r="F515" i="8"/>
  <c r="F514" i="8"/>
  <c r="G514" i="8"/>
  <c r="F513" i="8"/>
  <c r="G513" i="8"/>
  <c r="F512" i="8"/>
  <c r="G512" i="8"/>
  <c r="F511" i="8"/>
  <c r="G511" i="8"/>
  <c r="F510" i="8"/>
  <c r="G510" i="8"/>
  <c r="F509" i="8"/>
  <c r="G509" i="8"/>
  <c r="F508" i="8"/>
  <c r="G508" i="8"/>
  <c r="F507" i="8"/>
  <c r="G507" i="8"/>
  <c r="F506" i="8"/>
  <c r="G506" i="8"/>
  <c r="F505" i="8"/>
  <c r="G505" i="8"/>
  <c r="F504" i="8"/>
  <c r="G504" i="8"/>
  <c r="G503" i="8"/>
  <c r="F503" i="8"/>
  <c r="F502" i="8"/>
  <c r="G502" i="8"/>
  <c r="F501" i="8"/>
  <c r="G501" i="8"/>
  <c r="F500" i="8"/>
  <c r="G500" i="8"/>
  <c r="F499" i="8"/>
  <c r="G499" i="8"/>
  <c r="F498" i="8"/>
  <c r="G498" i="8"/>
  <c r="F497" i="8"/>
  <c r="G497" i="8"/>
  <c r="F496" i="8"/>
  <c r="G496" i="8"/>
  <c r="F495" i="8"/>
  <c r="G495" i="8"/>
  <c r="F494" i="8"/>
  <c r="G494" i="8"/>
  <c r="F493" i="8"/>
  <c r="G493" i="8"/>
  <c r="F492" i="8"/>
  <c r="G492" i="8"/>
  <c r="G491" i="8"/>
  <c r="F491" i="8"/>
  <c r="F490" i="8"/>
  <c r="G490" i="8"/>
  <c r="G489" i="8"/>
  <c r="F489" i="8"/>
  <c r="G488" i="8"/>
  <c r="F488" i="8"/>
  <c r="G487" i="8"/>
  <c r="F487" i="8"/>
  <c r="F486" i="8"/>
  <c r="G486" i="8"/>
  <c r="G485" i="8"/>
  <c r="F485" i="8"/>
  <c r="F484" i="8"/>
  <c r="G484" i="8"/>
  <c r="F483" i="8"/>
  <c r="G483" i="8"/>
  <c r="G482" i="8"/>
  <c r="F482" i="8"/>
  <c r="G481" i="8"/>
  <c r="F481" i="8"/>
  <c r="F480" i="8"/>
  <c r="G480" i="8"/>
  <c r="G479" i="8"/>
  <c r="F479" i="8"/>
  <c r="G478" i="8"/>
  <c r="F478" i="8"/>
  <c r="F477" i="8"/>
  <c r="G477" i="8"/>
  <c r="G476" i="8"/>
  <c r="F476" i="8"/>
  <c r="F475" i="8"/>
  <c r="G475" i="8"/>
  <c r="F474" i="8"/>
  <c r="G474" i="8"/>
  <c r="F473" i="8"/>
  <c r="G473" i="8"/>
  <c r="F472" i="8"/>
  <c r="G472" i="8"/>
  <c r="G471" i="8"/>
  <c r="F471" i="8"/>
  <c r="G470" i="8"/>
  <c r="F470" i="8"/>
  <c r="G469" i="8"/>
  <c r="F469" i="8"/>
  <c r="G468" i="8"/>
  <c r="F468" i="8"/>
  <c r="F467" i="8"/>
  <c r="G467" i="8"/>
  <c r="G466" i="8"/>
  <c r="F466" i="8"/>
  <c r="G465" i="8"/>
  <c r="F465" i="8"/>
  <c r="G464" i="8"/>
  <c r="F464" i="8"/>
  <c r="G463" i="8"/>
  <c r="F463" i="8"/>
  <c r="F462" i="8"/>
  <c r="G462" i="8"/>
  <c r="F461" i="8"/>
  <c r="G461" i="8"/>
  <c r="F460" i="8"/>
  <c r="G460" i="8"/>
  <c r="G459" i="8"/>
  <c r="F459" i="8"/>
  <c r="F458" i="8"/>
  <c r="G458" i="8"/>
  <c r="F457" i="8"/>
  <c r="G457" i="8"/>
  <c r="F456" i="8"/>
  <c r="G456" i="8"/>
  <c r="F455" i="8"/>
  <c r="G455" i="8"/>
  <c r="F454" i="8"/>
  <c r="G454" i="8"/>
  <c r="G453" i="8"/>
  <c r="F453" i="8"/>
  <c r="F452" i="8"/>
  <c r="G452" i="8"/>
  <c r="F451" i="8"/>
  <c r="G451" i="8"/>
  <c r="G450" i="8"/>
  <c r="F450" i="8"/>
  <c r="F449" i="8"/>
  <c r="G449" i="8"/>
  <c r="G448" i="8"/>
  <c r="F448" i="8"/>
  <c r="G447" i="8"/>
  <c r="F447" i="8"/>
  <c r="F446" i="8"/>
  <c r="G446" i="8"/>
  <c r="F445" i="8"/>
  <c r="G445" i="8"/>
  <c r="F444" i="8"/>
  <c r="G444" i="8"/>
  <c r="F443" i="8"/>
  <c r="G443" i="8"/>
  <c r="F442" i="8"/>
  <c r="G442" i="8"/>
  <c r="F441" i="8"/>
  <c r="G441" i="8"/>
  <c r="G440" i="8"/>
  <c r="F440" i="8"/>
  <c r="F439" i="8"/>
  <c r="G439" i="8"/>
  <c r="F438" i="8"/>
  <c r="G438" i="8"/>
  <c r="F437" i="8"/>
  <c r="G437" i="8"/>
  <c r="G436" i="8"/>
  <c r="F436" i="8"/>
  <c r="F435" i="8"/>
  <c r="G435" i="8"/>
  <c r="F434" i="8"/>
  <c r="G434" i="8"/>
  <c r="G433" i="8"/>
  <c r="F433" i="8"/>
  <c r="F432" i="8"/>
  <c r="G432" i="8"/>
  <c r="F431" i="8"/>
  <c r="G431" i="8"/>
  <c r="G430" i="8"/>
  <c r="F430" i="8"/>
  <c r="F429" i="8"/>
  <c r="G429" i="8"/>
  <c r="F428" i="8"/>
  <c r="G428" i="8"/>
  <c r="G427" i="8"/>
  <c r="F427" i="8"/>
  <c r="F426" i="8"/>
  <c r="G426" i="8"/>
  <c r="F425" i="8"/>
  <c r="G425" i="8"/>
  <c r="F424" i="8"/>
  <c r="G424" i="8"/>
  <c r="G423" i="8"/>
  <c r="F423" i="8"/>
  <c r="F422" i="8"/>
  <c r="G422" i="8"/>
  <c r="G421" i="8"/>
  <c r="F421" i="8"/>
  <c r="F420" i="8"/>
  <c r="G420" i="8"/>
  <c r="F419" i="8"/>
  <c r="G419" i="8"/>
  <c r="F418" i="8"/>
  <c r="G418" i="8"/>
  <c r="G417" i="8"/>
  <c r="F417" i="8"/>
  <c r="G416" i="8"/>
  <c r="F416" i="8"/>
  <c r="G415" i="8"/>
  <c r="F415" i="8"/>
  <c r="F414" i="8"/>
  <c r="G414" i="8"/>
  <c r="G413" i="8"/>
  <c r="F413" i="8"/>
  <c r="F412" i="8"/>
  <c r="G412" i="8"/>
  <c r="F411" i="8"/>
  <c r="G411" i="8"/>
  <c r="F410" i="8"/>
  <c r="G410" i="8"/>
  <c r="F409" i="8"/>
  <c r="G409" i="8"/>
  <c r="G408" i="8"/>
  <c r="F408" i="8"/>
  <c r="F407" i="8"/>
  <c r="G407" i="8"/>
  <c r="G406" i="8"/>
  <c r="F406" i="8"/>
  <c r="G405" i="8"/>
  <c r="F405" i="8"/>
  <c r="G404" i="8"/>
  <c r="F404" i="8"/>
  <c r="F403" i="8"/>
  <c r="G403" i="8"/>
  <c r="F402" i="8"/>
  <c r="G402" i="8"/>
  <c r="G401" i="8"/>
  <c r="F401" i="8"/>
  <c r="G400" i="8"/>
  <c r="F400" i="8"/>
  <c r="F399" i="8"/>
  <c r="G399" i="8"/>
  <c r="G398" i="8"/>
  <c r="F398" i="8"/>
  <c r="F397" i="8"/>
  <c r="G397" i="8"/>
  <c r="F396" i="8"/>
  <c r="G396" i="8"/>
  <c r="F395" i="8"/>
  <c r="G395" i="8"/>
  <c r="F394" i="8"/>
  <c r="G394" i="8"/>
  <c r="F393" i="8"/>
  <c r="G393" i="8"/>
  <c r="G392" i="8"/>
  <c r="F392" i="8"/>
  <c r="G391" i="8"/>
  <c r="F391" i="8"/>
  <c r="G390" i="8"/>
  <c r="F390" i="8"/>
  <c r="G389" i="8"/>
  <c r="F389" i="8"/>
  <c r="F388" i="8"/>
  <c r="G388" i="8"/>
  <c r="G387" i="8"/>
  <c r="F387" i="8"/>
  <c r="F386" i="8"/>
  <c r="G386" i="8"/>
  <c r="F385" i="8"/>
  <c r="G385" i="8"/>
  <c r="G384" i="8"/>
  <c r="F384" i="8"/>
  <c r="F383" i="8"/>
  <c r="G383" i="8"/>
  <c r="G382" i="8"/>
  <c r="F382" i="8"/>
  <c r="F381" i="8"/>
  <c r="G381" i="8"/>
  <c r="G380" i="8"/>
  <c r="F380" i="8"/>
  <c r="F379" i="8"/>
  <c r="G379" i="8"/>
  <c r="F378" i="8"/>
  <c r="G378" i="8"/>
  <c r="F377" i="8"/>
  <c r="G377" i="8"/>
  <c r="G376" i="8"/>
  <c r="F376" i="8"/>
  <c r="F375" i="8"/>
  <c r="G375" i="8"/>
  <c r="F374" i="8"/>
  <c r="G374" i="8"/>
  <c r="F373" i="8"/>
  <c r="G373" i="8"/>
  <c r="G372" i="8"/>
  <c r="F372" i="8"/>
  <c r="G371" i="8"/>
  <c r="F371" i="8"/>
  <c r="F370" i="8"/>
  <c r="G370" i="8"/>
  <c r="G369" i="8"/>
  <c r="F369" i="8"/>
  <c r="F368" i="8"/>
  <c r="G368" i="8"/>
  <c r="G367" i="8"/>
  <c r="F367" i="8"/>
  <c r="G366" i="8"/>
  <c r="F366" i="8"/>
  <c r="F365" i="8"/>
  <c r="G365" i="8"/>
  <c r="F364" i="8"/>
  <c r="G364" i="8"/>
  <c r="F363" i="8"/>
  <c r="G363" i="8"/>
  <c r="F362" i="8"/>
  <c r="G362" i="8"/>
  <c r="G361" i="8"/>
  <c r="F361" i="8"/>
  <c r="G360" i="8"/>
  <c r="F360" i="8"/>
  <c r="F359" i="8"/>
  <c r="G359" i="8"/>
  <c r="G358" i="8"/>
  <c r="F358" i="8"/>
  <c r="F357" i="8"/>
  <c r="G357" i="8"/>
  <c r="F356" i="8"/>
  <c r="G356" i="8"/>
  <c r="G355" i="8"/>
  <c r="F355" i="8"/>
  <c r="F354" i="8"/>
  <c r="G354" i="8"/>
  <c r="G353" i="8"/>
  <c r="F353" i="8"/>
  <c r="G352" i="8"/>
  <c r="F352" i="8"/>
  <c r="F351" i="8"/>
  <c r="G351" i="8"/>
  <c r="G350" i="8"/>
  <c r="F350" i="8"/>
  <c r="F349" i="8"/>
  <c r="G349" i="8"/>
  <c r="F348" i="8"/>
  <c r="G348" i="8"/>
  <c r="F347" i="8"/>
  <c r="G347" i="8"/>
  <c r="G346" i="8"/>
  <c r="F346" i="8"/>
  <c r="F345" i="8"/>
  <c r="G345" i="8"/>
  <c r="F344" i="8"/>
  <c r="G344" i="8"/>
  <c r="F343" i="8"/>
  <c r="G343" i="8"/>
  <c r="F342" i="8"/>
  <c r="G342" i="8"/>
  <c r="F341" i="8"/>
  <c r="G341" i="8"/>
  <c r="G340" i="8"/>
  <c r="F340" i="8"/>
  <c r="F339" i="8"/>
  <c r="G339" i="8"/>
  <c r="F338" i="8"/>
  <c r="G338" i="8"/>
  <c r="F337" i="8"/>
  <c r="G337" i="8"/>
  <c r="F336" i="8"/>
  <c r="G336" i="8"/>
  <c r="F335" i="8"/>
  <c r="G335" i="8"/>
  <c r="G334" i="8"/>
  <c r="F334" i="8"/>
  <c r="F333" i="8"/>
  <c r="G333" i="8"/>
  <c r="F332" i="8"/>
  <c r="G332" i="8"/>
  <c r="F331" i="8"/>
  <c r="G331" i="8"/>
  <c r="G330" i="8"/>
  <c r="F330" i="8"/>
  <c r="G329" i="8"/>
  <c r="F329" i="8"/>
  <c r="F328" i="8"/>
  <c r="G328" i="8"/>
  <c r="F327" i="8"/>
  <c r="G327" i="8"/>
  <c r="F326" i="8"/>
  <c r="G326" i="8"/>
  <c r="F325" i="8"/>
  <c r="G325" i="8"/>
  <c r="F324" i="8"/>
  <c r="G324" i="8"/>
  <c r="G323" i="8"/>
  <c r="F323" i="8"/>
  <c r="F322" i="8"/>
  <c r="G322" i="8"/>
  <c r="F321" i="8"/>
  <c r="G321" i="8"/>
  <c r="F320" i="8"/>
  <c r="G320" i="8"/>
  <c r="G319" i="8"/>
  <c r="F319" i="8"/>
  <c r="F318" i="8"/>
  <c r="G318" i="8"/>
  <c r="F317" i="8"/>
  <c r="G317" i="8"/>
  <c r="F316" i="8"/>
  <c r="G316" i="8"/>
  <c r="G315" i="8"/>
  <c r="F315" i="8"/>
  <c r="F314" i="8"/>
  <c r="G314" i="8"/>
  <c r="F313" i="8"/>
  <c r="G313" i="8"/>
  <c r="G312" i="8"/>
  <c r="F312" i="8"/>
  <c r="F311" i="8"/>
  <c r="G311" i="8"/>
  <c r="F310" i="8"/>
  <c r="G310" i="8"/>
  <c r="F309" i="8"/>
  <c r="G309" i="8"/>
  <c r="G308" i="8"/>
  <c r="F308" i="8"/>
  <c r="G307" i="8"/>
  <c r="F307" i="8"/>
  <c r="G306" i="8"/>
  <c r="F306" i="8"/>
  <c r="F305" i="8"/>
  <c r="G305" i="8"/>
  <c r="G304" i="8"/>
  <c r="F304" i="8"/>
  <c r="F303" i="8"/>
  <c r="G303" i="8"/>
  <c r="G302" i="8"/>
  <c r="F302" i="8"/>
  <c r="F301" i="8"/>
  <c r="G301" i="8"/>
  <c r="F300" i="8"/>
  <c r="G300" i="8"/>
  <c r="G299" i="8"/>
  <c r="F299" i="8"/>
  <c r="G298" i="8"/>
  <c r="F298" i="8"/>
  <c r="G297" i="8"/>
  <c r="F297" i="8"/>
  <c r="F296" i="8"/>
  <c r="G296" i="8"/>
  <c r="F295" i="8"/>
  <c r="G295" i="8"/>
  <c r="F294" i="8"/>
  <c r="G294" i="8"/>
  <c r="G293" i="8"/>
  <c r="F293" i="8"/>
  <c r="F292" i="8"/>
  <c r="G292" i="8"/>
  <c r="G291" i="8"/>
  <c r="F291" i="8"/>
  <c r="G290" i="8"/>
  <c r="F290" i="8"/>
  <c r="F289" i="8"/>
  <c r="G289" i="8"/>
  <c r="F288" i="8"/>
  <c r="G288" i="8"/>
  <c r="G287" i="8"/>
  <c r="F287" i="8"/>
  <c r="G286" i="8"/>
  <c r="F286" i="8"/>
  <c r="F285" i="8"/>
  <c r="G285" i="8"/>
  <c r="F284" i="8"/>
  <c r="G284" i="8"/>
  <c r="F283" i="8"/>
  <c r="G283" i="8"/>
  <c r="F282" i="8"/>
  <c r="G282" i="8"/>
  <c r="G281" i="8"/>
  <c r="F281" i="8"/>
  <c r="F280" i="8"/>
  <c r="G280" i="8"/>
  <c r="F279" i="8"/>
  <c r="G279" i="8"/>
  <c r="G278" i="8"/>
  <c r="F278" i="8"/>
  <c r="G277" i="8"/>
  <c r="F277" i="8"/>
  <c r="F276" i="8"/>
  <c r="G276" i="8"/>
  <c r="F275" i="8"/>
  <c r="G275" i="8"/>
  <c r="F274" i="8"/>
  <c r="G274" i="8"/>
  <c r="G273" i="8"/>
  <c r="F273" i="8"/>
  <c r="G272" i="8"/>
  <c r="F272" i="8"/>
  <c r="G271" i="8"/>
  <c r="F271" i="8"/>
  <c r="G270" i="8"/>
  <c r="F270" i="8"/>
  <c r="F269" i="8"/>
  <c r="G269" i="8"/>
  <c r="F268" i="8"/>
  <c r="G268" i="8"/>
  <c r="G267" i="8"/>
  <c r="F267" i="8"/>
  <c r="G266" i="8"/>
  <c r="F266" i="8"/>
  <c r="F265" i="8"/>
  <c r="G265" i="8"/>
  <c r="G264" i="8"/>
  <c r="F264" i="8"/>
  <c r="F263" i="8"/>
  <c r="G263" i="8"/>
  <c r="F262" i="8"/>
  <c r="G262" i="8"/>
  <c r="F261" i="8"/>
  <c r="G261" i="8"/>
  <c r="F260" i="8"/>
  <c r="G260" i="8"/>
  <c r="F259" i="8"/>
  <c r="G259" i="8"/>
  <c r="G258" i="8"/>
  <c r="F258" i="8"/>
  <c r="G257" i="8"/>
  <c r="F257" i="8"/>
  <c r="G256" i="8"/>
  <c r="F256" i="8"/>
  <c r="F255" i="8"/>
  <c r="G255" i="8"/>
  <c r="G254" i="8"/>
  <c r="F254" i="8"/>
  <c r="F253" i="8"/>
  <c r="G253" i="8"/>
  <c r="G252" i="8"/>
  <c r="F252" i="8"/>
  <c r="G251" i="8"/>
  <c r="F251" i="8"/>
  <c r="G250" i="8"/>
  <c r="F250" i="8"/>
  <c r="F249" i="8"/>
  <c r="G249" i="8"/>
  <c r="F248" i="8"/>
  <c r="G248" i="8"/>
  <c r="F247" i="8"/>
  <c r="G247" i="8"/>
  <c r="G246" i="8"/>
  <c r="F246" i="8"/>
  <c r="G245" i="8"/>
  <c r="F245" i="8"/>
  <c r="F244" i="8"/>
  <c r="G244" i="8"/>
  <c r="F243" i="8"/>
  <c r="G243" i="8"/>
  <c r="G242" i="8"/>
  <c r="F242" i="8"/>
  <c r="F241" i="8"/>
  <c r="G241" i="8"/>
  <c r="F240" i="8"/>
  <c r="G240" i="8"/>
  <c r="G239" i="8"/>
  <c r="F239" i="8"/>
  <c r="G238" i="8"/>
  <c r="F238" i="8"/>
  <c r="F237" i="8"/>
  <c r="G237" i="8"/>
  <c r="F236" i="8"/>
  <c r="G236" i="8"/>
  <c r="F235" i="8"/>
  <c r="G235" i="8"/>
  <c r="F234" i="8"/>
  <c r="G234" i="8"/>
  <c r="G233" i="8"/>
  <c r="F233" i="8"/>
  <c r="F232" i="8"/>
  <c r="G232" i="8"/>
  <c r="G231" i="8"/>
  <c r="F231" i="8"/>
  <c r="G230" i="8"/>
  <c r="F230" i="8"/>
  <c r="G229" i="8"/>
  <c r="F229" i="8"/>
  <c r="F228" i="8"/>
  <c r="G228" i="8"/>
  <c r="F227" i="8"/>
  <c r="G227" i="8"/>
  <c r="F226" i="8"/>
  <c r="G226" i="8"/>
  <c r="F225" i="8"/>
  <c r="G225" i="8"/>
  <c r="F224" i="8"/>
  <c r="G224" i="8"/>
  <c r="F223" i="8"/>
  <c r="G223" i="8"/>
  <c r="F222" i="8"/>
  <c r="G222" i="8"/>
  <c r="G221" i="8"/>
  <c r="F221" i="8"/>
  <c r="F220" i="8"/>
  <c r="G220" i="8"/>
  <c r="G219" i="8"/>
  <c r="F219" i="8"/>
  <c r="F218" i="8"/>
  <c r="G218" i="8"/>
  <c r="F217" i="8"/>
  <c r="G217" i="8"/>
  <c r="F216" i="8"/>
  <c r="G216" i="8"/>
  <c r="G215" i="8"/>
  <c r="F215" i="8"/>
  <c r="F214" i="8"/>
  <c r="G214" i="8"/>
  <c r="F213" i="8"/>
  <c r="G213" i="8"/>
  <c r="F212" i="8"/>
  <c r="G212" i="8"/>
  <c r="G211" i="8"/>
  <c r="F211" i="8"/>
  <c r="F210" i="8"/>
  <c r="G210" i="8"/>
  <c r="F209" i="8"/>
  <c r="G209" i="8"/>
  <c r="G208" i="8"/>
  <c r="F208" i="8"/>
  <c r="F207" i="8"/>
  <c r="G207" i="8"/>
  <c r="F206" i="8"/>
  <c r="G206" i="8"/>
  <c r="F205" i="8"/>
  <c r="G205" i="8"/>
  <c r="G204" i="8"/>
  <c r="F204" i="8"/>
  <c r="G203" i="8"/>
  <c r="F203" i="8"/>
  <c r="F202" i="8"/>
  <c r="G202" i="8"/>
  <c r="F201" i="8"/>
  <c r="G201" i="8"/>
  <c r="F200" i="8"/>
  <c r="G200" i="8"/>
  <c r="F199" i="8"/>
  <c r="G199" i="8"/>
  <c r="G198" i="8"/>
  <c r="F198" i="8"/>
  <c r="F197" i="8"/>
  <c r="G197" i="8"/>
  <c r="F196" i="8"/>
  <c r="G196" i="8"/>
  <c r="G195" i="8"/>
  <c r="F195" i="8"/>
  <c r="F194" i="8"/>
  <c r="G194" i="8"/>
  <c r="G193" i="8"/>
  <c r="F193" i="8"/>
  <c r="F192" i="8"/>
  <c r="G192" i="8"/>
  <c r="F191" i="8"/>
  <c r="G191" i="8"/>
  <c r="G190" i="8"/>
  <c r="F190" i="8"/>
  <c r="G189" i="8"/>
  <c r="F189" i="8"/>
  <c r="F188" i="8"/>
  <c r="G188" i="8"/>
  <c r="F187" i="8"/>
  <c r="G187" i="8"/>
  <c r="F186" i="8"/>
  <c r="G186" i="8"/>
  <c r="F185" i="8"/>
  <c r="G185" i="8"/>
  <c r="F184" i="8"/>
  <c r="G184" i="8"/>
  <c r="F183" i="8"/>
  <c r="G183" i="8"/>
  <c r="F182" i="8"/>
  <c r="G182" i="8"/>
  <c r="F181" i="8"/>
  <c r="G181" i="8"/>
  <c r="F180" i="8"/>
  <c r="G180" i="8"/>
  <c r="F179" i="8"/>
  <c r="G179" i="8"/>
  <c r="F178" i="8"/>
  <c r="G178" i="8"/>
  <c r="G177" i="8"/>
  <c r="F177" i="8"/>
  <c r="G176" i="8"/>
  <c r="F176" i="8"/>
  <c r="F175" i="8"/>
  <c r="G175" i="8"/>
  <c r="F174" i="8"/>
  <c r="G174" i="8"/>
  <c r="F173" i="8"/>
  <c r="G173" i="8"/>
  <c r="F172" i="8"/>
  <c r="G172" i="8"/>
  <c r="F171" i="8"/>
  <c r="G171" i="8"/>
  <c r="F170" i="8"/>
  <c r="G170" i="8"/>
  <c r="F169" i="8"/>
  <c r="G169" i="8"/>
  <c r="G168" i="8"/>
  <c r="F168" i="8"/>
  <c r="F167" i="8"/>
  <c r="G167" i="8"/>
  <c r="F166" i="8"/>
  <c r="G166" i="8"/>
  <c r="G165" i="8"/>
  <c r="F165" i="8"/>
  <c r="F164" i="8"/>
  <c r="G164" i="8"/>
  <c r="G163" i="8"/>
  <c r="F163" i="8"/>
  <c r="F162" i="8"/>
  <c r="G162" i="8"/>
  <c r="G161" i="8"/>
  <c r="F161" i="8"/>
  <c r="G160" i="8"/>
  <c r="F160" i="8"/>
  <c r="F159" i="8"/>
  <c r="G159" i="8"/>
  <c r="G158" i="8"/>
  <c r="F158" i="8"/>
  <c r="F157" i="8"/>
  <c r="G157" i="8"/>
  <c r="F156" i="8"/>
  <c r="G156" i="8"/>
  <c r="F155" i="8"/>
  <c r="G155" i="8"/>
  <c r="F154" i="8"/>
  <c r="G154" i="8"/>
  <c r="G153" i="8"/>
  <c r="F153" i="8"/>
  <c r="G152" i="8"/>
  <c r="F152" i="8"/>
  <c r="G151" i="8"/>
  <c r="F151" i="8"/>
  <c r="F150" i="8"/>
  <c r="G150" i="8"/>
  <c r="F149" i="8"/>
  <c r="G149" i="8"/>
  <c r="G148" i="8"/>
  <c r="F148" i="8"/>
  <c r="F147" i="8"/>
  <c r="G147" i="8"/>
  <c r="F146" i="8"/>
  <c r="G146" i="8"/>
  <c r="F145" i="8"/>
  <c r="G145" i="8"/>
  <c r="F144" i="8"/>
  <c r="G144" i="8"/>
  <c r="G143" i="8"/>
  <c r="F143" i="8"/>
  <c r="G142" i="8"/>
  <c r="F142" i="8"/>
  <c r="F141" i="8"/>
  <c r="G141" i="8"/>
  <c r="G140" i="8"/>
  <c r="F140" i="8"/>
  <c r="G139" i="8"/>
  <c r="F139" i="8"/>
  <c r="F138" i="8"/>
  <c r="G138" i="8"/>
  <c r="F137" i="8"/>
  <c r="G137" i="8"/>
  <c r="F136" i="8"/>
  <c r="G136" i="8"/>
  <c r="F135" i="8"/>
  <c r="G135" i="8"/>
  <c r="F134" i="8"/>
  <c r="G134" i="8"/>
  <c r="F133" i="8"/>
  <c r="G133" i="8"/>
  <c r="F132" i="8"/>
  <c r="G132" i="8"/>
  <c r="F131" i="8"/>
  <c r="G131" i="8"/>
  <c r="F130" i="8"/>
  <c r="G130" i="8"/>
  <c r="F129" i="8"/>
  <c r="G129" i="8"/>
  <c r="F128" i="8"/>
  <c r="G128" i="8"/>
  <c r="F127" i="8"/>
  <c r="G127" i="8"/>
  <c r="G126" i="8"/>
  <c r="F126" i="8"/>
  <c r="G125" i="8"/>
  <c r="F125" i="8"/>
  <c r="F124" i="8"/>
  <c r="G124" i="8"/>
  <c r="F123" i="8"/>
  <c r="G123" i="8"/>
  <c r="G122" i="8"/>
  <c r="F122" i="8"/>
  <c r="F121" i="8"/>
  <c r="G121" i="8"/>
  <c r="F120" i="8"/>
  <c r="G120" i="8"/>
  <c r="F119" i="8"/>
  <c r="G119" i="8"/>
  <c r="F118" i="8"/>
  <c r="G118" i="8"/>
  <c r="F117" i="8"/>
  <c r="G117" i="8"/>
  <c r="F116" i="8"/>
  <c r="G116" i="8"/>
  <c r="G115" i="8"/>
  <c r="F115" i="8"/>
  <c r="G114" i="8"/>
  <c r="F114" i="8"/>
  <c r="G113" i="8"/>
  <c r="F113" i="8"/>
  <c r="F112" i="8"/>
  <c r="G112" i="8"/>
  <c r="F111" i="8"/>
  <c r="G111" i="8"/>
  <c r="F110" i="8"/>
  <c r="G110" i="8"/>
  <c r="G109" i="8"/>
  <c r="F109" i="8"/>
  <c r="F108" i="8"/>
  <c r="G108" i="8"/>
  <c r="F107" i="8"/>
  <c r="G107" i="8"/>
  <c r="F106" i="8"/>
  <c r="G106" i="8"/>
  <c r="G105" i="8"/>
  <c r="F105" i="8"/>
  <c r="F104" i="8"/>
  <c r="G104" i="8"/>
  <c r="G103" i="8"/>
  <c r="F103" i="8"/>
  <c r="G102" i="8"/>
  <c r="F102" i="8"/>
  <c r="F101" i="8"/>
  <c r="G101" i="8"/>
  <c r="F100" i="8"/>
  <c r="G100" i="8"/>
  <c r="F99" i="8"/>
  <c r="G99" i="8"/>
  <c r="G98" i="8"/>
  <c r="F98" i="8"/>
  <c r="F97" i="8"/>
  <c r="G97" i="8"/>
  <c r="F96" i="8"/>
  <c r="G96" i="8"/>
  <c r="F95" i="8"/>
  <c r="G95" i="8"/>
  <c r="F94" i="8"/>
  <c r="G94" i="8"/>
  <c r="F93" i="8"/>
  <c r="G93" i="8"/>
  <c r="G92" i="8"/>
  <c r="F92" i="8"/>
  <c r="F91" i="8"/>
  <c r="G91" i="8"/>
  <c r="F90" i="8"/>
  <c r="G90" i="8"/>
  <c r="G89" i="8"/>
  <c r="F89" i="8"/>
  <c r="F88" i="8"/>
  <c r="G88" i="8"/>
  <c r="F87" i="8"/>
  <c r="G87" i="8"/>
  <c r="F86" i="8"/>
  <c r="G86" i="8"/>
  <c r="G85" i="8"/>
  <c r="F85" i="8"/>
  <c r="G84" i="8"/>
  <c r="F84" i="8"/>
  <c r="G83" i="8"/>
  <c r="F83" i="8"/>
  <c r="F82" i="8"/>
  <c r="G82" i="8"/>
  <c r="F81" i="8"/>
  <c r="G81" i="8"/>
  <c r="G80" i="8"/>
  <c r="F80" i="8"/>
  <c r="G79" i="8"/>
  <c r="F79" i="8"/>
  <c r="F78" i="8"/>
  <c r="G78" i="8"/>
  <c r="F77" i="8"/>
  <c r="G77" i="8"/>
  <c r="F76" i="8"/>
  <c r="G76" i="8"/>
  <c r="F75" i="8"/>
  <c r="G75" i="8"/>
  <c r="G74" i="8"/>
  <c r="F74" i="8"/>
  <c r="G73" i="8"/>
  <c r="F73" i="8"/>
  <c r="F72" i="8"/>
  <c r="G72" i="8"/>
  <c r="G71" i="8"/>
  <c r="F71" i="8"/>
  <c r="F70" i="8"/>
  <c r="G70" i="8"/>
  <c r="F69" i="8"/>
  <c r="G69" i="8"/>
  <c r="G68" i="8"/>
  <c r="F68" i="8"/>
  <c r="G67" i="8"/>
  <c r="F67" i="8"/>
  <c r="G66" i="8"/>
  <c r="F66" i="8"/>
  <c r="G65" i="8"/>
  <c r="F65" i="8"/>
  <c r="F64" i="8"/>
  <c r="G64" i="8"/>
  <c r="F63" i="8"/>
  <c r="G63" i="8"/>
  <c r="F62" i="8"/>
  <c r="G62" i="8"/>
  <c r="F61" i="8"/>
  <c r="G61" i="8"/>
  <c r="F60" i="8"/>
  <c r="G60" i="8"/>
  <c r="F59" i="8"/>
  <c r="G59" i="8"/>
  <c r="F58" i="8"/>
  <c r="G58" i="8"/>
  <c r="G57" i="8"/>
  <c r="F57" i="8"/>
  <c r="F56" i="8"/>
  <c r="G56" i="8"/>
  <c r="G55" i="8"/>
  <c r="F55" i="8"/>
  <c r="F54" i="8"/>
  <c r="G54" i="8"/>
  <c r="F53" i="8"/>
  <c r="G53" i="8"/>
  <c r="F52" i="8"/>
  <c r="G52" i="8"/>
  <c r="F51" i="8"/>
  <c r="G51" i="8"/>
  <c r="F50" i="8"/>
  <c r="G50" i="8"/>
  <c r="F49" i="8"/>
  <c r="G49" i="8"/>
  <c r="G48" i="8"/>
  <c r="F48" i="8"/>
  <c r="F47" i="8"/>
  <c r="G47" i="8"/>
  <c r="F46" i="8"/>
  <c r="G46" i="8"/>
  <c r="F45" i="8"/>
  <c r="G45" i="8"/>
  <c r="F44" i="8"/>
  <c r="G44" i="8"/>
  <c r="G43" i="8"/>
  <c r="F43" i="8"/>
  <c r="G42" i="8"/>
  <c r="F42" i="8"/>
  <c r="F41" i="8"/>
  <c r="G41" i="8"/>
  <c r="F40" i="8"/>
  <c r="G40" i="8"/>
  <c r="F39" i="8"/>
  <c r="G39" i="8"/>
  <c r="F38" i="8"/>
  <c r="G38" i="8"/>
  <c r="G37" i="8"/>
  <c r="F37" i="8"/>
  <c r="F36" i="8"/>
  <c r="G36" i="8"/>
  <c r="G35" i="8"/>
  <c r="F35" i="8"/>
  <c r="G34" i="8"/>
  <c r="F34" i="8"/>
  <c r="F33" i="8"/>
  <c r="G33" i="8"/>
  <c r="F32" i="8"/>
  <c r="G32" i="8"/>
  <c r="G31" i="8"/>
  <c r="F31" i="8"/>
  <c r="F30" i="8"/>
  <c r="G30" i="8"/>
  <c r="F29" i="8"/>
  <c r="G29" i="8"/>
  <c r="F28" i="8"/>
  <c r="G28" i="8"/>
  <c r="G27" i="8"/>
  <c r="F27" i="8"/>
  <c r="F26" i="8"/>
  <c r="G26" i="8"/>
  <c r="G25" i="8"/>
  <c r="F25" i="8"/>
  <c r="F24" i="8"/>
  <c r="G24" i="8"/>
  <c r="F23" i="8"/>
  <c r="G23" i="8"/>
  <c r="F22" i="8"/>
  <c r="G22" i="8"/>
  <c r="G21" i="8"/>
  <c r="F21" i="8"/>
  <c r="G20" i="8"/>
  <c r="F20" i="8"/>
  <c r="G19" i="8"/>
  <c r="F19" i="8"/>
  <c r="F18" i="8"/>
  <c r="G18" i="8"/>
  <c r="F17" i="8"/>
  <c r="G17" i="8"/>
  <c r="G16" i="8"/>
  <c r="F16" i="8"/>
  <c r="F15" i="8"/>
  <c r="G15" i="8"/>
  <c r="G14" i="8"/>
  <c r="F14" i="8"/>
  <c r="F13" i="8"/>
  <c r="G13" i="8"/>
  <c r="G12" i="8"/>
  <c r="F12" i="8"/>
  <c r="G11" i="8"/>
  <c r="F11" i="8"/>
  <c r="F10" i="8"/>
  <c r="G10" i="8"/>
  <c r="F9" i="8"/>
  <c r="G9" i="8"/>
  <c r="G8" i="8"/>
  <c r="F8" i="8"/>
  <c r="G7" i="8"/>
  <c r="F7" i="8"/>
  <c r="F6" i="8"/>
  <c r="G6" i="8"/>
  <c r="F5" i="8"/>
  <c r="G5" i="8"/>
  <c r="G4" i="8"/>
  <c r="F4" i="8"/>
  <c r="G3" i="8"/>
  <c r="F3" i="8"/>
  <c r="F2" i="8"/>
  <c r="G2" i="8"/>
  <c r="G374" i="7"/>
  <c r="J374" i="7"/>
  <c r="G373" i="7"/>
  <c r="J373" i="7"/>
  <c r="G372" i="7"/>
  <c r="J372" i="7"/>
  <c r="G371" i="7"/>
  <c r="J371" i="7"/>
  <c r="G370" i="7"/>
  <c r="J370" i="7"/>
  <c r="G369" i="7"/>
  <c r="J369" i="7"/>
  <c r="G368" i="7"/>
  <c r="J368" i="7"/>
  <c r="G367" i="7"/>
  <c r="J367" i="7"/>
  <c r="G366" i="7"/>
  <c r="J366" i="7"/>
  <c r="G365" i="7"/>
  <c r="J365" i="7"/>
  <c r="G364" i="7"/>
  <c r="J364" i="7"/>
  <c r="G363" i="7"/>
  <c r="J363" i="7"/>
  <c r="G362" i="7"/>
  <c r="J362" i="7"/>
  <c r="G361" i="7"/>
  <c r="J361" i="7"/>
  <c r="G360" i="7"/>
  <c r="J360" i="7"/>
  <c r="G359" i="7"/>
  <c r="J359" i="7"/>
  <c r="G358" i="7"/>
  <c r="J358" i="7"/>
  <c r="G357" i="7"/>
  <c r="J357" i="7"/>
  <c r="G356" i="7"/>
  <c r="J356" i="7"/>
  <c r="G355" i="7"/>
  <c r="J355" i="7"/>
  <c r="G354" i="7"/>
  <c r="J354" i="7"/>
  <c r="G353" i="7"/>
  <c r="J353" i="7"/>
  <c r="G352" i="7"/>
  <c r="J352" i="7"/>
  <c r="G351" i="7"/>
  <c r="J351" i="7"/>
  <c r="G350" i="7"/>
  <c r="J350" i="7"/>
  <c r="G349" i="7"/>
  <c r="J349" i="7"/>
  <c r="G348" i="7"/>
  <c r="J348" i="7"/>
  <c r="G347" i="7"/>
  <c r="J347" i="7"/>
  <c r="G346" i="7"/>
  <c r="J346" i="7"/>
  <c r="G345" i="7"/>
  <c r="J345" i="7"/>
  <c r="G344" i="7"/>
  <c r="J344" i="7"/>
  <c r="G343" i="7"/>
  <c r="J343" i="7"/>
  <c r="G342" i="7"/>
  <c r="J342" i="7"/>
  <c r="G341" i="7"/>
  <c r="J341" i="7"/>
  <c r="G340" i="7"/>
  <c r="J340" i="7"/>
  <c r="G339" i="7"/>
  <c r="J339" i="7"/>
  <c r="G338" i="7"/>
  <c r="J338" i="7"/>
  <c r="G337" i="7"/>
  <c r="J337" i="7"/>
  <c r="G336" i="7"/>
  <c r="J336" i="7"/>
  <c r="G335" i="7"/>
  <c r="J335" i="7"/>
  <c r="G334" i="7"/>
  <c r="J334" i="7"/>
  <c r="G333" i="7"/>
  <c r="J333" i="7"/>
  <c r="G332" i="7"/>
  <c r="J332" i="7"/>
  <c r="G331" i="7"/>
  <c r="J331" i="7"/>
  <c r="G330" i="7"/>
  <c r="J330" i="7"/>
  <c r="G329" i="7"/>
  <c r="J329" i="7"/>
  <c r="G328" i="7"/>
  <c r="J328" i="7"/>
  <c r="G327" i="7"/>
  <c r="J327" i="7"/>
  <c r="G326" i="7"/>
  <c r="J326" i="7"/>
  <c r="G325" i="7"/>
  <c r="J325" i="7"/>
  <c r="G324" i="7"/>
  <c r="J324" i="7"/>
  <c r="G323" i="7"/>
  <c r="J323" i="7"/>
  <c r="G322" i="7"/>
  <c r="J322" i="7"/>
  <c r="G321" i="7"/>
  <c r="J321" i="7"/>
  <c r="G320" i="7"/>
  <c r="J320" i="7"/>
  <c r="G319" i="7"/>
  <c r="J319" i="7"/>
  <c r="G318" i="7"/>
  <c r="J318" i="7"/>
  <c r="G317" i="7"/>
  <c r="J317" i="7"/>
  <c r="G316" i="7"/>
  <c r="J316" i="7"/>
  <c r="G315" i="7"/>
  <c r="J315" i="7"/>
  <c r="G314" i="7"/>
  <c r="J314" i="7"/>
  <c r="G313" i="7"/>
  <c r="J313" i="7"/>
  <c r="G312" i="7"/>
  <c r="J312" i="7"/>
  <c r="G311" i="7"/>
  <c r="J311" i="7"/>
  <c r="G310" i="7"/>
  <c r="J310" i="7"/>
  <c r="G309" i="7"/>
  <c r="J309" i="7"/>
  <c r="G308" i="7"/>
  <c r="J308" i="7"/>
  <c r="G307" i="7"/>
  <c r="J307" i="7"/>
  <c r="G306" i="7"/>
  <c r="J306" i="7"/>
  <c r="G305" i="7"/>
  <c r="J305" i="7"/>
  <c r="G304" i="7"/>
  <c r="J304" i="7"/>
  <c r="G303" i="7"/>
  <c r="J303" i="7"/>
  <c r="G302" i="7"/>
  <c r="J302" i="7"/>
  <c r="G301" i="7"/>
  <c r="J301" i="7"/>
  <c r="G300" i="7"/>
  <c r="J300" i="7"/>
  <c r="G299" i="7"/>
  <c r="J299" i="7"/>
  <c r="G298" i="7"/>
  <c r="J298" i="7"/>
  <c r="G297" i="7"/>
  <c r="J297" i="7"/>
  <c r="G296" i="7"/>
  <c r="J296" i="7"/>
  <c r="G295" i="7"/>
  <c r="J295" i="7"/>
  <c r="G294" i="7"/>
  <c r="J294" i="7"/>
  <c r="G293" i="7"/>
  <c r="J293" i="7"/>
  <c r="G292" i="7"/>
  <c r="J292" i="7"/>
  <c r="G291" i="7"/>
  <c r="J291" i="7"/>
  <c r="G290" i="7"/>
  <c r="J290" i="7"/>
  <c r="G289" i="7"/>
  <c r="J289" i="7"/>
  <c r="G288" i="7"/>
  <c r="J288" i="7"/>
  <c r="G287" i="7"/>
  <c r="J287" i="7"/>
  <c r="G286" i="7"/>
  <c r="J286" i="7"/>
  <c r="G285" i="7"/>
  <c r="J285" i="7"/>
  <c r="G284" i="7"/>
  <c r="J284" i="7"/>
  <c r="G283" i="7"/>
  <c r="J283" i="7"/>
  <c r="G282" i="7"/>
  <c r="J282" i="7"/>
  <c r="G281" i="7"/>
  <c r="J281" i="7"/>
  <c r="G280" i="7"/>
  <c r="J280" i="7"/>
  <c r="G279" i="7"/>
  <c r="J279" i="7"/>
  <c r="G278" i="7"/>
  <c r="J278" i="7"/>
  <c r="G277" i="7"/>
  <c r="J277" i="7"/>
  <c r="G276" i="7"/>
  <c r="J276" i="7"/>
  <c r="G275" i="7"/>
  <c r="J275" i="7"/>
  <c r="G274" i="7"/>
  <c r="J274" i="7"/>
  <c r="G273" i="7"/>
  <c r="J273" i="7"/>
  <c r="G272" i="7"/>
  <c r="J272" i="7"/>
  <c r="G271" i="7"/>
  <c r="J271" i="7"/>
  <c r="G270" i="7"/>
  <c r="J270" i="7"/>
  <c r="G269" i="7"/>
  <c r="J269" i="7"/>
  <c r="G268" i="7"/>
  <c r="J268" i="7"/>
  <c r="G267" i="7"/>
  <c r="J267" i="7"/>
  <c r="G266" i="7"/>
  <c r="J266" i="7"/>
  <c r="G265" i="7"/>
  <c r="J265" i="7"/>
  <c r="G264" i="7"/>
  <c r="J264" i="7"/>
  <c r="G263" i="7"/>
  <c r="J263" i="7"/>
  <c r="G262" i="7"/>
  <c r="J262" i="7"/>
  <c r="G261" i="7"/>
  <c r="J261" i="7"/>
  <c r="G260" i="7"/>
  <c r="J260" i="7"/>
  <c r="G259" i="7"/>
  <c r="J259" i="7"/>
  <c r="G258" i="7"/>
  <c r="J258" i="7"/>
  <c r="G257" i="7"/>
  <c r="J257" i="7"/>
  <c r="G256" i="7"/>
  <c r="J256" i="7"/>
  <c r="G255" i="7"/>
  <c r="J255" i="7"/>
  <c r="G254" i="7"/>
  <c r="J254" i="7"/>
  <c r="G253" i="7"/>
  <c r="J253" i="7"/>
  <c r="G252" i="7"/>
  <c r="J252" i="7"/>
  <c r="G251" i="7"/>
  <c r="J251" i="7"/>
  <c r="G250" i="7"/>
  <c r="J250" i="7"/>
  <c r="G249" i="7"/>
  <c r="J249" i="7"/>
  <c r="G248" i="7"/>
  <c r="J248" i="7"/>
  <c r="G247" i="7"/>
  <c r="J247" i="7"/>
  <c r="G246" i="7"/>
  <c r="J246" i="7"/>
  <c r="G245" i="7"/>
  <c r="J245" i="7"/>
  <c r="G244" i="7"/>
  <c r="J244" i="7"/>
  <c r="G243" i="7"/>
  <c r="J243" i="7"/>
  <c r="G242" i="7"/>
  <c r="J242" i="7"/>
  <c r="G241" i="7"/>
  <c r="J241" i="7"/>
  <c r="G240" i="7"/>
  <c r="J240" i="7"/>
  <c r="G239" i="7"/>
  <c r="J239" i="7"/>
  <c r="G238" i="7"/>
  <c r="J238" i="7"/>
  <c r="G237" i="7"/>
  <c r="J237" i="7"/>
  <c r="G236" i="7"/>
  <c r="J236" i="7"/>
  <c r="G235" i="7"/>
  <c r="J235" i="7"/>
  <c r="G234" i="7"/>
  <c r="J234" i="7"/>
  <c r="G233" i="7"/>
  <c r="J233" i="7"/>
  <c r="G232" i="7"/>
  <c r="J232" i="7"/>
  <c r="G231" i="7"/>
  <c r="J231" i="7"/>
  <c r="G230" i="7"/>
  <c r="J230" i="7"/>
  <c r="G229" i="7"/>
  <c r="J229" i="7"/>
  <c r="G228" i="7"/>
  <c r="J228" i="7"/>
  <c r="G227" i="7"/>
  <c r="J227" i="7"/>
  <c r="G226" i="7"/>
  <c r="J226" i="7"/>
  <c r="G225" i="7"/>
  <c r="J225" i="7"/>
  <c r="G224" i="7"/>
  <c r="J224" i="7"/>
  <c r="G223" i="7"/>
  <c r="J223" i="7"/>
  <c r="G222" i="7"/>
  <c r="J222" i="7"/>
  <c r="G221" i="7"/>
  <c r="J221" i="7"/>
  <c r="G220" i="7"/>
  <c r="J220" i="7"/>
  <c r="G219" i="7"/>
  <c r="J219" i="7"/>
  <c r="G218" i="7"/>
  <c r="J218" i="7"/>
  <c r="G217" i="7"/>
  <c r="J217" i="7"/>
  <c r="G216" i="7"/>
  <c r="J216" i="7"/>
  <c r="G215" i="7"/>
  <c r="J215" i="7"/>
  <c r="G214" i="7"/>
  <c r="J214" i="7"/>
  <c r="G213" i="7"/>
  <c r="J213" i="7"/>
  <c r="G212" i="7"/>
  <c r="J212" i="7"/>
  <c r="G211" i="7"/>
  <c r="J211" i="7"/>
  <c r="G210" i="7"/>
  <c r="J210" i="7"/>
  <c r="G209" i="7"/>
  <c r="J209" i="7"/>
  <c r="G208" i="7"/>
  <c r="J208" i="7"/>
  <c r="G207" i="7"/>
  <c r="J207" i="7"/>
  <c r="G206" i="7"/>
  <c r="J206" i="7"/>
  <c r="G205" i="7"/>
  <c r="J205" i="7"/>
  <c r="G204" i="7"/>
  <c r="J204" i="7"/>
  <c r="G203" i="7"/>
  <c r="J203" i="7"/>
  <c r="G202" i="7"/>
  <c r="J202" i="7"/>
  <c r="G201" i="7"/>
  <c r="J201" i="7"/>
  <c r="G200" i="7"/>
  <c r="J200" i="7"/>
  <c r="G199" i="7"/>
  <c r="J199" i="7"/>
  <c r="G198" i="7"/>
  <c r="J198" i="7"/>
  <c r="G197" i="7"/>
  <c r="J197" i="7"/>
  <c r="G196" i="7"/>
  <c r="J196" i="7"/>
  <c r="G195" i="7"/>
  <c r="J195" i="7"/>
  <c r="G194" i="7"/>
  <c r="J194" i="7"/>
  <c r="G193" i="7"/>
  <c r="J193" i="7"/>
  <c r="G192" i="7"/>
  <c r="J192" i="7"/>
  <c r="G191" i="7"/>
  <c r="J191" i="7"/>
  <c r="G190" i="7"/>
  <c r="J190" i="7"/>
  <c r="G189" i="7"/>
  <c r="J189" i="7"/>
  <c r="G188" i="7"/>
  <c r="J188" i="7"/>
  <c r="G187" i="7"/>
  <c r="J187" i="7"/>
  <c r="G186" i="7"/>
  <c r="J186" i="7"/>
  <c r="G185" i="7"/>
  <c r="J185" i="7"/>
  <c r="G184" i="7"/>
  <c r="J184" i="7"/>
  <c r="G183" i="7"/>
  <c r="J183" i="7"/>
  <c r="G182" i="7"/>
  <c r="J182" i="7"/>
  <c r="G181" i="7"/>
  <c r="J181" i="7"/>
  <c r="G180" i="7"/>
  <c r="J180" i="7"/>
  <c r="G179" i="7"/>
  <c r="J179" i="7"/>
  <c r="G178" i="7"/>
  <c r="J178" i="7"/>
  <c r="G177" i="7"/>
  <c r="J177" i="7"/>
  <c r="G176" i="7"/>
  <c r="J176" i="7"/>
  <c r="G175" i="7"/>
  <c r="J175" i="7"/>
  <c r="G174" i="7"/>
  <c r="J174" i="7"/>
  <c r="G173" i="7"/>
  <c r="J173" i="7"/>
  <c r="G172" i="7"/>
  <c r="J172" i="7"/>
  <c r="G171" i="7"/>
  <c r="J171" i="7"/>
  <c r="G170" i="7"/>
  <c r="J170" i="7"/>
  <c r="G169" i="7"/>
  <c r="J169" i="7"/>
  <c r="G168" i="7"/>
  <c r="J168" i="7"/>
  <c r="G167" i="7"/>
  <c r="J167" i="7"/>
  <c r="G166" i="7"/>
  <c r="J166" i="7"/>
  <c r="G165" i="7"/>
  <c r="J165" i="7"/>
  <c r="G164" i="7"/>
  <c r="J164" i="7"/>
  <c r="G163" i="7"/>
  <c r="J163" i="7"/>
  <c r="G162" i="7"/>
  <c r="J162" i="7"/>
  <c r="G161" i="7"/>
  <c r="J161" i="7"/>
  <c r="G160" i="7"/>
  <c r="J160" i="7"/>
  <c r="G159" i="7"/>
  <c r="J159" i="7"/>
  <c r="G158" i="7"/>
  <c r="J158" i="7"/>
  <c r="G157" i="7"/>
  <c r="J157" i="7"/>
  <c r="G156" i="7"/>
  <c r="J156" i="7"/>
  <c r="G155" i="7"/>
  <c r="J155" i="7"/>
  <c r="G154" i="7"/>
  <c r="J154" i="7"/>
  <c r="G153" i="7"/>
  <c r="J153" i="7"/>
  <c r="G152" i="7"/>
  <c r="J152" i="7"/>
  <c r="G151" i="7"/>
  <c r="J151" i="7"/>
  <c r="G150" i="7"/>
  <c r="J150" i="7"/>
  <c r="G149" i="7"/>
  <c r="J149" i="7"/>
  <c r="G148" i="7"/>
  <c r="J148" i="7"/>
  <c r="G147" i="7"/>
  <c r="J147" i="7"/>
  <c r="G146" i="7"/>
  <c r="J146" i="7"/>
  <c r="G145" i="7"/>
  <c r="J145" i="7"/>
  <c r="G144" i="7"/>
  <c r="J144" i="7"/>
  <c r="G143" i="7"/>
  <c r="J143" i="7"/>
  <c r="G142" i="7"/>
  <c r="J142" i="7"/>
  <c r="G141" i="7"/>
  <c r="J141" i="7"/>
  <c r="G140" i="7"/>
  <c r="J140" i="7"/>
  <c r="G139" i="7"/>
  <c r="J139" i="7"/>
  <c r="G138" i="7"/>
  <c r="J138" i="7"/>
  <c r="G137" i="7"/>
  <c r="J137" i="7"/>
  <c r="G136" i="7"/>
  <c r="J136" i="7"/>
  <c r="G135" i="7"/>
  <c r="J135" i="7"/>
  <c r="G134" i="7"/>
  <c r="J134" i="7"/>
  <c r="G133" i="7"/>
  <c r="J133" i="7"/>
  <c r="G132" i="7"/>
  <c r="J132" i="7"/>
  <c r="G131" i="7"/>
  <c r="J131" i="7"/>
  <c r="G130" i="7"/>
  <c r="J130" i="7"/>
  <c r="G129" i="7"/>
  <c r="J129" i="7"/>
  <c r="G128" i="7"/>
  <c r="J128" i="7"/>
  <c r="G127" i="7"/>
  <c r="J127" i="7"/>
  <c r="G126" i="7"/>
  <c r="J126" i="7"/>
  <c r="G125" i="7"/>
  <c r="J125" i="7"/>
  <c r="G124" i="7"/>
  <c r="J124" i="7"/>
  <c r="G123" i="7"/>
  <c r="J123" i="7"/>
  <c r="G122" i="7"/>
  <c r="J122" i="7"/>
  <c r="G121" i="7"/>
  <c r="J121" i="7"/>
  <c r="G120" i="7"/>
  <c r="J120" i="7"/>
  <c r="G119" i="7"/>
  <c r="J119" i="7"/>
  <c r="G118" i="7"/>
  <c r="J118" i="7"/>
  <c r="G117" i="7"/>
  <c r="J117" i="7"/>
  <c r="G116" i="7"/>
  <c r="J116" i="7"/>
  <c r="G115" i="7"/>
  <c r="J115" i="7"/>
  <c r="G114" i="7"/>
  <c r="J114" i="7"/>
  <c r="G113" i="7"/>
  <c r="J113" i="7"/>
  <c r="G112" i="7"/>
  <c r="J112" i="7"/>
  <c r="G111" i="7"/>
  <c r="J111" i="7"/>
  <c r="G110" i="7"/>
  <c r="J110" i="7"/>
  <c r="G109" i="7"/>
  <c r="J109" i="7"/>
  <c r="G108" i="7"/>
  <c r="J108" i="7"/>
  <c r="G107" i="7"/>
  <c r="J107" i="7"/>
  <c r="G106" i="7"/>
  <c r="J106" i="7"/>
  <c r="G105" i="7"/>
  <c r="J105" i="7"/>
  <c r="G104" i="7"/>
  <c r="J104" i="7"/>
  <c r="G103" i="7"/>
  <c r="J103" i="7"/>
  <c r="G102" i="7"/>
  <c r="J102" i="7"/>
  <c r="G101" i="7"/>
  <c r="J101" i="7"/>
  <c r="G100" i="7"/>
  <c r="J100" i="7"/>
  <c r="G99" i="7"/>
  <c r="J99" i="7"/>
  <c r="G98" i="7"/>
  <c r="J98" i="7"/>
  <c r="G97" i="7"/>
  <c r="J97" i="7"/>
  <c r="G96" i="7"/>
  <c r="J96" i="7"/>
  <c r="G95" i="7"/>
  <c r="J95" i="7"/>
  <c r="G94" i="7"/>
  <c r="J94" i="7"/>
  <c r="G93" i="7"/>
  <c r="J93" i="7"/>
  <c r="G92" i="7"/>
  <c r="J92" i="7"/>
  <c r="G91" i="7"/>
  <c r="J91" i="7"/>
  <c r="G90" i="7"/>
  <c r="J90" i="7"/>
  <c r="G89" i="7"/>
  <c r="J89" i="7"/>
  <c r="G88" i="7"/>
  <c r="J88" i="7"/>
  <c r="G87" i="7"/>
  <c r="J87" i="7"/>
  <c r="G86" i="7"/>
  <c r="J86" i="7"/>
  <c r="G85" i="7"/>
  <c r="J85" i="7"/>
  <c r="G84" i="7"/>
  <c r="J84" i="7"/>
  <c r="G83" i="7"/>
  <c r="J83" i="7"/>
  <c r="G82" i="7"/>
  <c r="J82" i="7"/>
  <c r="G81" i="7"/>
  <c r="J81" i="7"/>
  <c r="G80" i="7"/>
  <c r="J80" i="7"/>
  <c r="G79" i="7"/>
  <c r="J79" i="7"/>
  <c r="G78" i="7"/>
  <c r="J78" i="7"/>
  <c r="G77" i="7"/>
  <c r="J77" i="7"/>
  <c r="G76" i="7"/>
  <c r="J76" i="7"/>
  <c r="G75" i="7"/>
  <c r="J75" i="7"/>
  <c r="G74" i="7"/>
  <c r="J74" i="7"/>
  <c r="G73" i="7"/>
  <c r="J73" i="7"/>
  <c r="G72" i="7"/>
  <c r="J72" i="7"/>
  <c r="G71" i="7"/>
  <c r="J71" i="7"/>
  <c r="G70" i="7"/>
  <c r="J70" i="7"/>
  <c r="G69" i="7"/>
  <c r="J69" i="7"/>
  <c r="G68" i="7"/>
  <c r="J68" i="7"/>
  <c r="G67" i="7"/>
  <c r="J67" i="7"/>
  <c r="G66" i="7"/>
  <c r="J66" i="7"/>
  <c r="G65" i="7"/>
  <c r="J65" i="7"/>
  <c r="G64" i="7"/>
  <c r="J64" i="7"/>
  <c r="G63" i="7"/>
  <c r="J63" i="7"/>
  <c r="G62" i="7"/>
  <c r="J62" i="7"/>
  <c r="G61" i="7"/>
  <c r="J61" i="7"/>
  <c r="G60" i="7"/>
  <c r="J60" i="7"/>
  <c r="G59" i="7"/>
  <c r="J59" i="7"/>
  <c r="G58" i="7"/>
  <c r="J58" i="7"/>
  <c r="G57" i="7"/>
  <c r="J57" i="7"/>
  <c r="G56" i="7"/>
  <c r="J56" i="7"/>
  <c r="G55" i="7"/>
  <c r="J55" i="7"/>
  <c r="G54" i="7"/>
  <c r="J54" i="7"/>
  <c r="G53" i="7"/>
  <c r="J53" i="7"/>
  <c r="G52" i="7"/>
  <c r="J52" i="7"/>
  <c r="G51" i="7"/>
  <c r="J51" i="7"/>
  <c r="G50" i="7"/>
  <c r="J50" i="7"/>
  <c r="G49" i="7"/>
  <c r="J49" i="7"/>
  <c r="G48" i="7"/>
  <c r="J48" i="7"/>
  <c r="G47" i="7"/>
  <c r="J47" i="7"/>
  <c r="G46" i="7"/>
  <c r="J46" i="7"/>
  <c r="G45" i="7"/>
  <c r="J45" i="7"/>
  <c r="G44" i="7"/>
  <c r="J44" i="7"/>
  <c r="G43" i="7"/>
  <c r="J43" i="7"/>
  <c r="G42" i="7"/>
  <c r="J42" i="7"/>
  <c r="G41" i="7"/>
  <c r="J41" i="7"/>
  <c r="G40" i="7"/>
  <c r="J40" i="7"/>
  <c r="G39" i="7"/>
  <c r="J39" i="7"/>
  <c r="G38" i="7"/>
  <c r="J38" i="7"/>
  <c r="G37" i="7"/>
  <c r="J37" i="7"/>
  <c r="G36" i="7"/>
  <c r="J36" i="7"/>
  <c r="G35" i="7"/>
  <c r="J35" i="7"/>
  <c r="G34" i="7"/>
  <c r="J34" i="7"/>
  <c r="G33" i="7"/>
  <c r="J33" i="7"/>
  <c r="G32" i="7"/>
  <c r="J32" i="7"/>
  <c r="G31" i="7"/>
  <c r="J31" i="7"/>
  <c r="G30" i="7"/>
  <c r="J30" i="7"/>
  <c r="G29" i="7"/>
  <c r="J29" i="7"/>
  <c r="G28" i="7"/>
  <c r="J28" i="7"/>
  <c r="G27" i="7"/>
  <c r="J27" i="7"/>
  <c r="G26" i="7"/>
  <c r="J26" i="7"/>
  <c r="G25" i="7"/>
  <c r="J25" i="7"/>
  <c r="G24" i="7"/>
  <c r="J24" i="7"/>
  <c r="G23" i="7"/>
  <c r="J23" i="7"/>
  <c r="G22" i="7"/>
  <c r="J22" i="7"/>
  <c r="G21" i="7"/>
  <c r="J21" i="7"/>
  <c r="G20" i="7"/>
  <c r="J20" i="7"/>
  <c r="G19" i="7"/>
  <c r="J19" i="7"/>
  <c r="G18" i="7"/>
  <c r="J18" i="7"/>
  <c r="G17" i="7"/>
  <c r="J17" i="7"/>
  <c r="G16" i="7"/>
  <c r="J16" i="7"/>
  <c r="G15" i="7"/>
  <c r="J15" i="7"/>
  <c r="G14" i="7"/>
  <c r="J14" i="7"/>
  <c r="G13" i="7"/>
  <c r="J13" i="7"/>
  <c r="G12" i="7"/>
  <c r="J12" i="7"/>
  <c r="G11" i="7"/>
  <c r="J11" i="7"/>
  <c r="G10" i="7"/>
  <c r="J10" i="7"/>
  <c r="G9" i="7"/>
  <c r="J9" i="7"/>
  <c r="G8" i="7"/>
  <c r="J8" i="7"/>
  <c r="G7" i="7"/>
  <c r="J7" i="7"/>
  <c r="G6" i="7"/>
  <c r="J6" i="7"/>
  <c r="G5" i="7"/>
  <c r="J5" i="7"/>
  <c r="G4" i="7"/>
  <c r="J4" i="7"/>
  <c r="G3" i="7"/>
  <c r="J3" i="7"/>
  <c r="G2" i="7"/>
  <c r="J2" i="7"/>
  <c r="M47" i="6"/>
  <c r="N47" i="6"/>
  <c r="L47" i="6"/>
  <c r="M46" i="6"/>
  <c r="N46" i="6"/>
  <c r="L46" i="6"/>
  <c r="M45" i="6"/>
  <c r="N45" i="6"/>
  <c r="L45" i="6"/>
  <c r="M44" i="6"/>
  <c r="N44" i="6"/>
  <c r="L44" i="6"/>
  <c r="M43" i="6"/>
  <c r="N43" i="6"/>
  <c r="L43" i="6"/>
  <c r="M42" i="6"/>
  <c r="N42" i="6"/>
  <c r="L42" i="6"/>
  <c r="M41" i="6"/>
  <c r="N41" i="6"/>
  <c r="L41" i="6"/>
  <c r="M40" i="6"/>
  <c r="N40" i="6"/>
  <c r="L40" i="6"/>
  <c r="M39" i="6"/>
  <c r="N39" i="6"/>
  <c r="L39" i="6"/>
  <c r="M38" i="6"/>
  <c r="N38" i="6"/>
  <c r="L38" i="6"/>
  <c r="M37" i="6"/>
  <c r="N37" i="6"/>
  <c r="L37" i="6"/>
  <c r="M36" i="6"/>
  <c r="N36" i="6"/>
  <c r="L36" i="6"/>
  <c r="M35" i="6"/>
  <c r="N35" i="6"/>
  <c r="L35" i="6"/>
  <c r="M34" i="6"/>
  <c r="N34" i="6"/>
  <c r="L34" i="6"/>
  <c r="M33" i="6"/>
  <c r="N33" i="6"/>
  <c r="L33" i="6"/>
  <c r="M32" i="6"/>
  <c r="N32" i="6"/>
  <c r="L32" i="6"/>
  <c r="M31" i="6"/>
  <c r="N31" i="6"/>
  <c r="L31" i="6"/>
  <c r="M30" i="6"/>
  <c r="N30" i="6"/>
  <c r="L30" i="6"/>
  <c r="M29" i="6"/>
  <c r="N29" i="6"/>
  <c r="L29" i="6"/>
  <c r="M28" i="6"/>
  <c r="N28" i="6"/>
  <c r="L28" i="6"/>
  <c r="M27" i="6"/>
  <c r="N27" i="6"/>
  <c r="L27" i="6"/>
  <c r="M26" i="6"/>
  <c r="N26" i="6"/>
  <c r="L26" i="6"/>
  <c r="M25" i="6"/>
  <c r="N25" i="6"/>
  <c r="L25" i="6"/>
  <c r="M24" i="6"/>
  <c r="N24" i="6"/>
  <c r="L24" i="6"/>
  <c r="M23" i="6"/>
  <c r="N23" i="6"/>
  <c r="L23" i="6"/>
  <c r="M22" i="6"/>
  <c r="N22" i="6"/>
  <c r="L22" i="6"/>
  <c r="M21" i="6"/>
  <c r="N21" i="6"/>
  <c r="L21" i="6"/>
  <c r="M20" i="6"/>
  <c r="N20" i="6"/>
  <c r="L20" i="6"/>
  <c r="M19" i="6"/>
  <c r="N19" i="6"/>
  <c r="L19" i="6"/>
  <c r="M18" i="6"/>
  <c r="N18" i="6"/>
  <c r="L18" i="6"/>
  <c r="M17" i="6"/>
  <c r="N17" i="6"/>
  <c r="L17" i="6"/>
  <c r="M16" i="6"/>
  <c r="N16" i="6"/>
  <c r="L16" i="6"/>
  <c r="M15" i="6"/>
  <c r="N15" i="6"/>
  <c r="L15" i="6"/>
  <c r="M14" i="6"/>
  <c r="N14" i="6"/>
  <c r="L14" i="6"/>
  <c r="M13" i="6"/>
  <c r="N13" i="6"/>
  <c r="L13" i="6"/>
  <c r="M12" i="6"/>
  <c r="N12" i="6"/>
  <c r="L12" i="6"/>
  <c r="M11" i="6"/>
  <c r="N11" i="6"/>
  <c r="L11" i="6"/>
  <c r="M10" i="6"/>
  <c r="N10" i="6"/>
  <c r="L10" i="6"/>
  <c r="M9" i="6"/>
  <c r="N9" i="6"/>
  <c r="L9" i="6"/>
  <c r="M8" i="6"/>
  <c r="N8" i="6"/>
  <c r="L8" i="6"/>
  <c r="M7" i="6"/>
  <c r="N7" i="6"/>
  <c r="L7" i="6"/>
  <c r="M6" i="6"/>
  <c r="N6" i="6"/>
  <c r="L6" i="6"/>
  <c r="M5" i="6"/>
  <c r="N5" i="6"/>
  <c r="L5" i="6"/>
  <c r="M4" i="6"/>
  <c r="N4" i="6"/>
  <c r="L4" i="6"/>
  <c r="M3" i="6"/>
  <c r="N3" i="6"/>
  <c r="L3" i="6"/>
  <c r="M2" i="6"/>
  <c r="N2" i="6"/>
  <c r="L2" i="6"/>
  <c r="R61" i="3"/>
  <c r="O61" i="3"/>
  <c r="P61" i="3"/>
  <c r="Q61" i="3"/>
  <c r="S61" i="3"/>
  <c r="R60" i="3"/>
  <c r="O60" i="3"/>
  <c r="P60" i="3"/>
  <c r="Q60" i="3"/>
  <c r="S60" i="3"/>
  <c r="R59" i="3"/>
  <c r="O59" i="3"/>
  <c r="P59" i="3"/>
  <c r="Q59" i="3"/>
  <c r="S59" i="3"/>
  <c r="R58" i="3"/>
  <c r="O58" i="3"/>
  <c r="P58" i="3"/>
  <c r="Q58" i="3"/>
  <c r="S58" i="3"/>
  <c r="R57" i="3"/>
  <c r="O57" i="3"/>
  <c r="P57" i="3"/>
  <c r="Q57" i="3"/>
  <c r="S57" i="3"/>
  <c r="R56" i="3"/>
  <c r="O56" i="3"/>
  <c r="P56" i="3"/>
  <c r="Q56" i="3"/>
  <c r="S56" i="3"/>
  <c r="R55" i="3"/>
  <c r="O55" i="3"/>
  <c r="P55" i="3"/>
  <c r="Q55" i="3"/>
  <c r="S55" i="3"/>
  <c r="R54" i="3"/>
  <c r="O54" i="3"/>
  <c r="P54" i="3"/>
  <c r="Q54" i="3"/>
  <c r="S54" i="3"/>
  <c r="R53" i="3"/>
  <c r="O53" i="3"/>
  <c r="P53" i="3"/>
  <c r="Q53" i="3"/>
  <c r="S53" i="3"/>
  <c r="R52" i="3"/>
  <c r="O52" i="3"/>
  <c r="P52" i="3"/>
  <c r="Q52" i="3"/>
  <c r="S52" i="3"/>
  <c r="R51" i="3"/>
  <c r="O51" i="3"/>
  <c r="P51" i="3"/>
  <c r="Q51" i="3"/>
  <c r="S51" i="3"/>
  <c r="R50" i="3"/>
  <c r="O50" i="3"/>
  <c r="P50" i="3"/>
  <c r="Q50" i="3"/>
  <c r="S50" i="3"/>
  <c r="R49" i="3"/>
  <c r="O49" i="3"/>
  <c r="P49" i="3"/>
  <c r="Q49" i="3"/>
  <c r="S49" i="3"/>
  <c r="R48" i="3"/>
  <c r="O48" i="3"/>
  <c r="P48" i="3"/>
  <c r="Q48" i="3"/>
  <c r="S48" i="3"/>
  <c r="R47" i="3"/>
  <c r="O47" i="3"/>
  <c r="P47" i="3"/>
  <c r="Q47" i="3"/>
  <c r="S47" i="3"/>
  <c r="R46" i="3"/>
  <c r="O46" i="3"/>
  <c r="P46" i="3"/>
  <c r="Q46" i="3"/>
  <c r="S46" i="3"/>
  <c r="R45" i="3"/>
  <c r="O45" i="3"/>
  <c r="P45" i="3"/>
  <c r="Q45" i="3"/>
  <c r="S45" i="3"/>
  <c r="R44" i="3"/>
  <c r="O44" i="3"/>
  <c r="P44" i="3"/>
  <c r="Q44" i="3"/>
  <c r="S44" i="3"/>
  <c r="R43" i="3"/>
  <c r="O43" i="3"/>
  <c r="P43" i="3"/>
  <c r="Q43" i="3"/>
  <c r="S43" i="3"/>
  <c r="R42" i="3"/>
  <c r="O42" i="3"/>
  <c r="P42" i="3"/>
  <c r="Q42" i="3"/>
  <c r="S42" i="3"/>
  <c r="R41" i="3"/>
  <c r="O41" i="3"/>
  <c r="P41" i="3"/>
  <c r="Q41" i="3"/>
  <c r="S41" i="3"/>
  <c r="R40" i="3"/>
  <c r="O40" i="3"/>
  <c r="P40" i="3"/>
  <c r="Q40" i="3"/>
  <c r="S40" i="3"/>
  <c r="R39" i="3"/>
  <c r="O39" i="3"/>
  <c r="P39" i="3"/>
  <c r="Q39" i="3"/>
  <c r="S39" i="3"/>
  <c r="R38" i="3"/>
  <c r="O38" i="3"/>
  <c r="P38" i="3"/>
  <c r="Q38" i="3"/>
  <c r="S38" i="3"/>
  <c r="R37" i="3"/>
  <c r="O37" i="3"/>
  <c r="P37" i="3"/>
  <c r="Q37" i="3"/>
  <c r="S37" i="3"/>
  <c r="R36" i="3"/>
  <c r="O36" i="3"/>
  <c r="P36" i="3"/>
  <c r="Q36" i="3"/>
  <c r="S36" i="3"/>
  <c r="R35" i="3"/>
  <c r="O35" i="3"/>
  <c r="P35" i="3"/>
  <c r="Q35" i="3"/>
  <c r="S35" i="3"/>
  <c r="R34" i="3"/>
  <c r="O34" i="3"/>
  <c r="P34" i="3"/>
  <c r="Q34" i="3"/>
  <c r="S34" i="3"/>
  <c r="R33" i="3"/>
  <c r="O33" i="3"/>
  <c r="P33" i="3"/>
  <c r="Q33" i="3"/>
  <c r="S33" i="3"/>
  <c r="R32" i="3"/>
  <c r="O32" i="3"/>
  <c r="P32" i="3"/>
  <c r="Q32" i="3"/>
  <c r="S32" i="3"/>
  <c r="R31" i="3"/>
  <c r="O31" i="3"/>
  <c r="P31" i="3"/>
  <c r="Q31" i="3"/>
  <c r="S31" i="3"/>
  <c r="R30" i="3"/>
  <c r="O30" i="3"/>
  <c r="P30" i="3"/>
  <c r="Q30" i="3"/>
  <c r="S30" i="3"/>
  <c r="R29" i="3"/>
  <c r="O29" i="3"/>
  <c r="P29" i="3"/>
  <c r="Q29" i="3"/>
  <c r="S29" i="3"/>
  <c r="R28" i="3"/>
  <c r="O28" i="3"/>
  <c r="P28" i="3"/>
  <c r="Q28" i="3"/>
  <c r="S28" i="3"/>
  <c r="R27" i="3"/>
  <c r="O27" i="3"/>
  <c r="P27" i="3"/>
  <c r="Q27" i="3"/>
  <c r="S27" i="3"/>
  <c r="R26" i="3"/>
  <c r="O26" i="3"/>
  <c r="P26" i="3"/>
  <c r="Q26" i="3"/>
  <c r="S26" i="3"/>
  <c r="R25" i="3"/>
  <c r="O25" i="3"/>
  <c r="P25" i="3"/>
  <c r="Q25" i="3"/>
  <c r="S25" i="3"/>
  <c r="R24" i="3"/>
  <c r="O24" i="3"/>
  <c r="P24" i="3"/>
  <c r="Q24" i="3"/>
  <c r="S24" i="3"/>
  <c r="R23" i="3"/>
  <c r="O23" i="3"/>
  <c r="P23" i="3"/>
  <c r="Q23" i="3"/>
  <c r="S23" i="3"/>
  <c r="R22" i="3"/>
  <c r="O22" i="3"/>
  <c r="P22" i="3"/>
  <c r="Q22" i="3"/>
  <c r="S22" i="3"/>
  <c r="R21" i="3"/>
  <c r="O21" i="3"/>
  <c r="P21" i="3"/>
  <c r="Q21" i="3"/>
  <c r="S21" i="3"/>
  <c r="R20" i="3"/>
  <c r="O20" i="3"/>
  <c r="P20" i="3"/>
  <c r="Q20" i="3"/>
  <c r="S20" i="3"/>
  <c r="R19" i="3"/>
  <c r="O19" i="3"/>
  <c r="P19" i="3"/>
  <c r="Q19" i="3"/>
  <c r="S19" i="3"/>
  <c r="R18" i="3"/>
  <c r="O18" i="3"/>
  <c r="P18" i="3"/>
  <c r="Q18" i="3"/>
  <c r="S18" i="3"/>
  <c r="R17" i="3"/>
  <c r="O17" i="3"/>
  <c r="P17" i="3"/>
  <c r="Q17" i="3"/>
  <c r="S17" i="3"/>
  <c r="R16" i="3"/>
  <c r="O16" i="3"/>
  <c r="P16" i="3"/>
  <c r="Q16" i="3"/>
  <c r="S16" i="3"/>
  <c r="R15" i="3"/>
  <c r="O15" i="3"/>
  <c r="P15" i="3"/>
  <c r="Q15" i="3"/>
  <c r="S15" i="3"/>
  <c r="R14" i="3"/>
  <c r="O14" i="3"/>
  <c r="P14" i="3"/>
  <c r="Q14" i="3"/>
  <c r="S14" i="3"/>
  <c r="R13" i="3"/>
  <c r="O13" i="3"/>
  <c r="P13" i="3"/>
  <c r="Q13" i="3"/>
  <c r="S13" i="3"/>
  <c r="R12" i="3"/>
  <c r="O12" i="3"/>
  <c r="P12" i="3"/>
  <c r="Q12" i="3"/>
  <c r="S12" i="3"/>
  <c r="R11" i="3"/>
  <c r="O11" i="3"/>
  <c r="P11" i="3"/>
  <c r="Q11" i="3"/>
  <c r="S11" i="3"/>
  <c r="R10" i="3"/>
  <c r="O10" i="3"/>
  <c r="P10" i="3"/>
  <c r="Q10" i="3"/>
  <c r="S10" i="3"/>
  <c r="R9" i="3"/>
  <c r="O9" i="3"/>
  <c r="P9" i="3"/>
  <c r="Q9" i="3"/>
  <c r="S9" i="3"/>
  <c r="R8" i="3"/>
  <c r="O8" i="3"/>
  <c r="P8" i="3"/>
  <c r="Q8" i="3"/>
  <c r="S8" i="3"/>
  <c r="R7" i="3"/>
  <c r="O7" i="3"/>
  <c r="P7" i="3"/>
  <c r="Q7" i="3"/>
  <c r="S7" i="3"/>
  <c r="R6" i="3"/>
  <c r="O6" i="3"/>
  <c r="P6" i="3"/>
  <c r="Q6" i="3"/>
  <c r="S6" i="3"/>
  <c r="R5" i="3"/>
  <c r="O5" i="3"/>
  <c r="P5" i="3"/>
  <c r="Q5" i="3"/>
  <c r="S5" i="3"/>
  <c r="R4" i="3"/>
  <c r="O4" i="3"/>
  <c r="P4" i="3"/>
  <c r="Q4" i="3"/>
  <c r="S4" i="3"/>
  <c r="R3" i="3"/>
  <c r="O3" i="3"/>
  <c r="P3" i="3"/>
  <c r="Q3" i="3"/>
  <c r="S3" i="3"/>
  <c r="R2" i="3"/>
  <c r="O2" i="3"/>
  <c r="P2" i="3"/>
  <c r="Q2" i="3"/>
  <c r="S2" i="3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B17" i="1"/>
  <c r="B16" i="1"/>
  <c r="B15" i="1"/>
  <c r="B14" i="1"/>
  <c r="B11" i="1"/>
  <c r="B10" i="1"/>
  <c r="B9" i="1"/>
  <c r="B8" i="1"/>
  <c r="B7" i="1"/>
  <c r="B6" i="1"/>
  <c r="B2" i="1"/>
</calcChain>
</file>

<file path=xl/sharedStrings.xml><?xml version="1.0" encoding="utf-8"?>
<sst xmlns="http://schemas.openxmlformats.org/spreadsheetml/2006/main" count="5313" uniqueCount="1143">
  <si>
    <t>Clothing Production Planning Database</t>
  </si>
  <si>
    <t>Last refreshed</t>
  </si>
  <si>
    <t>Input source</t>
  </si>
  <si>
    <t>sample_planning test 2.xlsx + cleaned planning database</t>
  </si>
  <si>
    <t>KPI</t>
  </si>
  <si>
    <t>Value</t>
  </si>
  <si>
    <t>Total orders</t>
  </si>
  <si>
    <t>Total units</t>
  </si>
  <si>
    <t>Average progress</t>
  </si>
  <si>
    <t>High/overdue risk orders</t>
  </si>
  <si>
    <t>Open TNA milestones</t>
  </si>
  <si>
    <t>Potential phase bottlenecks</t>
  </si>
  <si>
    <t>Risk level</t>
  </si>
  <si>
    <t>Order count</t>
  </si>
  <si>
    <t>LOW</t>
  </si>
  <si>
    <t>MEDIUM</t>
  </si>
  <si>
    <t>HIGH</t>
  </si>
  <si>
    <t>OVERDUE</t>
  </si>
  <si>
    <t>Product type</t>
  </si>
  <si>
    <t>Units</t>
  </si>
  <si>
    <t>Cappotto</t>
  </si>
  <si>
    <t>Gonna</t>
  </si>
  <si>
    <t>Camicia</t>
  </si>
  <si>
    <t>Abito</t>
  </si>
  <si>
    <t>Jeans</t>
  </si>
  <si>
    <t>T-shirt</t>
  </si>
  <si>
    <t>Pantalone</t>
  </si>
  <si>
    <t>Blazer</t>
  </si>
  <si>
    <t>Felpa</t>
  </si>
  <si>
    <t>Top</t>
  </si>
  <si>
    <t>Kimono</t>
  </si>
  <si>
    <t>Body</t>
  </si>
  <si>
    <t>style_id</t>
  </si>
  <si>
    <t>style_name</t>
  </si>
  <si>
    <t>product_type</t>
  </si>
  <si>
    <t>category</t>
  </si>
  <si>
    <t>material_family</t>
  </si>
  <si>
    <t>size_range</t>
  </si>
  <si>
    <t>complexity_score</t>
  </si>
  <si>
    <t>estimated_smv</t>
  </si>
  <si>
    <t>tech_pack_status</t>
  </si>
  <si>
    <t>STY-001-1</t>
  </si>
  <si>
    <t>Cappotto Navy</t>
  </si>
  <si>
    <t>Outerwear</t>
  </si>
  <si>
    <t>wool blend</t>
  </si>
  <si>
    <t>34-44</t>
  </si>
  <si>
    <t>Needs update</t>
  </si>
  <si>
    <t>STY-001-2</t>
  </si>
  <si>
    <t>Cappotto Chocolate</t>
  </si>
  <si>
    <t>1-5</t>
  </si>
  <si>
    <t>STY-002-1</t>
  </si>
  <si>
    <t>Gonna Chocolate</t>
  </si>
  <si>
    <t>Bottoms</t>
  </si>
  <si>
    <t>viscose twill</t>
  </si>
  <si>
    <t>IT38-IT48</t>
  </si>
  <si>
    <t>Draft</t>
  </si>
  <si>
    <t>STY-002-2</t>
  </si>
  <si>
    <t>Gonna Sage</t>
  </si>
  <si>
    <t>XS-XL</t>
  </si>
  <si>
    <t>STY-003-1</t>
  </si>
  <si>
    <t>Camicia Sage</t>
  </si>
  <si>
    <t>Tops/Dresses</t>
  </si>
  <si>
    <t>organic cotton poplin</t>
  </si>
  <si>
    <t>STY-003-2</t>
  </si>
  <si>
    <t>Camicia Burgundy</t>
  </si>
  <si>
    <t>Approved</t>
  </si>
  <si>
    <t>STY-004-1</t>
  </si>
  <si>
    <t>Abito Burgundy</t>
  </si>
  <si>
    <t>tencel satin</t>
  </si>
  <si>
    <t>36-46</t>
  </si>
  <si>
    <t>STY-004-2</t>
  </si>
  <si>
    <t>Abito Powder Blue</t>
  </si>
  <si>
    <t>S-XXL</t>
  </si>
  <si>
    <t>STY-005-1</t>
  </si>
  <si>
    <t>Jeans Powder Blue</t>
  </si>
  <si>
    <t>organic denim</t>
  </si>
  <si>
    <t>STY-005-2</t>
  </si>
  <si>
    <t>Jeans Charcoal</t>
  </si>
  <si>
    <t>STY-006-1</t>
  </si>
  <si>
    <t>T-shirt Charcoal</t>
  </si>
  <si>
    <t>organic cotton jersey</t>
  </si>
  <si>
    <t>STY-006-2</t>
  </si>
  <si>
    <t>T-shirt Sand</t>
  </si>
  <si>
    <t>STY-007-1</t>
  </si>
  <si>
    <t>Pantalone Sand</t>
  </si>
  <si>
    <t>recycled wool suiting</t>
  </si>
  <si>
    <t>STY-007-2</t>
  </si>
  <si>
    <t>Pantalone Olive</t>
  </si>
  <si>
    <t>STY-008-1</t>
  </si>
  <si>
    <t>Blazer Olive</t>
  </si>
  <si>
    <t>wool suiting</t>
  </si>
  <si>
    <t>STY-008-2</t>
  </si>
  <si>
    <t>Blazer Off White</t>
  </si>
  <si>
    <t>STY-009-1</t>
  </si>
  <si>
    <t>Felpa Off White</t>
  </si>
  <si>
    <t>organic cotton fleece</t>
  </si>
  <si>
    <t>STY-009-2</t>
  </si>
  <si>
    <t>Felpa Rose</t>
  </si>
  <si>
    <t>STY-010-1</t>
  </si>
  <si>
    <t>Top Rose</t>
  </si>
  <si>
    <t>bamboo jersey</t>
  </si>
  <si>
    <t>STY-010-2</t>
  </si>
  <si>
    <t>Top Black</t>
  </si>
  <si>
    <t>STY-011-1</t>
  </si>
  <si>
    <t>Kimono Black</t>
  </si>
  <si>
    <t>peace silk</t>
  </si>
  <si>
    <t>STY-011-2</t>
  </si>
  <si>
    <t>Kimono Ivory</t>
  </si>
  <si>
    <t>70B-90D</t>
  </si>
  <si>
    <t>STY-012-1</t>
  </si>
  <si>
    <t>Body Ivory</t>
  </si>
  <si>
    <t>Underwear</t>
  </si>
  <si>
    <t>modal stretch</t>
  </si>
  <si>
    <t>STY-012-2</t>
  </si>
  <si>
    <t>Body Navy</t>
  </si>
  <si>
    <t>STY-013-1</t>
  </si>
  <si>
    <t>Slip Navy</t>
  </si>
  <si>
    <t>Slip</t>
  </si>
  <si>
    <t>organic cotton rib</t>
  </si>
  <si>
    <t>STY-013-2</t>
  </si>
  <si>
    <t>Slip Chocolate</t>
  </si>
  <si>
    <t>STY-014-1</t>
  </si>
  <si>
    <t>Bra Chocolate</t>
  </si>
  <si>
    <t>Bra</t>
  </si>
  <si>
    <t>tencel mesh</t>
  </si>
  <si>
    <t>STY-014-2</t>
  </si>
  <si>
    <t>Bra Sage</t>
  </si>
  <si>
    <t>STY-015-1</t>
  </si>
  <si>
    <t>Boxer Sage</t>
  </si>
  <si>
    <t>Boxer</t>
  </si>
  <si>
    <t>STY-015-2</t>
  </si>
  <si>
    <t>Boxer Burgundy</t>
  </si>
  <si>
    <t>STY-016-1</t>
  </si>
  <si>
    <t>Baby doll Burgundy</t>
  </si>
  <si>
    <t>Baby doll</t>
  </si>
  <si>
    <t>STY-016-2</t>
  </si>
  <si>
    <t>Baby doll Powder Blue</t>
  </si>
  <si>
    <t>order_id</t>
  </si>
  <si>
    <t>client</t>
  </si>
  <si>
    <t>quantity</t>
  </si>
  <si>
    <t>start_date</t>
  </si>
  <si>
    <t>deadline</t>
  </si>
  <si>
    <t>ex_factory_date</t>
  </si>
  <si>
    <t>assigned_lab</t>
  </si>
  <si>
    <t>assigned_line</t>
  </si>
  <si>
    <t>priority</t>
  </si>
  <si>
    <t>status</t>
  </si>
  <si>
    <t>progress_percentage</t>
  </si>
  <si>
    <t>planned_smv</t>
  </si>
  <si>
    <t>total_standard_minutes</t>
  </si>
  <si>
    <t>capacity_days_needed</t>
  </si>
  <si>
    <t>days_to_deadline</t>
  </si>
  <si>
    <t>on_time_risk</t>
  </si>
  <si>
    <t>ORD-1010</t>
  </si>
  <si>
    <t>Sartoria Napoli</t>
  </si>
  <si>
    <t>L3</t>
  </si>
  <si>
    <t>LN-011</t>
  </si>
  <si>
    <t>normal</t>
  </si>
  <si>
    <t>materials pending</t>
  </si>
  <si>
    <t>ORD-1011</t>
  </si>
  <si>
    <t>Atelier Bologna</t>
  </si>
  <si>
    <t>high</t>
  </si>
  <si>
    <t>shipped</t>
  </si>
  <si>
    <t>ORD-1012</t>
  </si>
  <si>
    <t>Boutique Genova</t>
  </si>
  <si>
    <t>L4</t>
  </si>
  <si>
    <t>LN-016</t>
  </si>
  <si>
    <t>ready to ship</t>
  </si>
  <si>
    <t>ORD-1013</t>
  </si>
  <si>
    <t>Moda Verona</t>
  </si>
  <si>
    <t>urgent</t>
  </si>
  <si>
    <t>not started</t>
  </si>
  <si>
    <t>ORD-1014</t>
  </si>
  <si>
    <t>Casa Palermo</t>
  </si>
  <si>
    <t>ORD-1106</t>
  </si>
  <si>
    <t>L8</t>
  </si>
  <si>
    <t>LN-035</t>
  </si>
  <si>
    <t>ORD-1107</t>
  </si>
  <si>
    <t>ORD-1108</t>
  </si>
  <si>
    <t>L1</t>
  </si>
  <si>
    <t>LN-002</t>
  </si>
  <si>
    <t>quality control</t>
  </si>
  <si>
    <t>ORD-1109</t>
  </si>
  <si>
    <t>Venezia Atelier</t>
  </si>
  <si>
    <t>ORD-1110</t>
  </si>
  <si>
    <t>Linea Roma</t>
  </si>
  <si>
    <t>L7</t>
  </si>
  <si>
    <t>LN-030</t>
  </si>
  <si>
    <t>ORD-1111</t>
  </si>
  <si>
    <t>L9</t>
  </si>
  <si>
    <t>LN-039</t>
  </si>
  <si>
    <t>ORD-1112</t>
  </si>
  <si>
    <t>Studio Firenze</t>
  </si>
  <si>
    <t>ORD-1113</t>
  </si>
  <si>
    <t>Bari Concept</t>
  </si>
  <si>
    <t>L2</t>
  </si>
  <si>
    <t>LN-007</t>
  </si>
  <si>
    <t>cutting</t>
  </si>
  <si>
    <t>ORD-1114</t>
  </si>
  <si>
    <t>ORD-1115</t>
  </si>
  <si>
    <t>sewing</t>
  </si>
  <si>
    <t>ORD-1116</t>
  </si>
  <si>
    <t>L6</t>
  </si>
  <si>
    <t>LN-026</t>
  </si>
  <si>
    <t>ORD-1117</t>
  </si>
  <si>
    <t>Cagliari Studio</t>
  </si>
  <si>
    <t>ORD-1118</t>
  </si>
  <si>
    <t>Torino Mode</t>
  </si>
  <si>
    <t>ORD-1119</t>
  </si>
  <si>
    <t>L10</t>
  </si>
  <si>
    <t>LN-044</t>
  </si>
  <si>
    <t>ORD-1120</t>
  </si>
  <si>
    <t>L5</t>
  </si>
  <si>
    <t>LN-021</t>
  </si>
  <si>
    <t>ORD-1121</t>
  </si>
  <si>
    <t>ORD-1122</t>
  </si>
  <si>
    <t>ORD-1123</t>
  </si>
  <si>
    <t>ORD-1124</t>
  </si>
  <si>
    <t>Maison Milano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</si>
  <si>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</si>
  <si>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</si>
  <si>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</si>
  <si>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</si>
  <si>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</si>
  <si>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</si>
  <si>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</si>
  <si>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</si>
  <si>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</si>
  <si>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</si>
  <si>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</si>
  <si>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</si>
  <si>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</si>
  <si>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</si>
  <si>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</si>
  <si>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</si>
  <si>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</si>
  <si>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</si>
  <si>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</si>
  <si>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finishing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</si>
  <si>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</si>
  <si>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</si>
  <si>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</si>
  <si>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</si>
  <si>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</si>
  <si>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</si>
  <si>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</si>
  <si>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</si>
  <si>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</si>
  <si>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</si>
  <si>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</si>
  <si>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</si>
  <si>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</si>
  <si>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</si>
  <si>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</si>
  <si>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</si>
  <si>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</si>
  <si>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phase_name</t>
  </si>
  <si>
    <t>line_type</t>
  </si>
  <si>
    <t>min_time_minutes</t>
  </si>
  <si>
    <t>max_time_minutes</t>
  </si>
  <si>
    <t>avg_time_minutes</t>
  </si>
  <si>
    <t>setup_time_minutes</t>
  </si>
  <si>
    <t>phase_order</t>
  </si>
  <si>
    <t>dependency</t>
  </si>
  <si>
    <t>taglio tessuto</t>
  </si>
  <si>
    <t>tech pack approved</t>
  </si>
  <si>
    <t>adesivazione</t>
  </si>
  <si>
    <t>previous phase</t>
  </si>
  <si>
    <t>imbastitura</t>
  </si>
  <si>
    <t>confezione capo</t>
  </si>
  <si>
    <t>applicazione fodera</t>
  </si>
  <si>
    <t>stiro intermedio</t>
  </si>
  <si>
    <t>controllo qualità</t>
  </si>
  <si>
    <t>quality_control</t>
  </si>
  <si>
    <t>packing</t>
  </si>
  <si>
    <t>applicazione zip</t>
  </si>
  <si>
    <t>orlo</t>
  </si>
  <si>
    <t>stiro finale</t>
  </si>
  <si>
    <t>collo e polsi</t>
  </si>
  <si>
    <t>asolatura/bottoni</t>
  </si>
  <si>
    <t>confezione corpino</t>
  </si>
  <si>
    <t>confezione gonna</t>
  </si>
  <si>
    <t>cuciture tasche</t>
  </si>
  <si>
    <t>lavaggio/trattamenti</t>
  </si>
  <si>
    <t>washing</t>
  </si>
  <si>
    <t>spalle e fianchi</t>
  </si>
  <si>
    <t>collo</t>
  </si>
  <si>
    <t>stiro/packing</t>
  </si>
  <si>
    <t>tasche</t>
  </si>
  <si>
    <t>cintura</t>
  </si>
  <si>
    <t>costruzione davanti</t>
  </si>
  <si>
    <t>maniche</t>
  </si>
  <si>
    <t>assemblaggio busto</t>
  </si>
  <si>
    <t>cappuccio/collo</t>
  </si>
  <si>
    <t>polsi e fondo</t>
  </si>
  <si>
    <t>elastici/finizioni</t>
  </si>
  <si>
    <t>cuciture spalle</t>
  </si>
  <si>
    <t>assemblaggio</t>
  </si>
  <si>
    <t>applicazione elastici</t>
  </si>
  <si>
    <t>bottoni automatici</t>
  </si>
  <si>
    <t>elastici</t>
  </si>
  <si>
    <t>coppe</t>
  </si>
  <si>
    <t>elastici e spalline</t>
  </si>
  <si>
    <t>ganci e rifiniture</t>
  </si>
  <si>
    <t>elastico vita</t>
  </si>
  <si>
    <t>orlo e rifiniture</t>
  </si>
  <si>
    <t>lab_id</t>
  </si>
  <si>
    <t>lab_name</t>
  </si>
  <si>
    <t>region</t>
  </si>
  <si>
    <t>city</t>
  </si>
  <si>
    <t>number_of_workers</t>
  </si>
  <si>
    <t>working_hours_per_day</t>
  </si>
  <si>
    <t>working_days_per_week</t>
  </si>
  <si>
    <t>default_efficiency</t>
  </si>
  <si>
    <t>machine_uptime</t>
  </si>
  <si>
    <t>max_weekly_hours</t>
  </si>
  <si>
    <t>overtime_allowed</t>
  </si>
  <si>
    <t>risk_level</t>
  </si>
  <si>
    <t>Laboratorio Nord</t>
  </si>
  <si>
    <t>Lombardy</t>
  </si>
  <si>
    <t>Bergamo</t>
  </si>
  <si>
    <t>No</t>
  </si>
  <si>
    <t>Low</t>
  </si>
  <si>
    <t>Laboratorio Veneto</t>
  </si>
  <si>
    <t>Veneto</t>
  </si>
  <si>
    <t>Vicenza</t>
  </si>
  <si>
    <t>Yes</t>
  </si>
  <si>
    <t>Medium</t>
  </si>
  <si>
    <t>Laboratorio Centro</t>
  </si>
  <si>
    <t>Lazio</t>
  </si>
  <si>
    <t>Roma</t>
  </si>
  <si>
    <t>Laboratorio Est</t>
  </si>
  <si>
    <t>Emilia-Romagna</t>
  </si>
  <si>
    <t>Modena</t>
  </si>
  <si>
    <t>Atelier Toscana</t>
  </si>
  <si>
    <t>Tuscany</t>
  </si>
  <si>
    <t>Prato</t>
  </si>
  <si>
    <t>Unità Sud</t>
  </si>
  <si>
    <t>Puglia</t>
  </si>
  <si>
    <t>Bari</t>
  </si>
  <si>
    <t>Iberia Garments</t>
  </si>
  <si>
    <t>Porto</t>
  </si>
  <si>
    <t>Balkan Stitch</t>
  </si>
  <si>
    <t>Transylvania</t>
  </si>
  <si>
    <t>Cluj</t>
  </si>
  <si>
    <t>Marmara Apparel</t>
  </si>
  <si>
    <t>Istanbul</t>
  </si>
  <si>
    <t>High</t>
  </si>
  <si>
    <t>Tunis Craft Unit</t>
  </si>
  <si>
    <t>Tunis</t>
  </si>
  <si>
    <t>line_id</t>
  </si>
  <si>
    <t>primary_product</t>
  </si>
  <si>
    <t>operators</t>
  </si>
  <si>
    <t>machines</t>
  </si>
  <si>
    <t>shift_hours</t>
  </si>
  <si>
    <t>days_per_week</t>
  </si>
  <si>
    <t>efficiency</t>
  </si>
  <si>
    <t>uptime</t>
  </si>
  <si>
    <t>weekly_capacity_hours</t>
  </si>
  <si>
    <t>net_minutes_day</t>
  </si>
  <si>
    <t>available_smv_minutes_day</t>
  </si>
  <si>
    <t>LN-001</t>
  </si>
  <si>
    <t>LN-003</t>
  </si>
  <si>
    <t>LN-004</t>
  </si>
  <si>
    <t>LN-005</t>
  </si>
  <si>
    <t>sampling</t>
  </si>
  <si>
    <t>LN-006</t>
  </si>
  <si>
    <t>LN-008</t>
  </si>
  <si>
    <t>LN-009</t>
  </si>
  <si>
    <t>LN-010</t>
  </si>
  <si>
    <t>LN-012</t>
  </si>
  <si>
    <t>LN-013</t>
  </si>
  <si>
    <t>LN-014</t>
  </si>
  <si>
    <t>LN-015</t>
  </si>
  <si>
    <t>LN-017</t>
  </si>
  <si>
    <t>LN-018</t>
  </si>
  <si>
    <t>LN-019</t>
  </si>
  <si>
    <t>LN-020</t>
  </si>
  <si>
    <t>LN-022</t>
  </si>
  <si>
    <t>LN-023</t>
  </si>
  <si>
    <t>LN-024</t>
  </si>
  <si>
    <t>LN-025</t>
  </si>
  <si>
    <t>LN-027</t>
  </si>
  <si>
    <t>LN-028</t>
  </si>
  <si>
    <t>LN-029</t>
  </si>
  <si>
    <t>LN-031</t>
  </si>
  <si>
    <t>LN-032</t>
  </si>
  <si>
    <t>LN-033</t>
  </si>
  <si>
    <t>LN-034</t>
  </si>
  <si>
    <t>LN-036</t>
  </si>
  <si>
    <t>LN-037</t>
  </si>
  <si>
    <t>LN-038</t>
  </si>
  <si>
    <t>LN-040</t>
  </si>
  <si>
    <t>LN-041</t>
  </si>
  <si>
    <t>LN-042</t>
  </si>
  <si>
    <t>LN-043</t>
  </si>
  <si>
    <t>LN-045</t>
  </si>
  <si>
    <t>LN-046</t>
  </si>
  <si>
    <t>workers_total</t>
  </si>
  <si>
    <t>workers_assigned</t>
  </si>
  <si>
    <t>machines_total</t>
  </si>
  <si>
    <t>available_minutes_per_day</t>
  </si>
  <si>
    <t>bottleneck_flag</t>
  </si>
  <si>
    <t>tna_id</t>
  </si>
  <si>
    <t>milestone</t>
  </si>
  <si>
    <t>planned_date</t>
  </si>
  <si>
    <t>actual_date</t>
  </si>
  <si>
    <t>delay_days</t>
  </si>
  <si>
    <t>critical_path</t>
  </si>
  <si>
    <t>TNA-001-01</t>
  </si>
  <si>
    <t>tech pack freeze</t>
  </si>
  <si>
    <t>TNA-001-02</t>
  </si>
  <si>
    <t>BOM final approval</t>
  </si>
  <si>
    <t>TNA-001-03</t>
  </si>
  <si>
    <t>fabric booking</t>
  </si>
  <si>
    <t>TNA-001-04</t>
  </si>
  <si>
    <t>trim booking</t>
  </si>
  <si>
    <t>TNA-001-05</t>
  </si>
  <si>
    <t>fit sample sent</t>
  </si>
  <si>
    <t>TNA-001-06</t>
  </si>
  <si>
    <t>fit approval</t>
  </si>
  <si>
    <t>TNA-001-07</t>
  </si>
  <si>
    <t>size set sample</t>
  </si>
  <si>
    <t>TNA-001-08</t>
  </si>
  <si>
    <t>PP sample approval</t>
  </si>
  <si>
    <t>TNA-001-09</t>
  </si>
  <si>
    <t>fabric in-house</t>
  </si>
  <si>
    <t>TNA-001-10</t>
  </si>
  <si>
    <t>bulk cutting start</t>
  </si>
  <si>
    <t>TNA-001-11</t>
  </si>
  <si>
    <t>sewing start</t>
  </si>
  <si>
    <t>TNA-001-12</t>
  </si>
  <si>
    <t>inline QC</t>
  </si>
  <si>
    <t>TNA-001-13</t>
  </si>
  <si>
    <t>finishing &amp; pressing</t>
  </si>
  <si>
    <t>TNA-001-14</t>
  </si>
  <si>
    <t>final inspection</t>
  </si>
  <si>
    <t>TNA-001-15</t>
  </si>
  <si>
    <t>TNA-001-16</t>
  </si>
  <si>
    <t>ex-factory</t>
  </si>
  <si>
    <t>TNA-002-01</t>
  </si>
  <si>
    <t>TNA-002-02</t>
  </si>
  <si>
    <t>TNA-002-03</t>
  </si>
  <si>
    <t>TNA-002-04</t>
  </si>
  <si>
    <t>TNA-002-05</t>
  </si>
  <si>
    <t>TNA-002-06</t>
  </si>
  <si>
    <t>TNA-002-07</t>
  </si>
  <si>
    <t>TNA-002-08</t>
  </si>
  <si>
    <t>TNA-002-09</t>
  </si>
  <si>
    <t>TNA-002-10</t>
  </si>
  <si>
    <t>TNA-002-11</t>
  </si>
  <si>
    <t>TNA-002-12</t>
  </si>
  <si>
    <t>TNA-002-13</t>
  </si>
  <si>
    <t>TNA-002-14</t>
  </si>
  <si>
    <t>TNA-002-15</t>
  </si>
  <si>
    <t>TNA-002-16</t>
  </si>
  <si>
    <t>TNA-003-01</t>
  </si>
  <si>
    <t>TNA-003-02</t>
  </si>
  <si>
    <t>TNA-003-03</t>
  </si>
  <si>
    <t>TNA-003-04</t>
  </si>
  <si>
    <t>TNA-003-05</t>
  </si>
  <si>
    <t>TNA-003-06</t>
  </si>
  <si>
    <t>TNA-003-07</t>
  </si>
  <si>
    <t>TNA-003-08</t>
  </si>
  <si>
    <t>TNA-003-09</t>
  </si>
  <si>
    <t>TNA-003-10</t>
  </si>
  <si>
    <t>TNA-003-11</t>
  </si>
  <si>
    <t>TNA-003-12</t>
  </si>
  <si>
    <t>TNA-003-13</t>
  </si>
  <si>
    <t>TNA-003-14</t>
  </si>
  <si>
    <t>TNA-003-15</t>
  </si>
  <si>
    <t>TNA-003-16</t>
  </si>
  <si>
    <t>TNA-004-01</t>
  </si>
  <si>
    <t>TNA-004-02</t>
  </si>
  <si>
    <t>TNA-004-03</t>
  </si>
  <si>
    <t>TNA-004-04</t>
  </si>
  <si>
    <t>TNA-004-05</t>
  </si>
  <si>
    <t>TNA-004-06</t>
  </si>
  <si>
    <t>TNA-004-07</t>
  </si>
  <si>
    <t>TNA-004-08</t>
  </si>
  <si>
    <t>TNA-004-09</t>
  </si>
  <si>
    <t>TNA-004-10</t>
  </si>
  <si>
    <t>TNA-004-11</t>
  </si>
  <si>
    <t>TNA-004-12</t>
  </si>
  <si>
    <t>TNA-004-13</t>
  </si>
  <si>
    <t>TNA-004-14</t>
  </si>
  <si>
    <t>TNA-004-15</t>
  </si>
  <si>
    <t>TNA-004-16</t>
  </si>
  <si>
    <t>TNA-005-01</t>
  </si>
  <si>
    <t>TNA-005-02</t>
  </si>
  <si>
    <t>TNA-005-03</t>
  </si>
  <si>
    <t>TNA-005-04</t>
  </si>
  <si>
    <t>TNA-005-05</t>
  </si>
  <si>
    <t>TNA-005-06</t>
  </si>
  <si>
    <t>TNA-005-07</t>
  </si>
  <si>
    <t>TNA-005-08</t>
  </si>
  <si>
    <t>TNA-005-09</t>
  </si>
  <si>
    <t>TNA-005-10</t>
  </si>
  <si>
    <t>TNA-005-11</t>
  </si>
  <si>
    <t>TNA-005-12</t>
  </si>
  <si>
    <t>TNA-005-13</t>
  </si>
  <si>
    <t>TNA-005-14</t>
  </si>
  <si>
    <t>TNA-005-15</t>
  </si>
  <si>
    <t>TNA-005-16</t>
  </si>
  <si>
    <t>TNA-006-01</t>
  </si>
  <si>
    <t>TNA-006-02</t>
  </si>
  <si>
    <t>TNA-006-03</t>
  </si>
  <si>
    <t>TNA-006-04</t>
  </si>
  <si>
    <t>TNA-006-05</t>
  </si>
  <si>
    <t>TNA-006-06</t>
  </si>
  <si>
    <t>TNA-006-07</t>
  </si>
  <si>
    <t>TNA-006-08</t>
  </si>
  <si>
    <t>TNA-006-09</t>
  </si>
  <si>
    <t>TNA-006-10</t>
  </si>
  <si>
    <t>TNA-006-11</t>
  </si>
  <si>
    <t>TNA-006-12</t>
  </si>
  <si>
    <t>TNA-006-13</t>
  </si>
  <si>
    <t>TNA-006-14</t>
  </si>
  <si>
    <t>TNA-006-15</t>
  </si>
  <si>
    <t>TNA-006-16</t>
  </si>
  <si>
    <t>TNA-007-01</t>
  </si>
  <si>
    <t>TNA-007-02</t>
  </si>
  <si>
    <t>TNA-007-03</t>
  </si>
  <si>
    <t>TNA-007-04</t>
  </si>
  <si>
    <t>TNA-007-05</t>
  </si>
  <si>
    <t>TNA-007-06</t>
  </si>
  <si>
    <t>TNA-007-07</t>
  </si>
  <si>
    <t>TNA-007-08</t>
  </si>
  <si>
    <t>TNA-007-09</t>
  </si>
  <si>
    <t>TNA-007-10</t>
  </si>
  <si>
    <t>TNA-007-11</t>
  </si>
  <si>
    <t>TNA-007-12</t>
  </si>
  <si>
    <t>TNA-007-13</t>
  </si>
  <si>
    <t>TNA-007-14</t>
  </si>
  <si>
    <t>TNA-007-15</t>
  </si>
  <si>
    <t>TNA-007-16</t>
  </si>
  <si>
    <t>TNA-008-01</t>
  </si>
  <si>
    <t>TNA-008-02</t>
  </si>
  <si>
    <t>TNA-008-03</t>
  </si>
  <si>
    <t>TNA-008-04</t>
  </si>
  <si>
    <t>TNA-008-05</t>
  </si>
  <si>
    <t>TNA-008-06</t>
  </si>
  <si>
    <t>TNA-008-07</t>
  </si>
  <si>
    <t>TNA-008-08</t>
  </si>
  <si>
    <t>TNA-008-09</t>
  </si>
  <si>
    <t>TNA-008-10</t>
  </si>
  <si>
    <t>TNA-008-11</t>
  </si>
  <si>
    <t>TNA-008-12</t>
  </si>
  <si>
    <t>TNA-008-13</t>
  </si>
  <si>
    <t>TNA-008-14</t>
  </si>
  <si>
    <t>TNA-008-15</t>
  </si>
  <si>
    <t>TNA-008-16</t>
  </si>
  <si>
    <t>TNA-009-01</t>
  </si>
  <si>
    <t>TNA-009-02</t>
  </si>
  <si>
    <t>TNA-009-03</t>
  </si>
  <si>
    <t>TNA-009-04</t>
  </si>
  <si>
    <t>TNA-009-05</t>
  </si>
  <si>
    <t>TNA-009-06</t>
  </si>
  <si>
    <t>TNA-009-07</t>
  </si>
  <si>
    <t>TNA-009-08</t>
  </si>
  <si>
    <t>TNA-009-09</t>
  </si>
  <si>
    <t>TNA-009-10</t>
  </si>
  <si>
    <t>TNA-009-11</t>
  </si>
  <si>
    <t>TNA-009-12</t>
  </si>
  <si>
    <t>TNA-009-13</t>
  </si>
  <si>
    <t>TNA-009-14</t>
  </si>
  <si>
    <t>TNA-009-15</t>
  </si>
  <si>
    <t>TNA-009-16</t>
  </si>
  <si>
    <t>TNA-010-01</t>
  </si>
  <si>
    <t>TNA-010-02</t>
  </si>
  <si>
    <t>TNA-010-03</t>
  </si>
  <si>
    <t>TNA-010-04</t>
  </si>
  <si>
    <t>TNA-010-05</t>
  </si>
  <si>
    <t>TNA-010-06</t>
  </si>
  <si>
    <t>TNA-010-07</t>
  </si>
  <si>
    <t>TNA-010-08</t>
  </si>
  <si>
    <t>TNA-010-09</t>
  </si>
  <si>
    <t>TNA-010-10</t>
  </si>
  <si>
    <t>TNA-010-11</t>
  </si>
  <si>
    <t>TNA-010-12</t>
  </si>
  <si>
    <t>TNA-010-13</t>
  </si>
  <si>
    <t>TNA-010-14</t>
  </si>
  <si>
    <t>TNA-010-15</t>
  </si>
  <si>
    <t>TNA-010-16</t>
  </si>
  <si>
    <t>TNA-011-01</t>
  </si>
  <si>
    <t>TNA-011-02</t>
  </si>
  <si>
    <t>TNA-011-03</t>
  </si>
  <si>
    <t>TNA-011-04</t>
  </si>
  <si>
    <t>TNA-011-05</t>
  </si>
  <si>
    <t>TNA-011-06</t>
  </si>
  <si>
    <t>TNA-011-07</t>
  </si>
  <si>
    <t>TNA-011-08</t>
  </si>
  <si>
    <t>TNA-011-09</t>
  </si>
  <si>
    <t>TNA-011-10</t>
  </si>
  <si>
    <t>TNA-011-11</t>
  </si>
  <si>
    <t>TNA-011-12</t>
  </si>
  <si>
    <t>TNA-011-13</t>
  </si>
  <si>
    <t>TNA-011-14</t>
  </si>
  <si>
    <t>TNA-011-15</t>
  </si>
  <si>
    <t>TNA-011-16</t>
  </si>
  <si>
    <t>TNA-012-01</t>
  </si>
  <si>
    <t>TNA-012-02</t>
  </si>
  <si>
    <t>TNA-012-03</t>
  </si>
  <si>
    <t>TNA-012-04</t>
  </si>
  <si>
    <t>TNA-012-05</t>
  </si>
  <si>
    <t>TNA-012-06</t>
  </si>
  <si>
    <t>TNA-012-07</t>
  </si>
  <si>
    <t>TNA-012-08</t>
  </si>
  <si>
    <t>TNA-012-09</t>
  </si>
  <si>
    <t>TNA-012-10</t>
  </si>
  <si>
    <t>TNA-012-11</t>
  </si>
  <si>
    <t>TNA-012-12</t>
  </si>
  <si>
    <t>TNA-012-13</t>
  </si>
  <si>
    <t>TNA-012-14</t>
  </si>
  <si>
    <t>TNA-012-15</t>
  </si>
  <si>
    <t>TNA-012-16</t>
  </si>
  <si>
    <t>TNA-013-01</t>
  </si>
  <si>
    <t>TNA-013-02</t>
  </si>
  <si>
    <t>TNA-013-03</t>
  </si>
  <si>
    <t>TNA-013-04</t>
  </si>
  <si>
    <t>TNA-013-05</t>
  </si>
  <si>
    <t>TNA-013-06</t>
  </si>
  <si>
    <t>TNA-013-07</t>
  </si>
  <si>
    <t>TNA-013-08</t>
  </si>
  <si>
    <t>TNA-013-09</t>
  </si>
  <si>
    <t>TNA-013-10</t>
  </si>
  <si>
    <t>TNA-013-11</t>
  </si>
  <si>
    <t>TNA-013-12</t>
  </si>
  <si>
    <t>TNA-013-13</t>
  </si>
  <si>
    <t>TNA-013-14</t>
  </si>
  <si>
    <t>TNA-013-15</t>
  </si>
  <si>
    <t>TNA-013-16</t>
  </si>
  <si>
    <t>TNA-014-01</t>
  </si>
  <si>
    <t>TNA-014-02</t>
  </si>
  <si>
    <t>TNA-014-03</t>
  </si>
  <si>
    <t>TNA-014-04</t>
  </si>
  <si>
    <t>TNA-014-05</t>
  </si>
  <si>
    <t>TNA-014-06</t>
  </si>
  <si>
    <t>TNA-014-07</t>
  </si>
  <si>
    <t>TNA-014-08</t>
  </si>
  <si>
    <t>TNA-014-09</t>
  </si>
  <si>
    <t>TNA-014-10</t>
  </si>
  <si>
    <t>TNA-014-11</t>
  </si>
  <si>
    <t>TNA-014-12</t>
  </si>
  <si>
    <t>TNA-014-13</t>
  </si>
  <si>
    <t>TNA-014-14</t>
  </si>
  <si>
    <t>TNA-014-15</t>
  </si>
  <si>
    <t>TNA-014-16</t>
  </si>
  <si>
    <t>TNA-015-01</t>
  </si>
  <si>
    <t>TNA-015-02</t>
  </si>
  <si>
    <t>TNA-015-03</t>
  </si>
  <si>
    <t>TNA-015-04</t>
  </si>
  <si>
    <t>TNA-015-05</t>
  </si>
  <si>
    <t>TNA-015-06</t>
  </si>
  <si>
    <t>TNA-015-07</t>
  </si>
  <si>
    <t>TNA-015-08</t>
  </si>
  <si>
    <t>TNA-015-09</t>
  </si>
  <si>
    <t>TNA-015-10</t>
  </si>
  <si>
    <t>TNA-015-11</t>
  </si>
  <si>
    <t>TNA-015-12</t>
  </si>
  <si>
    <t>TNA-015-13</t>
  </si>
  <si>
    <t>TNA-015-14</t>
  </si>
  <si>
    <t>TNA-015-15</t>
  </si>
  <si>
    <t>TNA-015-16</t>
  </si>
  <si>
    <t>TNA-016-01</t>
  </si>
  <si>
    <t>TNA-016-02</t>
  </si>
  <si>
    <t>TNA-016-03</t>
  </si>
  <si>
    <t>TNA-016-04</t>
  </si>
  <si>
    <t>TNA-016-05</t>
  </si>
  <si>
    <t>TNA-016-06</t>
  </si>
  <si>
    <t>TNA-016-07</t>
  </si>
  <si>
    <t>TNA-016-08</t>
  </si>
  <si>
    <t>TNA-016-09</t>
  </si>
  <si>
    <t>TNA-016-10</t>
  </si>
  <si>
    <t>TNA-016-11</t>
  </si>
  <si>
    <t>TNA-016-12</t>
  </si>
  <si>
    <t>TNA-016-13</t>
  </si>
  <si>
    <t>TNA-016-14</t>
  </si>
  <si>
    <t>TNA-016-15</t>
  </si>
  <si>
    <t>TNA-016-16</t>
  </si>
  <si>
    <t>TNA-017-01</t>
  </si>
  <si>
    <t>TNA-017-02</t>
  </si>
  <si>
    <t>TNA-017-03</t>
  </si>
  <si>
    <t>TNA-017-04</t>
  </si>
  <si>
    <t>TNA-017-05</t>
  </si>
  <si>
    <t>TNA-017-06</t>
  </si>
  <si>
    <t>TNA-017-07</t>
  </si>
  <si>
    <t>TNA-017-08</t>
  </si>
  <si>
    <t>TNA-017-09</t>
  </si>
  <si>
    <t>TNA-017-10</t>
  </si>
  <si>
    <t>TNA-017-11</t>
  </si>
  <si>
    <t>TNA-017-12</t>
  </si>
  <si>
    <t>TNA-017-13</t>
  </si>
  <si>
    <t>TNA-017-14</t>
  </si>
  <si>
    <t>TNA-017-15</t>
  </si>
  <si>
    <t>TNA-017-16</t>
  </si>
  <si>
    <t>TNA-018-01</t>
  </si>
  <si>
    <t>TNA-018-02</t>
  </si>
  <si>
    <t>TNA-018-03</t>
  </si>
  <si>
    <t>TNA-018-04</t>
  </si>
  <si>
    <t>TNA-018-05</t>
  </si>
  <si>
    <t>TNA-018-06</t>
  </si>
  <si>
    <t>TNA-018-07</t>
  </si>
  <si>
    <t>TNA-018-08</t>
  </si>
  <si>
    <t>TNA-018-09</t>
  </si>
  <si>
    <t>TNA-018-10</t>
  </si>
  <si>
    <t>TNA-018-11</t>
  </si>
  <si>
    <t>TNA-018-12</t>
  </si>
  <si>
    <t>TNA-018-13</t>
  </si>
  <si>
    <t>TNA-018-14</t>
  </si>
  <si>
    <t>TNA-018-15</t>
  </si>
  <si>
    <t>TNA-018-16</t>
  </si>
  <si>
    <t>TNA-019-01</t>
  </si>
  <si>
    <t>TNA-019-02</t>
  </si>
  <si>
    <t>TNA-019-03</t>
  </si>
  <si>
    <t>TNA-019-04</t>
  </si>
  <si>
    <t>TNA-019-05</t>
  </si>
  <si>
    <t>TNA-019-06</t>
  </si>
  <si>
    <t>TNA-019-07</t>
  </si>
  <si>
    <t>TNA-019-08</t>
  </si>
  <si>
    <t>TNA-019-09</t>
  </si>
  <si>
    <t>TNA-019-10</t>
  </si>
  <si>
    <t>TNA-019-11</t>
  </si>
  <si>
    <t>TNA-019-12</t>
  </si>
  <si>
    <t>TNA-019-13</t>
  </si>
  <si>
    <t>TNA-019-14</t>
  </si>
  <si>
    <t>TNA-019-15</t>
  </si>
  <si>
    <t>TNA-019-16</t>
  </si>
  <si>
    <t>TNA-020-01</t>
  </si>
  <si>
    <t>TNA-020-02</t>
  </si>
  <si>
    <t>TNA-020-03</t>
  </si>
  <si>
    <t>TNA-020-04</t>
  </si>
  <si>
    <t>TNA-020-05</t>
  </si>
  <si>
    <t>TNA-020-06</t>
  </si>
  <si>
    <t>TNA-020-07</t>
  </si>
  <si>
    <t>TNA-020-08</t>
  </si>
  <si>
    <t>TNA-020-09</t>
  </si>
  <si>
    <t>TNA-020-10</t>
  </si>
  <si>
    <t>TNA-020-11</t>
  </si>
  <si>
    <t>TNA-020-12</t>
  </si>
  <si>
    <t>TNA-020-13</t>
  </si>
  <si>
    <t>TNA-020-14</t>
  </si>
  <si>
    <t>TNA-020-15</t>
  </si>
  <si>
    <t>TNA-020-16</t>
  </si>
  <si>
    <t>TNA-021-01</t>
  </si>
  <si>
    <t>TNA-021-02</t>
  </si>
  <si>
    <t>TNA-021-03</t>
  </si>
  <si>
    <t>TNA-021-04</t>
  </si>
  <si>
    <t>TNA-021-05</t>
  </si>
  <si>
    <t>TNA-021-06</t>
  </si>
  <si>
    <t>TNA-021-07</t>
  </si>
  <si>
    <t>TNA-021-08</t>
  </si>
  <si>
    <t>TNA-021-09</t>
  </si>
  <si>
    <t>TNA-021-10</t>
  </si>
  <si>
    <t>TNA-021-11</t>
  </si>
  <si>
    <t>TNA-021-12</t>
  </si>
  <si>
    <t>TNA-021-13</t>
  </si>
  <si>
    <t>TNA-021-14</t>
  </si>
  <si>
    <t>TNA-021-15</t>
  </si>
  <si>
    <t>TNA-021-16</t>
  </si>
  <si>
    <t>TNA-022-01</t>
  </si>
  <si>
    <t>TNA-022-02</t>
  </si>
  <si>
    <t>TNA-022-03</t>
  </si>
  <si>
    <t>TNA-022-04</t>
  </si>
  <si>
    <t>TNA-022-05</t>
  </si>
  <si>
    <t>TNA-022-06</t>
  </si>
  <si>
    <t>TNA-022-07</t>
  </si>
  <si>
    <t>TNA-022-08</t>
  </si>
  <si>
    <t>TNA-022-09</t>
  </si>
  <si>
    <t>TNA-022-10</t>
  </si>
  <si>
    <t>TNA-022-11</t>
  </si>
  <si>
    <t>TNA-022-12</t>
  </si>
  <si>
    <t>TNA-022-13</t>
  </si>
  <si>
    <t>TNA-022-14</t>
  </si>
  <si>
    <t>TNA-022-15</t>
  </si>
  <si>
    <t>TNA-022-16</t>
  </si>
  <si>
    <t>TNA-023-01</t>
  </si>
  <si>
    <t>TNA-023-02</t>
  </si>
  <si>
    <t>TNA-023-03</t>
  </si>
  <si>
    <t>TNA-023-04</t>
  </si>
  <si>
    <t>TNA-023-05</t>
  </si>
  <si>
    <t>TNA-023-06</t>
  </si>
  <si>
    <t>TNA-023-07</t>
  </si>
  <si>
    <t>TNA-023-08</t>
  </si>
  <si>
    <t>TNA-023-09</t>
  </si>
  <si>
    <t>TNA-023-10</t>
  </si>
  <si>
    <t>TNA-023-11</t>
  </si>
  <si>
    <t>TNA-023-12</t>
  </si>
  <si>
    <t>TNA-023-13</t>
  </si>
  <si>
    <t>TNA-023-14</t>
  </si>
  <si>
    <t>TNA-023-15</t>
  </si>
  <si>
    <t>TNA-023-16</t>
  </si>
  <si>
    <t>TNA-024-01</t>
  </si>
  <si>
    <t>TNA-024-02</t>
  </si>
  <si>
    <t>TNA-024-03</t>
  </si>
  <si>
    <t>TNA-024-04</t>
  </si>
  <si>
    <t>TNA-024-05</t>
  </si>
  <si>
    <t>TNA-024-06</t>
  </si>
  <si>
    <t>TNA-024-07</t>
  </si>
  <si>
    <t>TNA-024-08</t>
  </si>
  <si>
    <t>TNA-024-09</t>
  </si>
  <si>
    <t>TNA-024-10</t>
  </si>
  <si>
    <t>TNA-024-11</t>
  </si>
  <si>
    <t>TNA-024-12</t>
  </si>
  <si>
    <t>TNA-024-13</t>
  </si>
  <si>
    <t>TNA-024-14</t>
  </si>
  <si>
    <t>TNA-024-15</t>
  </si>
  <si>
    <t>TNA-024-16</t>
  </si>
  <si>
    <t>TNA-025-01</t>
  </si>
  <si>
    <t>TNA-025-02</t>
  </si>
  <si>
    <t>TNA-025-03</t>
  </si>
  <si>
    <t>TNA-025-04</t>
  </si>
  <si>
    <t>TNA-025-05</t>
  </si>
  <si>
    <t>TNA-025-06</t>
  </si>
  <si>
    <t>TNA-025-07</t>
  </si>
  <si>
    <t>TNA-025-08</t>
  </si>
  <si>
    <t>TNA-025-09</t>
  </si>
  <si>
    <t>TNA-025-10</t>
  </si>
  <si>
    <t>TNA-025-11</t>
  </si>
  <si>
    <t>TNA-025-12</t>
  </si>
  <si>
    <t>TNA-025-13</t>
  </si>
  <si>
    <t>TNA-025-14</t>
  </si>
  <si>
    <t>TNA-025-15</t>
  </si>
  <si>
    <t>TNA-025-16</t>
  </si>
  <si>
    <t>TNA-026-01</t>
  </si>
  <si>
    <t>TNA-026-02</t>
  </si>
  <si>
    <t>TNA-026-03</t>
  </si>
  <si>
    <t>TNA-026-04</t>
  </si>
  <si>
    <t>TNA-026-05</t>
  </si>
  <si>
    <t>TNA-026-06</t>
  </si>
  <si>
    <t>TNA-026-07</t>
  </si>
  <si>
    <t>TNA-026-08</t>
  </si>
  <si>
    <t>TNA-026-09</t>
  </si>
  <si>
    <t>TNA-026-10</t>
  </si>
  <si>
    <t>TNA-026-11</t>
  </si>
  <si>
    <t>TNA-026-12</t>
  </si>
  <si>
    <t>TNA-026-13</t>
  </si>
  <si>
    <t>TNA-026-14</t>
  </si>
  <si>
    <t>TNA-026-15</t>
  </si>
  <si>
    <t>TNA-026-16</t>
  </si>
  <si>
    <t>TNA-027-01</t>
  </si>
  <si>
    <t>TNA-027-02</t>
  </si>
  <si>
    <t>TNA-027-03</t>
  </si>
  <si>
    <t>TNA-027-04</t>
  </si>
  <si>
    <t>TNA-027-05</t>
  </si>
  <si>
    <t>TNA-027-06</t>
  </si>
  <si>
    <t>TNA-027-07</t>
  </si>
  <si>
    <t>TNA-027-08</t>
  </si>
  <si>
    <t>TNA-027-09</t>
  </si>
  <si>
    <t>TNA-027-10</t>
  </si>
  <si>
    <t>TNA-027-11</t>
  </si>
  <si>
    <t>TNA-027-12</t>
  </si>
  <si>
    <t>TNA-027-13</t>
  </si>
  <si>
    <t>TNA-027-14</t>
  </si>
  <si>
    <t>TNA-027-15</t>
  </si>
  <si>
    <t>TNA-027-16</t>
  </si>
  <si>
    <t>TNA-028-01</t>
  </si>
  <si>
    <t>TNA-028-02</t>
  </si>
  <si>
    <t>TNA-028-03</t>
  </si>
  <si>
    <t>TNA-028-04</t>
  </si>
  <si>
    <t>TNA-028-05</t>
  </si>
  <si>
    <t>TNA-028-06</t>
  </si>
  <si>
    <t>TNA-028-07</t>
  </si>
  <si>
    <t>TNA-028-08</t>
  </si>
  <si>
    <t>TNA-028-09</t>
  </si>
  <si>
    <t>TNA-028-10</t>
  </si>
  <si>
    <t>TNA-028-11</t>
  </si>
  <si>
    <t>TNA-028-12</t>
  </si>
  <si>
    <t>TNA-028-13</t>
  </si>
  <si>
    <t>TNA-028-14</t>
  </si>
  <si>
    <t>TNA-028-15</t>
  </si>
  <si>
    <t>TNA-028-16</t>
  </si>
  <si>
    <t>TNA-029-01</t>
  </si>
  <si>
    <t>TNA-029-02</t>
  </si>
  <si>
    <t>TNA-029-03</t>
  </si>
  <si>
    <t>TNA-029-04</t>
  </si>
  <si>
    <t>TNA-029-05</t>
  </si>
  <si>
    <t>TNA-029-06</t>
  </si>
  <si>
    <t>TNA-029-07</t>
  </si>
  <si>
    <t>TNA-029-08</t>
  </si>
  <si>
    <t>TNA-029-09</t>
  </si>
  <si>
    <t>TNA-029-10</t>
  </si>
  <si>
    <t>TNA-029-11</t>
  </si>
  <si>
    <t>TNA-029-12</t>
  </si>
  <si>
    <t>TNA-029-13</t>
  </si>
  <si>
    <t>TNA-029-14</t>
  </si>
  <si>
    <t>TNA-029-15</t>
  </si>
  <si>
    <t>TNA-029-16</t>
  </si>
  <si>
    <t>TNA-030-01</t>
  </si>
  <si>
    <t>TNA-030-02</t>
  </si>
  <si>
    <t>TNA-030-03</t>
  </si>
  <si>
    <t>TNA-030-04</t>
  </si>
  <si>
    <t>TNA-030-05</t>
  </si>
  <si>
    <t>TNA-030-06</t>
  </si>
  <si>
    <t>TNA-030-07</t>
  </si>
  <si>
    <t>TNA-030-08</t>
  </si>
  <si>
    <t>TNA-030-09</t>
  </si>
  <si>
    <t>TNA-030-10</t>
  </si>
  <si>
    <t>TNA-030-11</t>
  </si>
  <si>
    <t>TNA-030-12</t>
  </si>
  <si>
    <t>TNA-030-13</t>
  </si>
  <si>
    <t>TNA-030-14</t>
  </si>
  <si>
    <t>TNA-030-15</t>
  </si>
  <si>
    <t>TNA-030-16</t>
  </si>
  <si>
    <t>TNA-031-01</t>
  </si>
  <si>
    <t>TNA-031-02</t>
  </si>
  <si>
    <t>TNA-031-03</t>
  </si>
  <si>
    <t>TNA-031-04</t>
  </si>
  <si>
    <t>TNA-031-05</t>
  </si>
  <si>
    <t>TNA-031-06</t>
  </si>
  <si>
    <t>TNA-031-07</t>
  </si>
  <si>
    <t>TNA-031-08</t>
  </si>
  <si>
    <t>TNA-031-09</t>
  </si>
  <si>
    <t>TNA-031-10</t>
  </si>
  <si>
    <t>TNA-031-11</t>
  </si>
  <si>
    <t>TNA-031-12</t>
  </si>
  <si>
    <t>TNA-031-13</t>
  </si>
  <si>
    <t>TNA-031-14</t>
  </si>
  <si>
    <t>TNA-031-15</t>
  </si>
  <si>
    <t>TNA-031-16</t>
  </si>
  <si>
    <t>TNA-032-01</t>
  </si>
  <si>
    <t>TNA-032-02</t>
  </si>
  <si>
    <t>TNA-032-03</t>
  </si>
  <si>
    <t>TNA-032-04</t>
  </si>
  <si>
    <t>TNA-032-05</t>
  </si>
  <si>
    <t>TNA-032-06</t>
  </si>
  <si>
    <t>TNA-032-07</t>
  </si>
  <si>
    <t>TNA-032-08</t>
  </si>
  <si>
    <t>TNA-032-09</t>
  </si>
  <si>
    <t>TNA-032-10</t>
  </si>
  <si>
    <t>TNA-032-11</t>
  </si>
  <si>
    <t>TNA-032-12</t>
  </si>
  <si>
    <t>TNA-032-13</t>
  </si>
  <si>
    <t>TNA-032-14</t>
  </si>
  <si>
    <t>TNA-032-15</t>
  </si>
  <si>
    <t>TNA-032-16</t>
  </si>
  <si>
    <t>TNA-033-01</t>
  </si>
  <si>
    <t>TNA-033-02</t>
  </si>
  <si>
    <t>TNA-033-03</t>
  </si>
  <si>
    <t>TNA-033-04</t>
  </si>
  <si>
    <t>TNA-033-05</t>
  </si>
  <si>
    <t>TNA-033-06</t>
  </si>
  <si>
    <t>TNA-033-07</t>
  </si>
  <si>
    <t>TNA-033-08</t>
  </si>
  <si>
    <t>TNA-033-09</t>
  </si>
  <si>
    <t>TNA-033-10</t>
  </si>
  <si>
    <t>TNA-033-11</t>
  </si>
  <si>
    <t>TNA-033-12</t>
  </si>
  <si>
    <t>TNA-033-13</t>
  </si>
  <si>
    <t>TNA-033-14</t>
  </si>
  <si>
    <t>TNA-033-15</t>
  </si>
  <si>
    <t>TNA-033-16</t>
  </si>
  <si>
    <t>TNA-034-01</t>
  </si>
  <si>
    <t>TNA-034-02</t>
  </si>
  <si>
    <t>TNA-034-03</t>
  </si>
  <si>
    <t>TNA-034-04</t>
  </si>
  <si>
    <t>TNA-034-05</t>
  </si>
  <si>
    <t>TNA-034-06</t>
  </si>
  <si>
    <t>TNA-034-07</t>
  </si>
  <si>
    <t>TNA-034-08</t>
  </si>
  <si>
    <t>TNA-034-09</t>
  </si>
  <si>
    <t>TNA-034-10</t>
  </si>
  <si>
    <t>TNA-034-11</t>
  </si>
  <si>
    <t>TNA-034-12</t>
  </si>
  <si>
    <t>TNA-034-13</t>
  </si>
  <si>
    <t>TNA-034-14</t>
  </si>
  <si>
    <t>TNA-034-15</t>
  </si>
  <si>
    <t>TNA-034-16</t>
  </si>
  <si>
    <t>TNA-035-01</t>
  </si>
  <si>
    <t>TNA-035-02</t>
  </si>
  <si>
    <t>TNA-035-03</t>
  </si>
  <si>
    <t>TNA-035-04</t>
  </si>
  <si>
    <t>TNA-035-05</t>
  </si>
  <si>
    <t>TNA-035-06</t>
  </si>
  <si>
    <t>TNA-035-07</t>
  </si>
  <si>
    <t>TNA-035-08</t>
  </si>
  <si>
    <t>TNA-035-09</t>
  </si>
  <si>
    <t>TNA-035-10</t>
  </si>
  <si>
    <t>TNA-035-11</t>
  </si>
  <si>
    <t>TNA-035-12</t>
  </si>
  <si>
    <t>TNA-035-13</t>
  </si>
  <si>
    <t>TNA-035-14</t>
  </si>
  <si>
    <t>TNA-035-15</t>
  </si>
  <si>
    <t>TNA-035-16</t>
  </si>
  <si>
    <t>TNA-036-01</t>
  </si>
  <si>
    <t>TNA-036-02</t>
  </si>
  <si>
    <t>TNA-036-03</t>
  </si>
  <si>
    <t>TNA-036-04</t>
  </si>
  <si>
    <t>TNA-036-05</t>
  </si>
  <si>
    <t>TNA-036-06</t>
  </si>
  <si>
    <t>TNA-036-07</t>
  </si>
  <si>
    <t>TNA-036-08</t>
  </si>
  <si>
    <t>TNA-036-09</t>
  </si>
  <si>
    <t>TNA-036-10</t>
  </si>
  <si>
    <t>TNA-036-11</t>
  </si>
  <si>
    <t>TNA-036-12</t>
  </si>
  <si>
    <t>TNA-036-13</t>
  </si>
  <si>
    <t>TNA-036-14</t>
  </si>
  <si>
    <t>TNA-036-15</t>
  </si>
  <si>
    <t>TNA-036-16</t>
  </si>
  <si>
    <t>TNA-037-01</t>
  </si>
  <si>
    <t>TNA-037-02</t>
  </si>
  <si>
    <t>TNA-037-03</t>
  </si>
  <si>
    <t>TNA-037-04</t>
  </si>
  <si>
    <t>TNA-037-05</t>
  </si>
  <si>
    <t>TNA-037-06</t>
  </si>
  <si>
    <t>TNA-037-07</t>
  </si>
  <si>
    <t>TNA-037-08</t>
  </si>
  <si>
    <t>TNA-037-09</t>
  </si>
  <si>
    <t>TNA-037-10</t>
  </si>
  <si>
    <t>TNA-037-11</t>
  </si>
  <si>
    <t>TNA-037-12</t>
  </si>
  <si>
    <t>TNA-037-13</t>
  </si>
  <si>
    <t>TNA-037-14</t>
  </si>
  <si>
    <t>TNA-037-15</t>
  </si>
  <si>
    <t>TNA-037-16</t>
  </si>
  <si>
    <t>TNA-038-01</t>
  </si>
  <si>
    <t>TNA-038-02</t>
  </si>
  <si>
    <t>TNA-038-03</t>
  </si>
  <si>
    <t>TNA-038-04</t>
  </si>
  <si>
    <t>TNA-038-05</t>
  </si>
  <si>
    <t>TNA-038-06</t>
  </si>
  <si>
    <t>TNA-038-07</t>
  </si>
  <si>
    <t>TNA-038-08</t>
  </si>
  <si>
    <t>TNA-038-09</t>
  </si>
  <si>
    <t>TNA-038-10</t>
  </si>
  <si>
    <t>TNA-038-11</t>
  </si>
  <si>
    <t>TNA-038-12</t>
  </si>
  <si>
    <t>TNA-038-13</t>
  </si>
  <si>
    <t>TNA-038-14</t>
  </si>
  <si>
    <t>TNA-038-15</t>
  </si>
  <si>
    <t>TNA-038-16</t>
  </si>
  <si>
    <t>TNA-039-01</t>
  </si>
  <si>
    <t>TNA-039-02</t>
  </si>
  <si>
    <t>TNA-039-03</t>
  </si>
  <si>
    <t>TNA-039-04</t>
  </si>
  <si>
    <t>TNA-039-05</t>
  </si>
  <si>
    <t>TNA-039-06</t>
  </si>
  <si>
    <t>TNA-039-07</t>
  </si>
  <si>
    <t>TNA-039-08</t>
  </si>
  <si>
    <t>TNA-039-09</t>
  </si>
  <si>
    <t>TNA-039-10</t>
  </si>
  <si>
    <t>TNA-039-11</t>
  </si>
  <si>
    <t>TNA-039-12</t>
  </si>
  <si>
    <t>TNA-039-13</t>
  </si>
  <si>
    <t>TNA-039-14</t>
  </si>
  <si>
    <t>TNA-039-15</t>
  </si>
  <si>
    <t>TNA-039-16</t>
  </si>
  <si>
    <t>TNA-040-01</t>
  </si>
  <si>
    <t>TNA-040-02</t>
  </si>
  <si>
    <t>TNA-040-03</t>
  </si>
  <si>
    <t>TNA-040-04</t>
  </si>
  <si>
    <t>TNA-040-05</t>
  </si>
  <si>
    <t>TNA-040-06</t>
  </si>
  <si>
    <t>TNA-040-07</t>
  </si>
  <si>
    <t>TNA-040-08</t>
  </si>
  <si>
    <t>TNA-040-09</t>
  </si>
  <si>
    <t>TNA-040-10</t>
  </si>
  <si>
    <t>TNA-040-11</t>
  </si>
  <si>
    <t>TNA-040-12</t>
  </si>
  <si>
    <t>TNA-040-13</t>
  </si>
  <si>
    <t>TNA-040-14</t>
  </si>
  <si>
    <t>TNA-040-15</t>
  </si>
  <si>
    <t>TNA-040-16</t>
  </si>
  <si>
    <t>risk_id</t>
  </si>
  <si>
    <t>risk_area</t>
  </si>
  <si>
    <t>description</t>
  </si>
  <si>
    <t>probability</t>
  </si>
  <si>
    <t>impact</t>
  </si>
  <si>
    <t>risk_score</t>
  </si>
  <si>
    <t>mitigation</t>
  </si>
  <si>
    <t>owner</t>
  </si>
  <si>
    <t>linked_sheet</t>
  </si>
  <si>
    <t>RISK-001</t>
  </si>
  <si>
    <t>Material</t>
  </si>
  <si>
    <t>Main fabric arrival after planned cut date</t>
  </si>
  <si>
    <t>Book greige fabric earlier; create alternate supplier option</t>
  </si>
  <si>
    <t>Sourcing</t>
  </si>
  <si>
    <t>MRP_material_requirements</t>
  </si>
  <si>
    <t>Open</t>
  </si>
  <si>
    <t>RISK-002</t>
  </si>
  <si>
    <t>Capacity</t>
  </si>
  <si>
    <t>Sewing line overloaded during same delivery week</t>
  </si>
  <si>
    <t>Rebalance between labs L3/L8; authorize overtime only for critical path</t>
  </si>
  <si>
    <t>Production</t>
  </si>
  <si>
    <t>orders / line_capacity</t>
  </si>
  <si>
    <t>RISK-003</t>
  </si>
  <si>
    <t>Quality</t>
  </si>
  <si>
    <t>PP sample not approved before bulk start</t>
  </si>
  <si>
    <t>No bulk cutting before PP approval; daily approval tracker</t>
  </si>
  <si>
    <t>Product Dev</t>
  </si>
  <si>
    <t>TNA_calendar</t>
  </si>
  <si>
    <t>Monitoring</t>
  </si>
  <si>
    <t>RISK-004</t>
  </si>
  <si>
    <t>Supplier</t>
  </si>
  <si>
    <t>High-risk supplier has long payment confirmation cycle</t>
  </si>
  <si>
    <t>Switch to Net 30 preferred suppliers; pre-approve POs</t>
  </si>
  <si>
    <t>Merchandising</t>
  </si>
  <si>
    <t>suppliers</t>
  </si>
  <si>
    <t>RISK-005</t>
  </si>
  <si>
    <t>Data</t>
  </si>
  <si>
    <t>Tech pack version mismatch between BOM and factory</t>
  </si>
  <si>
    <t>Freeze version IDs; use one source of truth for style master</t>
  </si>
  <si>
    <t>Technical Office</t>
  </si>
  <si>
    <t>style_master</t>
  </si>
  <si>
    <t>RISK-006</t>
  </si>
  <si>
    <t>Sustainability</t>
  </si>
  <si>
    <t>Claim not backed by certificate at shipment</t>
  </si>
  <si>
    <t>Attach certificate to material master and PO before launch</t>
  </si>
  <si>
    <t>Compliance</t>
  </si>
  <si>
    <t>materials_inventory</t>
  </si>
  <si>
    <t>sheet</t>
  </si>
  <si>
    <t>field</t>
  </si>
  <si>
    <t>type</t>
  </si>
  <si>
    <t>logic</t>
  </si>
  <si>
    <t>orders</t>
  </si>
  <si>
    <t>Unique production order identifier</t>
  </si>
  <si>
    <t>Text</t>
  </si>
  <si>
    <t>Required</t>
  </si>
  <si>
    <t>Standard minutes per garment pulled from style master</t>
  </si>
  <si>
    <t>Formula</t>
  </si>
  <si>
    <t>VLOOKUP from style_master</t>
  </si>
  <si>
    <t>Total standard minutes divided by assigned line daily available minutes</t>
  </si>
  <si>
    <t>Uses line_capacity</t>
  </si>
  <si>
    <t>product_matrix</t>
  </si>
  <si>
    <t>Average operation time in minutes</t>
  </si>
  <si>
    <t>Number</t>
  </si>
  <si>
    <t>Based on SMV/SAM logic</t>
  </si>
  <si>
    <t>line_capacity</t>
  </si>
  <si>
    <t>Net daily minutes adjusted by efficiency and uptime</t>
  </si>
  <si>
    <t>Operators × shift hours × 60 × efficiency × uptime</t>
  </si>
  <si>
    <t>BOM</t>
  </si>
  <si>
    <t>usage_qty_per_garment</t>
  </si>
  <si>
    <t>Component consumption per garment</t>
  </si>
  <si>
    <t>Per style/component</t>
  </si>
  <si>
    <t>purchase_needed_qty</t>
  </si>
  <si>
    <t>Required qty minus available material stock</t>
  </si>
  <si>
    <t>MAX(0, requirement-stock)</t>
  </si>
  <si>
    <t>Actual date minus planned date</t>
  </si>
  <si>
    <t>Blank if actual date missing</t>
  </si>
  <si>
    <t>phase_capacity</t>
  </si>
  <si>
    <t>Flags phases with low available minutes</t>
  </si>
  <si>
    <t>Threshold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</si>
</sst>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"/>
    <numFmt numFmtId="166" formatCode="0.0"/>
  </numFmts>
  <fonts count="3" x14ac:knownFonts="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5" fontId="0" fillId="0" borderId="0" xfId="0" applyNumberFormat="1" applyFont="1" applyFill="1" applyBorder="1" applyAlignment="1"/>
    <xf numFmtId="9" fontId="0" fillId="0" borderId="0" xfId="0" applyNumberFormat="1" applyFont="1" applyFill="1" applyBorder="1" applyAlignment="1"/>
    <xf numFmtId="9" fontId="0" fillId="0" borderId="1" xfId="0" applyNumberFormat="1" applyFont="1" applyFill="1" applyBorder="1" applyAlignment="1"/>
    <xf numFmtId="1" fontId="0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166" fontId="0" fillId="0" borderId="1" xfId="0" applyNumberFormat="1" applyFont="1" applyFill="1" applyBorder="1" applyAlignment="1"/>
  </cellXfs>
  <cellStyles count="1">
    <cellStyle name="Normal" xfId="0" builtinId="0"/>
  </cellStyles>
  <dxfs count="5"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Orders by Risk Level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 count</c:v>
          </c:tx>
          <c:invertIfNegative val="1"/>
          <c:cat>
            <c:strRef>
              <c:f>Dashboard!$A$14:$A$17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OVERDUE</c:v>
                </c:pt>
              </c:strCache>
            </c:strRef>
          </c:cat>
          <c:val>
            <c:numRef>
              <c:f>Dashboard!$B$14:$B$17</c:f>
              <c:numCache>
                <c:formatCode>General</c:formatCode>
                <c:ptCount val="4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F-CB4A-8732-73EE51234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Units by Product Type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Order count</c:v>
          </c:tx>
          <c:invertIfNegative val="1"/>
          <c:cat>
            <c:strRef>
              <c:f>Dashboard!$A$21:$A$32</c:f>
              <c:strCache>
                <c:ptCount val="12"/>
                <c:pt idx="0">
                  <c:v>Cappotto</c:v>
                </c:pt>
                <c:pt idx="1">
                  <c:v>Gonna</c:v>
                </c:pt>
                <c:pt idx="2">
                  <c:v>Camicia</c:v>
                </c:pt>
                <c:pt idx="3">
                  <c:v>Abito</c:v>
                </c:pt>
                <c:pt idx="4">
                  <c:v>Jeans</c:v>
                </c:pt>
                <c:pt idx="5">
                  <c:v>T-shirt</c:v>
                </c:pt>
                <c:pt idx="6">
                  <c:v>Pantalone</c:v>
                </c:pt>
                <c:pt idx="7">
                  <c:v>Blazer</c:v>
                </c:pt>
                <c:pt idx="8">
                  <c:v>Felpa</c:v>
                </c:pt>
                <c:pt idx="9">
                  <c:v>Top</c:v>
                </c:pt>
                <c:pt idx="10">
                  <c:v>Kimono</c:v>
                </c:pt>
                <c:pt idx="11">
                  <c:v>Body</c:v>
                </c:pt>
              </c:strCache>
            </c:strRef>
          </c:cat>
          <c:val>
            <c:numRef>
              <c:f>Dashboard!$B$21:$B$32</c:f>
              <c:numCache>
                <c:formatCode>General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A-0341-A776-EF0A12188FD8}"/>
            </c:ext>
          </c:extLst>
        </c:ser>
        <c:ser>
          <c:idx val="1"/>
          <c:order val="1"/>
          <c:tx>
            <c:v>Units</c:v>
          </c:tx>
          <c:invertIfNegative val="1"/>
          <c:cat>
            <c:strRef>
              <c:f>Dashboard!$A$21:$A$32</c:f>
              <c:strCache>
                <c:ptCount val="12"/>
                <c:pt idx="0">
                  <c:v>Cappotto</c:v>
                </c:pt>
                <c:pt idx="1">
                  <c:v>Gonna</c:v>
                </c:pt>
                <c:pt idx="2">
                  <c:v>Camicia</c:v>
                </c:pt>
                <c:pt idx="3">
                  <c:v>Abito</c:v>
                </c:pt>
                <c:pt idx="4">
                  <c:v>Jeans</c:v>
                </c:pt>
                <c:pt idx="5">
                  <c:v>T-shirt</c:v>
                </c:pt>
                <c:pt idx="6">
                  <c:v>Pantalone</c:v>
                </c:pt>
                <c:pt idx="7">
                  <c:v>Blazer</c:v>
                </c:pt>
                <c:pt idx="8">
                  <c:v>Felpa</c:v>
                </c:pt>
                <c:pt idx="9">
                  <c:v>Top</c:v>
                </c:pt>
                <c:pt idx="10">
                  <c:v>Kimono</c:v>
                </c:pt>
                <c:pt idx="11">
                  <c:v>Body</c:v>
                </c:pt>
              </c:strCache>
            </c:strRef>
          </c:cat>
          <c:val>
            <c:numRef>
              <c:f>Dashboard!$C$21:$C$32</c:f>
              <c:numCache>
                <c:formatCode>General</c:formatCode>
                <c:ptCount val="12"/>
                <c:pt idx="0">
                  <c:v>1710</c:v>
                </c:pt>
                <c:pt idx="1">
                  <c:v>1190</c:v>
                </c:pt>
                <c:pt idx="2">
                  <c:v>1320</c:v>
                </c:pt>
                <c:pt idx="3">
                  <c:v>910</c:v>
                </c:pt>
                <c:pt idx="4">
                  <c:v>3250</c:v>
                </c:pt>
                <c:pt idx="5">
                  <c:v>1450</c:v>
                </c:pt>
                <c:pt idx="6">
                  <c:v>1440</c:v>
                </c:pt>
                <c:pt idx="7">
                  <c:v>1140</c:v>
                </c:pt>
                <c:pt idx="8">
                  <c:v>300</c:v>
                </c:pt>
                <c:pt idx="9">
                  <c:v>1520</c:v>
                </c:pt>
                <c:pt idx="10">
                  <c:v>1190</c:v>
                </c:pt>
                <c:pt idx="11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A-0341-A776-EF0A12188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yle_MasterTable" displayName="Style_MasterTable" ref="A1:M33">
  <tableColumns count="13">
    <tableColumn id="1" xr3:uid="{00000000-0010-0000-0000-000001000000}" name="style_id"/>
    <tableColumn id="2" xr3:uid="{00000000-0010-0000-0000-000002000000}" name="style_name"/>
    <tableColumn id="3" xr3:uid="{00000000-0010-0000-0000-000003000000}" name="product_type"/>
    <tableColumn id="4" xr3:uid="{00000000-0010-0000-0000-000004000000}" name="category"/>
    <tableColumn id="5" xr3:uid="{00000000-0010-0000-0000-000005000000}" name="material_family"/>
    <tableColumn id="6" xr3:uid="{00000000-0010-0000-0000-000006000000}" name="size_range"/>
    <tableColumn id="7" xr3:uid="{00000000-0010-0000-0000-000007000000}" name="complexity_score"/>
    <tableColumn id="8" xr3:uid="{00000000-0010-0000-0000-000008000000}" name="estimated_smv"/>
    <tableColumn id="9" xr3:uid="{00000000-0010-0000-0000-000009000000}" name="tech_pack_status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sTable" displayName="OrdersTable" ref="A1:S61">
  <tableColumns count="19">
    <tableColumn id="1" xr3:uid="{00000000-0010-0000-0100-000001000000}" name="order_id"/>
    <tableColumn id="2" xr3:uid="{00000000-0010-0000-0100-000002000000}" name="client"/>
    <tableColumn id="3" xr3:uid="{00000000-0010-0000-0100-000003000000}" name="style_id"/>
    <tableColumn id="4" xr3:uid="{00000000-0010-0000-0100-000004000000}" name="product_type"/>
    <tableColumn id="5" xr3:uid="{00000000-0010-0000-0100-000005000000}" name="quantity"/>
    <tableColumn id="6" xr3:uid="{00000000-0010-0000-0100-000006000000}" name="size_range"/>
    <tableColumn id="7" xr3:uid="{00000000-0010-0000-0100-000007000000}" name="start_date"/>
    <tableColumn id="8" xr3:uid="{00000000-0010-0000-0100-000008000000}" name="deadline"/>
    <tableColumn id="9" xr3:uid="{00000000-0010-0000-0100-000009000000}" name="ex_factory_date"/>
    <tableColumn id="10" xr3:uid="{00000000-0010-0000-0100-00000A000000}" name="assigned_lab"/>
    <tableColumn id="11" xr3:uid="{00000000-0010-0000-0100-00000B000000}" name="assigned_line"/>
    <tableColumn id="12" xr3:uid="{00000000-0010-0000-0100-00000C000000}" name="priority"/>
    <tableColumn id="13" xr3:uid="{00000000-0010-0000-0100-00000D000000}" name="status"/>
    <tableColumn id="14" xr3:uid="{00000000-0010-0000-0100-00000E000000}" name="progress_percentage"/>
    <tableColumn id="15" xr3:uid="{00000000-0010-0000-0100-00000F000000}" name="planned_smv"/>
    <tableColumn id="16" xr3:uid="{00000000-0010-0000-0100-000010000000}" name="total_standard_minutes"/>
    <tableColumn id="17" xr3:uid="{00000000-0010-0000-0100-000011000000}" name="capacity_days_needed"/>
    <tableColumn id="18" xr3:uid="{00000000-0010-0000-0100-000012000000}" name="days_to_deadline"/>
    <tableColumn id="19" xr3:uid="{00000000-0010-0000-0100-000013000000}" name="on_time_ri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_MatrixTable" displayName="Product_MatrixTable" ref="A1:V92">
  <tableColumns count="22">
    <tableColumn id="1" xr3:uid="{00000000-0010-0000-0200-000001000000}" name="product_type"/>
    <tableColumn id="2" xr3:uid="{00000000-0010-0000-0200-000002000000}" name="phase_name"/>
    <tableColumn id="3" xr3:uid="{00000000-0010-0000-0200-000003000000}" name="line_type"/>
    <tableColumn id="4" xr3:uid="{00000000-0010-0000-0200-000004000000}" name="min_time_minutes"/>
    <tableColumn id="5" xr3:uid="{00000000-0010-0000-0200-000005000000}" name="max_time_minutes"/>
    <tableColumn id="6" xr3:uid="{00000000-0010-0000-0200-000006000000}" name="avg_time_minutes"/>
    <tableColumn id="7" xr3:uid="{00000000-0010-0000-0200-000007000000}" name="setup_time_minutes"/>
    <tableColumn id="8" xr3:uid="{00000000-0010-0000-0200-000008000000}" name="phase_order"/>
    <tableColumn id="9" xr3:uid="{00000000-0010-0000-0200-000009000000}" name="dependency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abs_FactoriesTable" displayName="Labs_FactoriesTable" ref="A1:S11">
  <tableColumns count="19">
    <tableColumn id="1" xr3:uid="{00000000-0010-0000-0300-000001000000}" name="lab_id"/>
    <tableColumn id="2" xr3:uid="{00000000-0010-0000-0300-000002000000}" name="lab_name"/>
    <tableColumn id="3" xr3:uid="{00000000-0010-0000-0300-000003000000}" name="region"/>
    <tableColumn id="4" xr3:uid="{00000000-0010-0000-0300-000004000000}" name="city"/>
    <tableColumn id="5" xr3:uid="{00000000-0010-0000-0300-000005000000}" name="number_of_workers"/>
    <tableColumn id="6" xr3:uid="{00000000-0010-0000-0300-000006000000}" name="working_hours_per_day"/>
    <tableColumn id="7" xr3:uid="{00000000-0010-0000-0300-000007000000}" name="working_days_per_week"/>
    <tableColumn id="8" xr3:uid="{00000000-0010-0000-0300-000008000000}" name="default_efficiency"/>
    <tableColumn id="9" xr3:uid="{00000000-0010-0000-0300-000009000000}" name="machine_uptime"/>
    <tableColumn id="10" xr3:uid="{00000000-0010-0000-0300-00000A000000}" name="max_weekly_hours"/>
    <tableColumn id="11" xr3:uid="{00000000-0010-0000-0300-00000B000000}" name="overtime_allowed"/>
    <tableColumn id="12" xr3:uid="{00000000-0010-0000-0300-00000C000000}" name="risk_level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ine_CapacityTable" displayName="Line_CapacityTable" ref="A1:Y49">
  <tableColumns count="25">
    <tableColumn id="1" xr3:uid="{00000000-0010-0000-0400-000001000000}" name="lab_id"/>
    <tableColumn id="2" xr3:uid="{00000000-0010-0000-0400-000002000000}" name="line_id"/>
    <tableColumn id="3" xr3:uid="{00000000-0010-0000-0400-000003000000}" name="line_type"/>
    <tableColumn id="4" xr3:uid="{00000000-0010-0000-0400-000004000000}" name="primary_product"/>
    <tableColumn id="5" xr3:uid="{00000000-0010-0000-0400-000005000000}" name="operators"/>
    <tableColumn id="6" xr3:uid="{00000000-0010-0000-0400-000006000000}" name="machines"/>
    <tableColumn id="7" xr3:uid="{00000000-0010-0000-0400-000007000000}" name="shift_hours"/>
    <tableColumn id="8" xr3:uid="{00000000-0010-0000-0400-000008000000}" name="days_per_week"/>
    <tableColumn id="9" xr3:uid="{00000000-0010-0000-0400-000009000000}" name="efficiency"/>
    <tableColumn id="10" xr3:uid="{00000000-0010-0000-0400-00000A000000}" name="uptime"/>
    <tableColumn id="11" xr3:uid="{00000000-0010-0000-0400-00000B000000}" name="overtime_allowed"/>
    <tableColumn id="12" xr3:uid="{00000000-0010-0000-0400-00000C000000}" name="weekly_capacity_hours"/>
    <tableColumn id="13" xr3:uid="{00000000-0010-0000-0400-00000D000000}" name="net_minutes_day"/>
    <tableColumn id="14" xr3:uid="{00000000-0010-0000-0400-00000E000000}" name="available_smv_minutes_day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hase_CapacityTable" displayName="Phase_CapacityTable" ref="A1:Y374">
  <tableColumns count="25">
    <tableColumn id="1" xr3:uid="{00000000-0010-0000-0500-000001000000}" name="lab_id"/>
    <tableColumn id="2" xr3:uid="{00000000-0010-0000-0500-000002000000}" name="phase_name"/>
    <tableColumn id="3" xr3:uid="{00000000-0010-0000-0500-000003000000}" name="line_type"/>
    <tableColumn id="4" xr3:uid="{00000000-0010-0000-0500-000004000000}" name="workers_total"/>
    <tableColumn id="5" xr3:uid="{00000000-0010-0000-0500-000005000000}" name="workers_assigned"/>
    <tableColumn id="6" xr3:uid="{00000000-0010-0000-0500-000006000000}" name="machines_total"/>
    <tableColumn id="7" xr3:uid="{00000000-0010-0000-0500-000007000000}" name="available_minutes_per_day"/>
    <tableColumn id="8" xr3:uid="{00000000-0010-0000-0500-000008000000}" name="efficiency"/>
    <tableColumn id="9" xr3:uid="{00000000-0010-0000-0500-000009000000}" name="uptime"/>
    <tableColumn id="10" xr3:uid="{00000000-0010-0000-0500-00000A000000}" name="bottleneck_flag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na_CalendarTable" displayName="Tna_CalendarTable" ref="A1:W641">
  <tableColumns count="23">
    <tableColumn id="1" xr3:uid="{00000000-0010-0000-0600-000001000000}" name="tna_id"/>
    <tableColumn id="2" xr3:uid="{00000000-0010-0000-0600-000002000000}" name="order_id"/>
    <tableColumn id="3" xr3:uid="{00000000-0010-0000-0600-000003000000}" name="milestone"/>
    <tableColumn id="4" xr3:uid="{00000000-0010-0000-0600-000004000000}" name="planned_date"/>
    <tableColumn id="5" xr3:uid="{00000000-0010-0000-0600-000005000000}" name="actual_date"/>
    <tableColumn id="6" xr3:uid="{00000000-0010-0000-0600-000006000000}" name="delay_days"/>
    <tableColumn id="7" xr3:uid="{00000000-0010-0000-0600-000007000000}" name="status"/>
    <tableColumn id="8" xr3:uid="{00000000-0010-0000-0600-000008000000}" name="critical_path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isk_RegisterTable" displayName="Risk_RegisterTable" ref="A1:Z7">
  <tableColumns count="26">
    <tableColumn id="1" xr3:uid="{00000000-0010-0000-0700-000001000000}" name="risk_id"/>
    <tableColumn id="2" xr3:uid="{00000000-0010-0000-0700-000002000000}" name="risk_area"/>
    <tableColumn id="3" xr3:uid="{00000000-0010-0000-0700-000003000000}" name="description"/>
    <tableColumn id="4" xr3:uid="{00000000-0010-0000-0700-000004000000}" name="probability"/>
    <tableColumn id="5" xr3:uid="{00000000-0010-0000-0700-000005000000}" name="impact"/>
    <tableColumn id="6" xr3:uid="{00000000-0010-0000-0700-000006000000}" name="risk_score"/>
    <tableColumn id="7" xr3:uid="{00000000-0010-0000-0700-000007000000}" name="mitigation"/>
    <tableColumn id="8" xr3:uid="{00000000-0010-0000-0700-000008000000}" name="owner"/>
    <tableColumn id="9" xr3:uid="{00000000-0010-0000-0700-000009000000}" name="linked_sheet"/>
    <tableColumn id="10" xr3:uid="{00000000-0010-0000-0700-00000A000000}" name="status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  <tableColumn id="24" xr3:uid="{00000000-0010-0000-0700-000018000000}" name="Column24"/>
    <tableColumn id="25" xr3:uid="{00000000-0010-0000-0700-000019000000}" name="Column25"/>
    <tableColumn id="26" xr3:uid="{00000000-0010-0000-0700-00001A000000}" name="Column2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_DictionaryTable" displayName="Data_DictionaryTable" ref="A1:Z10">
  <tableColumns count="26">
    <tableColumn id="1" xr3:uid="{00000000-0010-0000-0800-000001000000}" name="sheet"/>
    <tableColumn id="2" xr3:uid="{00000000-0010-0000-0800-000002000000}" name="field"/>
    <tableColumn id="3" xr3:uid="{00000000-0010-0000-0800-000003000000}" name="description"/>
    <tableColumn id="4" xr3:uid="{00000000-0010-0000-0800-000004000000}" name="type"/>
    <tableColumn id="5" xr3:uid="{00000000-0010-0000-0800-000005000000}" name="logic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  <tableColumn id="26" xr3:uid="{00000000-0010-0000-0800-00001A000000}" name="Column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zoomScaleNormal="150" zoomScaleSheetLayoutView="100" workbookViewId="0"/>
  </sheetViews>
  <sheetFormatPr defaultRowHeight="15" x14ac:dyDescent="0.2"/>
  <cols>
    <col min="1" max="1" width="40.48828125" customWidth="1"/>
    <col min="2" max="2" width="45.19921875" customWidth="1"/>
    <col min="3" max="3" width="4.16796875" customWidth="1"/>
  </cols>
  <sheetData>
    <row r="1" spans="1:3" ht="30" customHeight="1" x14ac:dyDescent="0.2">
      <c r="A1" s="1" t="s">
        <v>0</v>
      </c>
      <c r="B1" s="1"/>
      <c r="C1" s="1"/>
    </row>
    <row r="2" spans="1:3" x14ac:dyDescent="0.2">
      <c r="A2" t="s">
        <v>1</v>
      </c>
      <c r="B2">
        <f ca="1">TODAY()</f>
        <v>46169</v>
      </c>
    </row>
    <row r="3" spans="1:3" x14ac:dyDescent="0.2">
      <c r="A3" t="s">
        <v>2</v>
      </c>
      <c r="B3" t="s">
        <v>3</v>
      </c>
    </row>
    <row r="5" spans="1:3" x14ac:dyDescent="0.2">
      <c r="A5" s="2" t="s">
        <v>4</v>
      </c>
      <c r="B5" s="2" t="s">
        <v>5</v>
      </c>
    </row>
    <row r="6" spans="1:3" x14ac:dyDescent="0.2">
      <c r="A6" t="s">
        <v>6</v>
      </c>
      <c r="B6" s="3">
        <f>COUNTA(orders!A2:A1000)</f>
        <v>60</v>
      </c>
    </row>
    <row r="7" spans="1:3" x14ac:dyDescent="0.2">
      <c r="A7" t="s">
        <v>7</v>
      </c>
      <c r="B7" s="3">
        <f>SUM(orders!E2:E1000)</f>
        <v>20600</v>
      </c>
    </row>
    <row r="8" spans="1:3" x14ac:dyDescent="0.2">
      <c r="A8" t="s">
        <v>8</v>
      </c>
      <c r="B8" s="3">
        <f>AVERAGE(orders!N2:N1000)</f>
        <v>0.44100000000000006</v>
      </c>
    </row>
    <row r="9" spans="1:3" x14ac:dyDescent="0.2">
      <c r="A9" t="s">
        <v>9</v>
      </c>
      <c r="B9" s="3">
        <f ca="1">COUNTIF(orders!S2:S1000,"HIGH")+COUNTIF(orders!S2:S1000,"OVERDUE")</f>
        <v>0</v>
      </c>
    </row>
    <row r="10" spans="1:3" x14ac:dyDescent="0.2">
      <c r="A10" t="s">
        <v>10</v>
      </c>
      <c r="B10" s="3">
        <f>COUNTIF(TNA_calendar!G2:G2000,"Open")</f>
        <v>231</v>
      </c>
    </row>
    <row r="11" spans="1:3" x14ac:dyDescent="0.2">
      <c r="A11" t="s">
        <v>11</v>
      </c>
      <c r="B11" s="3">
        <f>COUNTIF(phase_capacity!J2:J1000,"Potential bottleneck")</f>
        <v>127</v>
      </c>
    </row>
    <row r="13" spans="1:3" x14ac:dyDescent="0.2">
      <c r="A13" s="2" t="s">
        <v>12</v>
      </c>
      <c r="B13" s="2" t="s">
        <v>13</v>
      </c>
    </row>
    <row r="14" spans="1:3" x14ac:dyDescent="0.2">
      <c r="A14" t="s">
        <v>14</v>
      </c>
      <c r="B14">
        <f ca="1">COUNTIF(orders!S2:S1000,A14)</f>
        <v>60</v>
      </c>
    </row>
    <row r="15" spans="1:3" x14ac:dyDescent="0.2">
      <c r="A15" t="s">
        <v>15</v>
      </c>
      <c r="B15">
        <f ca="1">COUNTIF(orders!S2:S1000,A15)</f>
        <v>0</v>
      </c>
    </row>
    <row r="16" spans="1:3" x14ac:dyDescent="0.2">
      <c r="A16" t="s">
        <v>16</v>
      </c>
      <c r="B16">
        <f ca="1">COUNTIF(orders!S2:S1000,A16)</f>
        <v>0</v>
      </c>
    </row>
    <row r="17" spans="1:3" x14ac:dyDescent="0.2">
      <c r="A17" t="s">
        <v>17</v>
      </c>
      <c r="B17">
        <f ca="1">COUNTIF(orders!S2:S1000,A17)</f>
        <v>0</v>
      </c>
    </row>
    <row r="20" spans="1:3" x14ac:dyDescent="0.2">
      <c r="A20" s="2" t="s">
        <v>18</v>
      </c>
      <c r="B20" s="2" t="s">
        <v>13</v>
      </c>
      <c r="C20" s="2" t="s">
        <v>19</v>
      </c>
    </row>
    <row r="21" spans="1:3" x14ac:dyDescent="0.2">
      <c r="A21" t="s">
        <v>20</v>
      </c>
      <c r="B21">
        <f>COUNTIF(orders!D2:D1000,A21)</f>
        <v>6</v>
      </c>
      <c r="C21">
        <f>SUMIF(orders!D2:D1000,A21,orders!E2:E1000)</f>
        <v>1710</v>
      </c>
    </row>
    <row r="22" spans="1:3" x14ac:dyDescent="0.2">
      <c r="A22" t="s">
        <v>21</v>
      </c>
      <c r="B22">
        <f>COUNTIF(orders!D2:D1000,A22)</f>
        <v>4</v>
      </c>
      <c r="C22">
        <f>SUMIF(orders!D2:D1000,A22,orders!E2:E1000)</f>
        <v>1190</v>
      </c>
    </row>
    <row r="23" spans="1:3" x14ac:dyDescent="0.2">
      <c r="A23" t="s">
        <v>22</v>
      </c>
      <c r="B23">
        <f>COUNTIF(orders!D2:D1000,A23)</f>
        <v>3</v>
      </c>
      <c r="C23">
        <f>SUMIF(orders!D2:D1000,A23,orders!E2:E1000)</f>
        <v>1320</v>
      </c>
    </row>
    <row r="24" spans="1:3" x14ac:dyDescent="0.2">
      <c r="A24" t="s">
        <v>23</v>
      </c>
      <c r="B24">
        <f>COUNTIF(orders!D2:D1000,A24)</f>
        <v>5</v>
      </c>
      <c r="C24">
        <f>SUMIF(orders!D2:D1000,A24,orders!E2:E1000)</f>
        <v>910</v>
      </c>
    </row>
    <row r="25" spans="1:3" x14ac:dyDescent="0.2">
      <c r="A25" t="s">
        <v>24</v>
      </c>
      <c r="B25">
        <f>COUNTIF(orders!D2:D1000,A25)</f>
        <v>10</v>
      </c>
      <c r="C25">
        <f>SUMIF(orders!D2:D1000,A25,orders!E2:E1000)</f>
        <v>3250</v>
      </c>
    </row>
    <row r="26" spans="1:3" x14ac:dyDescent="0.2">
      <c r="A26" t="s">
        <v>25</v>
      </c>
      <c r="B26">
        <f>COUNTIF(orders!D2:D1000,A26)</f>
        <v>4</v>
      </c>
      <c r="C26">
        <f>SUMIF(orders!D2:D1000,A26,orders!E2:E1000)</f>
        <v>1450</v>
      </c>
    </row>
    <row r="27" spans="1:3" x14ac:dyDescent="0.2">
      <c r="A27" t="s">
        <v>26</v>
      </c>
      <c r="B27">
        <f>COUNTIF(orders!D2:D1000,A27)</f>
        <v>3</v>
      </c>
      <c r="C27">
        <f>SUMIF(orders!D2:D1000,A27,orders!E2:E1000)</f>
        <v>1440</v>
      </c>
    </row>
    <row r="28" spans="1:3" x14ac:dyDescent="0.2">
      <c r="A28" t="s">
        <v>27</v>
      </c>
      <c r="B28">
        <f>COUNTIF(orders!D2:D1000,A28)</f>
        <v>4</v>
      </c>
      <c r="C28">
        <f>SUMIF(orders!D2:D1000,A28,orders!E2:E1000)</f>
        <v>1140</v>
      </c>
    </row>
    <row r="29" spans="1:3" x14ac:dyDescent="0.2">
      <c r="A29" t="s">
        <v>28</v>
      </c>
      <c r="B29">
        <f>COUNTIF(orders!D2:D1000,A29)</f>
        <v>1</v>
      </c>
      <c r="C29">
        <f>SUMIF(orders!D2:D1000,A29,orders!E2:E1000)</f>
        <v>300</v>
      </c>
    </row>
    <row r="30" spans="1:3" x14ac:dyDescent="0.2">
      <c r="A30" t="s">
        <v>29</v>
      </c>
      <c r="B30">
        <f>COUNTIF(orders!D2:D1000,A30)</f>
        <v>5</v>
      </c>
      <c r="C30">
        <f>SUMIF(orders!D2:D1000,A30,orders!E2:E1000)</f>
        <v>1520</v>
      </c>
    </row>
    <row r="31" spans="1:3" x14ac:dyDescent="0.2">
      <c r="A31" t="s">
        <v>30</v>
      </c>
      <c r="B31">
        <f>COUNTIF(orders!D2:D1000,A31)</f>
        <v>3</v>
      </c>
      <c r="C31">
        <f>SUMIF(orders!D2:D1000,A31,orders!E2:E1000)</f>
        <v>1190</v>
      </c>
    </row>
    <row r="32" spans="1:3" x14ac:dyDescent="0.2">
      <c r="A32" t="s">
        <v>31</v>
      </c>
      <c r="B32">
        <f>COUNTIF(orders!D2:D1000,A32)</f>
        <v>3</v>
      </c>
      <c r="C32">
        <f>SUMIF(orders!D2:D1000,A32,orders!E2:E1000)</f>
        <v>1420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zoomScaleNormal="150" zoomScaleSheetLayoutView="100" workbookViewId="0"/>
  </sheetViews>
  <sheetFormatPr defaultRowHeight="15" x14ac:dyDescent="0.2"/>
  <cols>
    <col min="1" max="1" width="9.01171875" customWidth="1"/>
    <col min="2" max="2" width="27.98046875" customWidth="1"/>
    <col min="3" max="3" width="13.71875" customWidth="1"/>
    <col min="4" max="4" width="10.4921875" customWidth="1"/>
    <col min="5" max="5" width="16.94921875" customWidth="1"/>
    <col min="6" max="6" width="11.1640625" customWidth="1"/>
    <col min="7" max="7" width="16.94921875" customWidth="1"/>
    <col min="8" max="8" width="15.06640625" customWidth="1"/>
    <col min="9" max="9" width="27.98046875" customWidth="1"/>
  </cols>
  <sheetData>
    <row r="1" spans="1:13" ht="27.95" customHeight="1" x14ac:dyDescent="0.2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/>
      <c r="K1" s="4"/>
      <c r="L1" s="4"/>
      <c r="M1" s="4"/>
    </row>
    <row r="2" spans="1:13" x14ac:dyDescent="0.2">
      <c r="A2" s="5" t="s">
        <v>41</v>
      </c>
      <c r="B2" s="5" t="s">
        <v>42</v>
      </c>
      <c r="C2" s="5" t="s">
        <v>20</v>
      </c>
      <c r="D2" s="5" t="s">
        <v>43</v>
      </c>
      <c r="E2" s="5" t="s">
        <v>44</v>
      </c>
      <c r="F2" s="5" t="s">
        <v>45</v>
      </c>
      <c r="G2" s="10">
        <v>5</v>
      </c>
      <c r="H2" s="10">
        <v>85</v>
      </c>
      <c r="I2" s="5" t="s">
        <v>46</v>
      </c>
      <c r="J2" s="5"/>
      <c r="K2" s="5"/>
      <c r="L2" s="5"/>
      <c r="M2" s="5"/>
    </row>
    <row r="3" spans="1:13" x14ac:dyDescent="0.2">
      <c r="A3" s="5" t="s">
        <v>47</v>
      </c>
      <c r="B3" s="5" t="s">
        <v>48</v>
      </c>
      <c r="C3" s="5" t="s">
        <v>20</v>
      </c>
      <c r="D3" s="5" t="s">
        <v>43</v>
      </c>
      <c r="E3" s="5" t="s">
        <v>44</v>
      </c>
      <c r="F3" s="5" t="s">
        <v>49</v>
      </c>
      <c r="G3" s="10">
        <v>5</v>
      </c>
      <c r="H3" s="10">
        <v>89</v>
      </c>
      <c r="I3" s="5" t="s">
        <v>46</v>
      </c>
      <c r="J3" s="5"/>
      <c r="K3" s="5"/>
      <c r="L3" s="5"/>
      <c r="M3" s="5"/>
    </row>
    <row r="4" spans="1:13" x14ac:dyDescent="0.2">
      <c r="A4" s="5" t="s">
        <v>50</v>
      </c>
      <c r="B4" s="5" t="s">
        <v>51</v>
      </c>
      <c r="C4" s="5" t="s">
        <v>21</v>
      </c>
      <c r="D4" s="5" t="s">
        <v>52</v>
      </c>
      <c r="E4" s="5" t="s">
        <v>53</v>
      </c>
      <c r="F4" s="5" t="s">
        <v>54</v>
      </c>
      <c r="G4" s="10">
        <v>2</v>
      </c>
      <c r="H4" s="10">
        <v>22</v>
      </c>
      <c r="I4" s="5" t="s">
        <v>55</v>
      </c>
      <c r="J4" s="5"/>
      <c r="K4" s="5"/>
      <c r="L4" s="5"/>
      <c r="M4" s="5"/>
    </row>
    <row r="5" spans="1:13" x14ac:dyDescent="0.2">
      <c r="A5" s="5" t="s">
        <v>56</v>
      </c>
      <c r="B5" s="5" t="s">
        <v>57</v>
      </c>
      <c r="C5" s="5" t="s">
        <v>21</v>
      </c>
      <c r="D5" s="5" t="s">
        <v>52</v>
      </c>
      <c r="E5" s="5" t="s">
        <v>53</v>
      </c>
      <c r="F5" s="5" t="s">
        <v>58</v>
      </c>
      <c r="G5" s="10">
        <v>2</v>
      </c>
      <c r="H5" s="10">
        <v>24</v>
      </c>
      <c r="I5" s="5" t="s">
        <v>55</v>
      </c>
      <c r="J5" s="5"/>
      <c r="K5" s="5"/>
      <c r="L5" s="5"/>
      <c r="M5" s="5"/>
    </row>
    <row r="6" spans="1:13" x14ac:dyDescent="0.2">
      <c r="A6" s="5" t="s">
        <v>59</v>
      </c>
      <c r="B6" s="5" t="s">
        <v>60</v>
      </c>
      <c r="C6" s="5" t="s">
        <v>22</v>
      </c>
      <c r="D6" s="5" t="s">
        <v>61</v>
      </c>
      <c r="E6" s="5" t="s">
        <v>62</v>
      </c>
      <c r="F6" s="5" t="s">
        <v>58</v>
      </c>
      <c r="G6" s="10">
        <v>3</v>
      </c>
      <c r="H6" s="10">
        <v>34</v>
      </c>
      <c r="I6" s="5" t="s">
        <v>46</v>
      </c>
      <c r="J6" s="5"/>
      <c r="K6" s="5"/>
      <c r="L6" s="5"/>
      <c r="M6" s="5"/>
    </row>
    <row r="7" spans="1:13" x14ac:dyDescent="0.2">
      <c r="A7" s="5" t="s">
        <v>63</v>
      </c>
      <c r="B7" s="5" t="s">
        <v>64</v>
      </c>
      <c r="C7" s="5" t="s">
        <v>22</v>
      </c>
      <c r="D7" s="5" t="s">
        <v>61</v>
      </c>
      <c r="E7" s="5" t="s">
        <v>62</v>
      </c>
      <c r="F7" s="5" t="s">
        <v>54</v>
      </c>
      <c r="G7" s="10">
        <v>3</v>
      </c>
      <c r="H7" s="10">
        <v>36</v>
      </c>
      <c r="I7" s="5" t="s">
        <v>65</v>
      </c>
      <c r="J7" s="5"/>
      <c r="K7" s="5"/>
      <c r="L7" s="5"/>
      <c r="M7" s="5"/>
    </row>
    <row r="8" spans="1:13" x14ac:dyDescent="0.2">
      <c r="A8" s="5" t="s">
        <v>66</v>
      </c>
      <c r="B8" s="5" t="s">
        <v>67</v>
      </c>
      <c r="C8" s="5" t="s">
        <v>23</v>
      </c>
      <c r="D8" s="5" t="s">
        <v>61</v>
      </c>
      <c r="E8" s="5" t="s">
        <v>68</v>
      </c>
      <c r="F8" s="5" t="s">
        <v>69</v>
      </c>
      <c r="G8" s="10">
        <v>4</v>
      </c>
      <c r="H8" s="10">
        <v>48</v>
      </c>
      <c r="I8" s="5" t="s">
        <v>46</v>
      </c>
      <c r="J8" s="5"/>
      <c r="K8" s="5"/>
      <c r="L8" s="5"/>
      <c r="M8" s="5"/>
    </row>
    <row r="9" spans="1:13" x14ac:dyDescent="0.2">
      <c r="A9" s="5" t="s">
        <v>70</v>
      </c>
      <c r="B9" s="5" t="s">
        <v>71</v>
      </c>
      <c r="C9" s="5" t="s">
        <v>23</v>
      </c>
      <c r="D9" s="5" t="s">
        <v>61</v>
      </c>
      <c r="E9" s="5" t="s">
        <v>68</v>
      </c>
      <c r="F9" s="5" t="s">
        <v>72</v>
      </c>
      <c r="G9" s="10">
        <v>4</v>
      </c>
      <c r="H9" s="10">
        <v>50</v>
      </c>
      <c r="I9" s="5" t="s">
        <v>46</v>
      </c>
      <c r="J9" s="5"/>
      <c r="K9" s="5"/>
      <c r="L9" s="5"/>
      <c r="M9" s="5"/>
    </row>
    <row r="10" spans="1:13" x14ac:dyDescent="0.2">
      <c r="A10" s="5" t="s">
        <v>73</v>
      </c>
      <c r="B10" s="5" t="s">
        <v>74</v>
      </c>
      <c r="C10" s="5" t="s">
        <v>24</v>
      </c>
      <c r="D10" s="5" t="s">
        <v>52</v>
      </c>
      <c r="E10" s="5" t="s">
        <v>75</v>
      </c>
      <c r="F10" s="5" t="s">
        <v>54</v>
      </c>
      <c r="G10" s="10">
        <v>4</v>
      </c>
      <c r="H10" s="10">
        <v>41</v>
      </c>
      <c r="I10" s="5" t="s">
        <v>55</v>
      </c>
      <c r="J10" s="5"/>
      <c r="K10" s="5"/>
      <c r="L10" s="5"/>
      <c r="M10" s="5"/>
    </row>
    <row r="11" spans="1:13" x14ac:dyDescent="0.2">
      <c r="A11" s="5" t="s">
        <v>76</v>
      </c>
      <c r="B11" s="5" t="s">
        <v>77</v>
      </c>
      <c r="C11" s="5" t="s">
        <v>24</v>
      </c>
      <c r="D11" s="5" t="s">
        <v>52</v>
      </c>
      <c r="E11" s="5" t="s">
        <v>75</v>
      </c>
      <c r="F11" s="5" t="s">
        <v>69</v>
      </c>
      <c r="G11" s="10">
        <v>4</v>
      </c>
      <c r="H11" s="10">
        <v>43</v>
      </c>
      <c r="I11" s="5" t="s">
        <v>55</v>
      </c>
      <c r="J11" s="5"/>
      <c r="K11" s="5"/>
      <c r="L11" s="5"/>
      <c r="M11" s="5"/>
    </row>
    <row r="12" spans="1:13" x14ac:dyDescent="0.2">
      <c r="A12" s="5" t="s">
        <v>78</v>
      </c>
      <c r="B12" s="5" t="s">
        <v>79</v>
      </c>
      <c r="C12" s="5" t="s">
        <v>25</v>
      </c>
      <c r="D12" s="5" t="s">
        <v>61</v>
      </c>
      <c r="E12" s="5" t="s">
        <v>80</v>
      </c>
      <c r="F12" s="5" t="s">
        <v>49</v>
      </c>
      <c r="G12" s="10">
        <v>1</v>
      </c>
      <c r="H12" s="10">
        <v>18</v>
      </c>
      <c r="I12" s="5" t="s">
        <v>46</v>
      </c>
      <c r="J12" s="5"/>
      <c r="K12" s="5"/>
      <c r="L12" s="5"/>
      <c r="M12" s="5"/>
    </row>
    <row r="13" spans="1:13" x14ac:dyDescent="0.2">
      <c r="A13" s="5" t="s">
        <v>81</v>
      </c>
      <c r="B13" s="5" t="s">
        <v>82</v>
      </c>
      <c r="C13" s="5" t="s">
        <v>25</v>
      </c>
      <c r="D13" s="5" t="s">
        <v>61</v>
      </c>
      <c r="E13" s="5" t="s">
        <v>80</v>
      </c>
      <c r="F13" s="5" t="s">
        <v>72</v>
      </c>
      <c r="G13" s="10">
        <v>1</v>
      </c>
      <c r="H13" s="10">
        <v>21</v>
      </c>
      <c r="I13" s="5" t="s">
        <v>65</v>
      </c>
      <c r="J13" s="5"/>
      <c r="K13" s="5"/>
      <c r="L13" s="5"/>
      <c r="M13" s="5"/>
    </row>
    <row r="14" spans="1:13" x14ac:dyDescent="0.2">
      <c r="A14" s="5" t="s">
        <v>83</v>
      </c>
      <c r="B14" s="5" t="s">
        <v>84</v>
      </c>
      <c r="C14" s="5" t="s">
        <v>26</v>
      </c>
      <c r="D14" s="5" t="s">
        <v>52</v>
      </c>
      <c r="E14" s="5" t="s">
        <v>85</v>
      </c>
      <c r="F14" s="5" t="s">
        <v>72</v>
      </c>
      <c r="G14" s="10">
        <v>3</v>
      </c>
      <c r="H14" s="10">
        <v>37</v>
      </c>
      <c r="I14" s="5" t="s">
        <v>46</v>
      </c>
      <c r="J14" s="5"/>
      <c r="K14" s="5"/>
      <c r="L14" s="5"/>
      <c r="M14" s="5"/>
    </row>
    <row r="15" spans="1:13" x14ac:dyDescent="0.2">
      <c r="A15" s="5" t="s">
        <v>86</v>
      </c>
      <c r="B15" s="5" t="s">
        <v>87</v>
      </c>
      <c r="C15" s="5" t="s">
        <v>26</v>
      </c>
      <c r="D15" s="5" t="s">
        <v>52</v>
      </c>
      <c r="E15" s="5" t="s">
        <v>85</v>
      </c>
      <c r="F15" s="5" t="s">
        <v>72</v>
      </c>
      <c r="G15" s="10">
        <v>3</v>
      </c>
      <c r="H15" s="10">
        <v>40</v>
      </c>
      <c r="I15" s="5" t="s">
        <v>65</v>
      </c>
      <c r="J15" s="5"/>
      <c r="K15" s="5"/>
      <c r="L15" s="5"/>
      <c r="M15" s="5"/>
    </row>
    <row r="16" spans="1:13" x14ac:dyDescent="0.2">
      <c r="A16" s="5" t="s">
        <v>88</v>
      </c>
      <c r="B16" s="5" t="s">
        <v>89</v>
      </c>
      <c r="C16" s="5" t="s">
        <v>27</v>
      </c>
      <c r="D16" s="5" t="s">
        <v>43</v>
      </c>
      <c r="E16" s="5" t="s">
        <v>90</v>
      </c>
      <c r="F16" s="5" t="s">
        <v>69</v>
      </c>
      <c r="G16" s="10">
        <v>5</v>
      </c>
      <c r="H16" s="10">
        <v>70</v>
      </c>
      <c r="I16" s="5" t="s">
        <v>65</v>
      </c>
      <c r="J16" s="5"/>
      <c r="K16" s="5"/>
      <c r="L16" s="5"/>
      <c r="M16" s="5"/>
    </row>
    <row r="17" spans="1:13" x14ac:dyDescent="0.2">
      <c r="A17" s="5" t="s">
        <v>91</v>
      </c>
      <c r="B17" s="5" t="s">
        <v>92</v>
      </c>
      <c r="C17" s="5" t="s">
        <v>27</v>
      </c>
      <c r="D17" s="5" t="s">
        <v>43</v>
      </c>
      <c r="E17" s="5" t="s">
        <v>90</v>
      </c>
      <c r="F17" s="5" t="s">
        <v>58</v>
      </c>
      <c r="G17" s="10">
        <v>5</v>
      </c>
      <c r="H17" s="10">
        <v>72</v>
      </c>
      <c r="I17" s="5" t="s">
        <v>55</v>
      </c>
      <c r="J17" s="5"/>
      <c r="K17" s="5"/>
      <c r="L17" s="5"/>
      <c r="M17" s="5"/>
    </row>
    <row r="18" spans="1:13" x14ac:dyDescent="0.2">
      <c r="A18" s="5" t="s">
        <v>93</v>
      </c>
      <c r="B18" s="5" t="s">
        <v>94</v>
      </c>
      <c r="C18" s="5" t="s">
        <v>28</v>
      </c>
      <c r="D18" s="5" t="s">
        <v>61</v>
      </c>
      <c r="E18" s="5" t="s">
        <v>95</v>
      </c>
      <c r="F18" s="5" t="s">
        <v>45</v>
      </c>
      <c r="G18" s="10">
        <v>2</v>
      </c>
      <c r="H18" s="10">
        <v>27</v>
      </c>
      <c r="I18" s="5" t="s">
        <v>46</v>
      </c>
      <c r="J18" s="5"/>
      <c r="K18" s="5"/>
      <c r="L18" s="5"/>
      <c r="M18" s="5"/>
    </row>
    <row r="19" spans="1:13" x14ac:dyDescent="0.2">
      <c r="A19" s="5" t="s">
        <v>96</v>
      </c>
      <c r="B19" s="5" t="s">
        <v>97</v>
      </c>
      <c r="C19" s="5" t="s">
        <v>28</v>
      </c>
      <c r="D19" s="5" t="s">
        <v>61</v>
      </c>
      <c r="E19" s="5" t="s">
        <v>95</v>
      </c>
      <c r="F19" s="5" t="s">
        <v>54</v>
      </c>
      <c r="G19" s="10">
        <v>2</v>
      </c>
      <c r="H19" s="10">
        <v>31</v>
      </c>
      <c r="I19" s="5" t="s">
        <v>46</v>
      </c>
      <c r="J19" s="5"/>
      <c r="K19" s="5"/>
      <c r="L19" s="5"/>
      <c r="M19" s="5"/>
    </row>
    <row r="20" spans="1:13" x14ac:dyDescent="0.2">
      <c r="A20" s="5" t="s">
        <v>98</v>
      </c>
      <c r="B20" s="5" t="s">
        <v>99</v>
      </c>
      <c r="C20" s="5" t="s">
        <v>29</v>
      </c>
      <c r="D20" s="5" t="s">
        <v>61</v>
      </c>
      <c r="E20" s="5" t="s">
        <v>100</v>
      </c>
      <c r="F20" s="5" t="s">
        <v>49</v>
      </c>
      <c r="G20" s="10">
        <v>1</v>
      </c>
      <c r="H20" s="10">
        <v>14</v>
      </c>
      <c r="I20" s="5" t="s">
        <v>55</v>
      </c>
      <c r="J20" s="5"/>
      <c r="K20" s="5"/>
      <c r="L20" s="5"/>
      <c r="M20" s="5"/>
    </row>
    <row r="21" spans="1:13" x14ac:dyDescent="0.2">
      <c r="A21" s="5" t="s">
        <v>101</v>
      </c>
      <c r="B21" s="5" t="s">
        <v>102</v>
      </c>
      <c r="C21" s="5" t="s">
        <v>29</v>
      </c>
      <c r="D21" s="5" t="s">
        <v>61</v>
      </c>
      <c r="E21" s="5" t="s">
        <v>100</v>
      </c>
      <c r="F21" s="5" t="s">
        <v>45</v>
      </c>
      <c r="G21" s="10">
        <v>1</v>
      </c>
      <c r="H21" s="10">
        <v>18</v>
      </c>
      <c r="I21" s="5" t="s">
        <v>65</v>
      </c>
      <c r="J21" s="5"/>
      <c r="K21" s="5"/>
      <c r="L21" s="5"/>
      <c r="M21" s="5"/>
    </row>
    <row r="22" spans="1:13" x14ac:dyDescent="0.2">
      <c r="A22" s="5" t="s">
        <v>103</v>
      </c>
      <c r="B22" s="5" t="s">
        <v>104</v>
      </c>
      <c r="C22" s="5" t="s">
        <v>30</v>
      </c>
      <c r="D22" s="5" t="s">
        <v>61</v>
      </c>
      <c r="E22" s="5" t="s">
        <v>105</v>
      </c>
      <c r="F22" s="5" t="s">
        <v>45</v>
      </c>
      <c r="G22" s="10">
        <v>3</v>
      </c>
      <c r="H22" s="10">
        <v>42</v>
      </c>
      <c r="I22" s="5" t="s">
        <v>55</v>
      </c>
      <c r="J22" s="5"/>
      <c r="K22" s="5"/>
      <c r="L22" s="5"/>
      <c r="M22" s="5"/>
    </row>
    <row r="23" spans="1:13" x14ac:dyDescent="0.2">
      <c r="A23" s="5" t="s">
        <v>106</v>
      </c>
      <c r="B23" s="5" t="s">
        <v>107</v>
      </c>
      <c r="C23" s="5" t="s">
        <v>30</v>
      </c>
      <c r="D23" s="5" t="s">
        <v>61</v>
      </c>
      <c r="E23" s="5" t="s">
        <v>105</v>
      </c>
      <c r="F23" s="5" t="s">
        <v>108</v>
      </c>
      <c r="G23" s="10">
        <v>3</v>
      </c>
      <c r="H23" s="10">
        <v>45</v>
      </c>
      <c r="I23" s="5" t="s">
        <v>55</v>
      </c>
      <c r="J23" s="5"/>
      <c r="K23" s="5"/>
      <c r="L23" s="5"/>
      <c r="M23" s="5"/>
    </row>
    <row r="24" spans="1:13" x14ac:dyDescent="0.2">
      <c r="A24" s="5" t="s">
        <v>109</v>
      </c>
      <c r="B24" s="5" t="s">
        <v>110</v>
      </c>
      <c r="C24" s="5" t="s">
        <v>31</v>
      </c>
      <c r="D24" s="5" t="s">
        <v>111</v>
      </c>
      <c r="E24" s="5" t="s">
        <v>112</v>
      </c>
      <c r="F24" s="5" t="s">
        <v>69</v>
      </c>
      <c r="G24" s="10">
        <v>3</v>
      </c>
      <c r="H24" s="10">
        <v>31</v>
      </c>
      <c r="I24" s="5" t="s">
        <v>55</v>
      </c>
      <c r="J24" s="5"/>
      <c r="K24" s="5"/>
      <c r="L24" s="5"/>
      <c r="M24" s="5"/>
    </row>
    <row r="25" spans="1:13" x14ac:dyDescent="0.2">
      <c r="A25" s="5" t="s">
        <v>113</v>
      </c>
      <c r="B25" s="5" t="s">
        <v>114</v>
      </c>
      <c r="C25" s="5" t="s">
        <v>31</v>
      </c>
      <c r="D25" s="5" t="s">
        <v>111</v>
      </c>
      <c r="E25" s="5" t="s">
        <v>112</v>
      </c>
      <c r="F25" s="5" t="s">
        <v>45</v>
      </c>
      <c r="G25" s="10">
        <v>3</v>
      </c>
      <c r="H25" s="10">
        <v>32</v>
      </c>
      <c r="I25" s="5" t="s">
        <v>46</v>
      </c>
      <c r="J25" s="5"/>
      <c r="K25" s="5"/>
      <c r="L25" s="5"/>
      <c r="M25" s="5"/>
    </row>
    <row r="26" spans="1:13" x14ac:dyDescent="0.2">
      <c r="A26" s="5" t="s">
        <v>115</v>
      </c>
      <c r="B26" s="5" t="s">
        <v>116</v>
      </c>
      <c r="C26" s="5" t="s">
        <v>117</v>
      </c>
      <c r="D26" s="5" t="s">
        <v>111</v>
      </c>
      <c r="E26" s="5" t="s">
        <v>118</v>
      </c>
      <c r="F26" s="5" t="s">
        <v>72</v>
      </c>
      <c r="G26" s="10">
        <v>1</v>
      </c>
      <c r="H26" s="10">
        <v>12</v>
      </c>
      <c r="I26" s="5" t="s">
        <v>65</v>
      </c>
      <c r="J26" s="5"/>
      <c r="K26" s="5"/>
      <c r="L26" s="5"/>
      <c r="M26" s="5"/>
    </row>
    <row r="27" spans="1:13" x14ac:dyDescent="0.2">
      <c r="A27" s="5" t="s">
        <v>119</v>
      </c>
      <c r="B27" s="5" t="s">
        <v>120</v>
      </c>
      <c r="C27" s="5" t="s">
        <v>117</v>
      </c>
      <c r="D27" s="5" t="s">
        <v>111</v>
      </c>
      <c r="E27" s="5" t="s">
        <v>118</v>
      </c>
      <c r="F27" s="5" t="s">
        <v>72</v>
      </c>
      <c r="G27" s="10">
        <v>1</v>
      </c>
      <c r="H27" s="10">
        <v>13</v>
      </c>
      <c r="I27" s="5" t="s">
        <v>65</v>
      </c>
      <c r="J27" s="5"/>
      <c r="K27" s="5"/>
      <c r="L27" s="5"/>
      <c r="M27" s="5"/>
    </row>
    <row r="28" spans="1:13" x14ac:dyDescent="0.2">
      <c r="A28" s="5" t="s">
        <v>121</v>
      </c>
      <c r="B28" s="5" t="s">
        <v>122</v>
      </c>
      <c r="C28" s="5" t="s">
        <v>123</v>
      </c>
      <c r="D28" s="5" t="s">
        <v>111</v>
      </c>
      <c r="E28" s="5" t="s">
        <v>124</v>
      </c>
      <c r="F28" s="5" t="s">
        <v>54</v>
      </c>
      <c r="G28" s="10">
        <v>5</v>
      </c>
      <c r="H28" s="10">
        <v>38</v>
      </c>
      <c r="I28" s="5" t="s">
        <v>55</v>
      </c>
      <c r="J28" s="5"/>
      <c r="K28" s="5"/>
      <c r="L28" s="5"/>
      <c r="M28" s="5"/>
    </row>
    <row r="29" spans="1:13" x14ac:dyDescent="0.2">
      <c r="A29" s="5" t="s">
        <v>125</v>
      </c>
      <c r="B29" s="5" t="s">
        <v>126</v>
      </c>
      <c r="C29" s="5" t="s">
        <v>123</v>
      </c>
      <c r="D29" s="5" t="s">
        <v>111</v>
      </c>
      <c r="E29" s="5" t="s">
        <v>124</v>
      </c>
      <c r="F29" s="5" t="s">
        <v>49</v>
      </c>
      <c r="G29" s="10">
        <v>5</v>
      </c>
      <c r="H29" s="10">
        <v>40</v>
      </c>
      <c r="I29" s="5" t="s">
        <v>46</v>
      </c>
      <c r="J29" s="5"/>
      <c r="K29" s="5"/>
      <c r="L29" s="5"/>
      <c r="M29" s="5"/>
    </row>
    <row r="30" spans="1:13" x14ac:dyDescent="0.2">
      <c r="A30" s="5" t="s">
        <v>127</v>
      </c>
      <c r="B30" s="5" t="s">
        <v>128</v>
      </c>
      <c r="C30" s="5" t="s">
        <v>129</v>
      </c>
      <c r="D30" s="5" t="s">
        <v>111</v>
      </c>
      <c r="E30" s="5" t="s">
        <v>62</v>
      </c>
      <c r="F30" s="5" t="s">
        <v>45</v>
      </c>
      <c r="G30" s="10">
        <v>1</v>
      </c>
      <c r="H30" s="10">
        <v>16</v>
      </c>
      <c r="I30" s="5" t="s">
        <v>65</v>
      </c>
      <c r="J30" s="5"/>
      <c r="K30" s="5"/>
      <c r="L30" s="5"/>
      <c r="M30" s="5"/>
    </row>
    <row r="31" spans="1:13" x14ac:dyDescent="0.2">
      <c r="A31" s="5" t="s">
        <v>130</v>
      </c>
      <c r="B31" s="5" t="s">
        <v>131</v>
      </c>
      <c r="C31" s="5" t="s">
        <v>129</v>
      </c>
      <c r="D31" s="5" t="s">
        <v>111</v>
      </c>
      <c r="E31" s="5" t="s">
        <v>62</v>
      </c>
      <c r="F31" s="5" t="s">
        <v>49</v>
      </c>
      <c r="G31" s="10">
        <v>1</v>
      </c>
      <c r="H31" s="10">
        <v>17</v>
      </c>
      <c r="I31" s="5" t="s">
        <v>46</v>
      </c>
      <c r="J31" s="5"/>
      <c r="K31" s="5"/>
      <c r="L31" s="5"/>
      <c r="M31" s="5"/>
    </row>
    <row r="32" spans="1:13" x14ac:dyDescent="0.2">
      <c r="A32" s="5" t="s">
        <v>132</v>
      </c>
      <c r="B32" s="5" t="s">
        <v>133</v>
      </c>
      <c r="C32" s="5" t="s">
        <v>134</v>
      </c>
      <c r="D32" s="5" t="s">
        <v>111</v>
      </c>
      <c r="E32" s="5" t="s">
        <v>68</v>
      </c>
      <c r="F32" s="5" t="s">
        <v>69</v>
      </c>
      <c r="G32" s="10">
        <v>4</v>
      </c>
      <c r="H32" s="10">
        <v>36</v>
      </c>
      <c r="I32" s="5" t="s">
        <v>46</v>
      </c>
      <c r="J32" s="5"/>
      <c r="K32" s="5"/>
      <c r="L32" s="5"/>
      <c r="M32" s="5"/>
    </row>
    <row r="33" spans="1:13" x14ac:dyDescent="0.2">
      <c r="A33" s="5" t="s">
        <v>135</v>
      </c>
      <c r="B33" s="5" t="s">
        <v>136</v>
      </c>
      <c r="C33" s="5" t="s">
        <v>134</v>
      </c>
      <c r="D33" s="5" t="s">
        <v>111</v>
      </c>
      <c r="E33" s="5" t="s">
        <v>68</v>
      </c>
      <c r="F33" s="5" t="s">
        <v>72</v>
      </c>
      <c r="G33" s="10">
        <v>4</v>
      </c>
      <c r="H33" s="10">
        <v>39</v>
      </c>
      <c r="I33" s="5" t="s">
        <v>65</v>
      </c>
      <c r="J33" s="5"/>
      <c r="K33" s="5"/>
      <c r="L33" s="5"/>
      <c r="M33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1"/>
  <sheetViews>
    <sheetView topLeftCell="A40" zoomScaleNormal="150" zoomScaleSheetLayoutView="100" workbookViewId="0"/>
  </sheetViews>
  <sheetFormatPr defaultRowHeight="15" x14ac:dyDescent="0.2"/>
  <cols>
    <col min="1" max="1" width="9.68359375" customWidth="1"/>
    <col min="2" max="2" width="13.71875" customWidth="1"/>
    <col min="3" max="3" width="9.01171875" customWidth="1"/>
    <col min="4" max="4" width="13.71875" customWidth="1"/>
    <col min="5" max="5" width="9.55078125" customWidth="1"/>
    <col min="6" max="6" width="11.1640625" customWidth="1"/>
    <col min="7" max="7" width="11.02734375" customWidth="1"/>
    <col min="8" max="8" width="9.68359375" customWidth="1"/>
    <col min="9" max="9" width="15.87109375" customWidth="1"/>
    <col min="10" max="10" width="13.1796875" customWidth="1"/>
    <col min="11" max="11" width="13.71875" customWidth="1"/>
    <col min="12" max="12" width="8.7421875" customWidth="1"/>
    <col min="13" max="13" width="27.98046875" customWidth="1"/>
    <col min="14" max="14" width="19.63671875" customWidth="1"/>
    <col min="15" max="15" width="13.5859375" customWidth="1"/>
    <col min="16" max="16" width="22.328125" customWidth="1"/>
    <col min="17" max="17" width="21.1171875" customWidth="1"/>
    <col min="18" max="18" width="17.08203125" customWidth="1"/>
    <col min="19" max="19" width="13.31640625" customWidth="1"/>
  </cols>
  <sheetData>
    <row r="1" spans="1:19" ht="27.95" customHeight="1" x14ac:dyDescent="0.2">
      <c r="A1" s="4" t="s">
        <v>137</v>
      </c>
      <c r="B1" s="4" t="s">
        <v>138</v>
      </c>
      <c r="C1" s="4" t="s">
        <v>32</v>
      </c>
      <c r="D1" s="4" t="s">
        <v>34</v>
      </c>
      <c r="E1" s="4" t="s">
        <v>139</v>
      </c>
      <c r="F1" s="4" t="s">
        <v>37</v>
      </c>
      <c r="G1" s="4" t="s">
        <v>140</v>
      </c>
      <c r="H1" s="4" t="s">
        <v>141</v>
      </c>
      <c r="I1" s="4" t="s">
        <v>142</v>
      </c>
      <c r="J1" s="4" t="s">
        <v>143</v>
      </c>
      <c r="K1" s="4" t="s">
        <v>144</v>
      </c>
      <c r="L1" s="4" t="s">
        <v>145</v>
      </c>
      <c r="M1" s="4" t="s">
        <v>146</v>
      </c>
      <c r="N1" s="4" t="s">
        <v>147</v>
      </c>
      <c r="O1" s="4" t="s">
        <v>148</v>
      </c>
      <c r="P1" s="4" t="s">
        <v>149</v>
      </c>
      <c r="Q1" s="4" t="s">
        <v>150</v>
      </c>
      <c r="R1" s="4" t="s">
        <v>151</v>
      </c>
      <c r="S1" s="4" t="s">
        <v>152</v>
      </c>
    </row>
    <row r="2" spans="1:19" x14ac:dyDescent="0.2">
      <c r="A2" s="5" t="s">
        <v>153</v>
      </c>
      <c r="B2" s="5" t="s">
        <v>154</v>
      </c>
      <c r="C2" s="5" t="s">
        <v>47</v>
      </c>
      <c r="D2" s="5" t="s">
        <v>20</v>
      </c>
      <c r="E2" s="5">
        <v>180</v>
      </c>
      <c r="F2" s="5" t="s">
        <v>49</v>
      </c>
      <c r="G2" s="7">
        <v>46174</v>
      </c>
      <c r="H2" s="7">
        <v>46191</v>
      </c>
      <c r="I2" s="7">
        <v>46189</v>
      </c>
      <c r="J2" s="5" t="s">
        <v>155</v>
      </c>
      <c r="K2" s="5" t="s">
        <v>156</v>
      </c>
      <c r="L2" s="5" t="s">
        <v>157</v>
      </c>
      <c r="M2" s="5" t="s">
        <v>158</v>
      </c>
      <c r="N2" s="8">
        <v>0.05</v>
      </c>
      <c r="O2" s="10">
        <f>IFERROR(VLOOKUP(C2,style_master!$A:$H,8,FALSE),0)</f>
        <v>89</v>
      </c>
      <c r="P2" s="10">
        <f>E2*O2</f>
        <v>16020</v>
      </c>
      <c r="Q2" s="11">
        <f>IFERROR(P2/SUMIFS(line_capacity!$N:$N,line_capacity!$A:$A,J2,line_capacity!$B:$B,K2),0)</f>
        <v>9.0447154471544717</v>
      </c>
      <c r="R2" s="10">
        <f ca="1">H2-TODAY()</f>
        <v>22</v>
      </c>
      <c r="S2" s="5" t="str">
        <f ca="1">IF(R2&lt;0,"OVERDUE",IF(Q2&gt;R2,"HIGH",IF(R2-Q2&lt;3,"MEDIUM","LOW")))</f>
        <v>LOW</v>
      </c>
    </row>
    <row r="3" spans="1:19" x14ac:dyDescent="0.2">
      <c r="A3" s="5" t="s">
        <v>159</v>
      </c>
      <c r="B3" s="5" t="s">
        <v>160</v>
      </c>
      <c r="C3" s="5" t="s">
        <v>50</v>
      </c>
      <c r="D3" s="5" t="s">
        <v>21</v>
      </c>
      <c r="E3" s="5">
        <v>240</v>
      </c>
      <c r="F3" s="5" t="s">
        <v>54</v>
      </c>
      <c r="G3" s="7">
        <v>46174</v>
      </c>
      <c r="H3" s="7">
        <v>46186</v>
      </c>
      <c r="I3" s="7">
        <v>46184</v>
      </c>
      <c r="J3" s="5" t="s">
        <v>155</v>
      </c>
      <c r="K3" s="5" t="s">
        <v>156</v>
      </c>
      <c r="L3" s="5" t="s">
        <v>161</v>
      </c>
      <c r="M3" s="5" t="s">
        <v>162</v>
      </c>
      <c r="N3" s="8">
        <v>0</v>
      </c>
      <c r="O3" s="10">
        <f>IFERROR(VLOOKUP(C3,style_master!$A:$H,8,FALSE),0)</f>
        <v>22</v>
      </c>
      <c r="P3" s="10">
        <f>E3*O3</f>
        <v>5280</v>
      </c>
      <c r="Q3" s="11">
        <f>IFERROR(P3/SUMIFS(line_capacity!$N:$N,line_capacity!$A:$A,J3,line_capacity!$B:$B,K3),0)</f>
        <v>2.9810298102981032</v>
      </c>
      <c r="R3" s="10">
        <f ca="1">H3-TODAY()</f>
        <v>17</v>
      </c>
      <c r="S3" s="5" t="str">
        <f ca="1">IF(R3&lt;0,"OVERDUE",IF(Q3&gt;R3,"HIGH",IF(R3-Q3&lt;3,"MEDIUM","LOW")))</f>
        <v>LOW</v>
      </c>
    </row>
    <row r="4" spans="1:19" x14ac:dyDescent="0.2">
      <c r="A4" s="5" t="s">
        <v>163</v>
      </c>
      <c r="B4" s="5" t="s">
        <v>164</v>
      </c>
      <c r="C4" s="5" t="s">
        <v>63</v>
      </c>
      <c r="D4" s="5" t="s">
        <v>22</v>
      </c>
      <c r="E4" s="5">
        <v>500</v>
      </c>
      <c r="F4" s="5" t="s">
        <v>54</v>
      </c>
      <c r="G4" s="7">
        <v>46175</v>
      </c>
      <c r="H4" s="7">
        <v>46194</v>
      </c>
      <c r="I4" s="7">
        <v>46192</v>
      </c>
      <c r="J4" s="5" t="s">
        <v>165</v>
      </c>
      <c r="K4" s="5" t="s">
        <v>166</v>
      </c>
      <c r="L4" s="5" t="s">
        <v>157</v>
      </c>
      <c r="M4" s="5" t="s">
        <v>167</v>
      </c>
      <c r="N4" s="8">
        <v>0.12</v>
      </c>
      <c r="O4" s="10">
        <f>IFERROR(VLOOKUP(C4,style_master!$A:$H,8,FALSE),0)</f>
        <v>36</v>
      </c>
      <c r="P4" s="10">
        <f>E4*O4</f>
        <v>18000</v>
      </c>
      <c r="Q4" s="11">
        <f>IFERROR(P4/SUMIFS(line_capacity!$N:$N,line_capacity!$A:$A,J4,line_capacity!$B:$B,K4),0)</f>
        <v>7.7170020990245707</v>
      </c>
      <c r="R4" s="10">
        <f ca="1">H4-TODAY()</f>
        <v>25</v>
      </c>
      <c r="S4" s="5" t="str">
        <f ca="1">IF(R4&lt;0,"OVERDUE",IF(Q4&gt;R4,"HIGH",IF(R4-Q4&lt;3,"MEDIUM","LOW")))</f>
        <v>LOW</v>
      </c>
    </row>
    <row r="5" spans="1:19" x14ac:dyDescent="0.2">
      <c r="A5" s="5" t="s">
        <v>168</v>
      </c>
      <c r="B5" s="5" t="s">
        <v>169</v>
      </c>
      <c r="C5" s="5" t="s">
        <v>70</v>
      </c>
      <c r="D5" s="5" t="s">
        <v>23</v>
      </c>
      <c r="E5" s="5">
        <v>150</v>
      </c>
      <c r="F5" s="5" t="s">
        <v>72</v>
      </c>
      <c r="G5" s="7">
        <v>46176</v>
      </c>
      <c r="H5" s="7">
        <v>46184</v>
      </c>
      <c r="I5" s="7">
        <v>46182</v>
      </c>
      <c r="J5" s="5" t="s">
        <v>155</v>
      </c>
      <c r="K5" s="5" t="s">
        <v>156</v>
      </c>
      <c r="L5" s="5" t="s">
        <v>170</v>
      </c>
      <c r="M5" s="5" t="s">
        <v>171</v>
      </c>
      <c r="N5" s="8">
        <v>0</v>
      </c>
      <c r="O5" s="10">
        <f>IFERROR(VLOOKUP(C5,style_master!$A:$H,8,FALSE),0)</f>
        <v>50</v>
      </c>
      <c r="P5" s="10">
        <f>E5*O5</f>
        <v>7500</v>
      </c>
      <c r="Q5" s="11">
        <f>IFERROR(P5/SUMIFS(line_capacity!$N:$N,line_capacity!$A:$A,J5,line_capacity!$B:$B,K5),0)</f>
        <v>4.2344173441734423</v>
      </c>
      <c r="R5" s="10">
        <f ca="1">H5-TODAY()</f>
        <v>15</v>
      </c>
      <c r="S5" s="5" t="str">
        <f ca="1">IF(R5&lt;0,"OVERDUE",IF(Q5&gt;R5,"HIGH",IF(R5-Q5&lt;3,"MEDIUM","LOW")))</f>
        <v>LOW</v>
      </c>
    </row>
    <row r="6" spans="1:19" x14ac:dyDescent="0.2">
      <c r="A6" s="5" t="s">
        <v>172</v>
      </c>
      <c r="B6" s="5" t="s">
        <v>173</v>
      </c>
      <c r="C6" s="5" t="s">
        <v>73</v>
      </c>
      <c r="D6" s="5" t="s">
        <v>24</v>
      </c>
      <c r="E6" s="5">
        <v>320</v>
      </c>
      <c r="F6" s="5" t="s">
        <v>54</v>
      </c>
      <c r="G6" s="7">
        <v>46174</v>
      </c>
      <c r="H6" s="7">
        <v>46189</v>
      </c>
      <c r="I6" s="7">
        <v>46187</v>
      </c>
      <c r="J6" s="5" t="s">
        <v>165</v>
      </c>
      <c r="K6" s="5" t="s">
        <v>166</v>
      </c>
      <c r="L6" s="5" t="s">
        <v>157</v>
      </c>
      <c r="M6" s="5" t="s">
        <v>162</v>
      </c>
      <c r="N6" s="8">
        <v>0.03</v>
      </c>
      <c r="O6" s="10">
        <f>IFERROR(VLOOKUP(C6,style_master!$A:$H,8,FALSE),0)</f>
        <v>41</v>
      </c>
      <c r="P6" s="10">
        <f>E6*O6</f>
        <v>13120</v>
      </c>
      <c r="Q6" s="11">
        <f>IFERROR(P6/SUMIFS(line_capacity!$N:$N,line_capacity!$A:$A,J6,line_capacity!$B:$B,K6),0)</f>
        <v>5.6248370855112428</v>
      </c>
      <c r="R6" s="10">
        <f ca="1">H6-TODAY()</f>
        <v>20</v>
      </c>
      <c r="S6" s="5" t="str">
        <f ca="1">IF(R6&lt;0,"OVERDUE",IF(Q6&gt;R6,"HIGH",IF(R6-Q6&lt;3,"MEDIUM","LOW")))</f>
        <v>LOW</v>
      </c>
    </row>
    <row r="7" spans="1:19" x14ac:dyDescent="0.2">
      <c r="A7" s="5" t="s">
        <v>174</v>
      </c>
      <c r="B7" s="5" t="s">
        <v>154</v>
      </c>
      <c r="C7" s="5" t="s">
        <v>113</v>
      </c>
      <c r="D7" s="5" t="s">
        <v>31</v>
      </c>
      <c r="E7" s="5">
        <v>300</v>
      </c>
      <c r="F7" s="5" t="s">
        <v>45</v>
      </c>
      <c r="G7" s="7">
        <v>46209</v>
      </c>
      <c r="H7" s="7">
        <v>46233</v>
      </c>
      <c r="I7" s="7">
        <v>46231</v>
      </c>
      <c r="J7" s="5" t="s">
        <v>175</v>
      </c>
      <c r="K7" s="5" t="s">
        <v>176</v>
      </c>
      <c r="L7" s="5" t="s">
        <v>157</v>
      </c>
      <c r="M7" s="5" t="s">
        <v>171</v>
      </c>
      <c r="N7" s="8">
        <v>0.63</v>
      </c>
      <c r="O7" s="10">
        <f>IFERROR(VLOOKUP(C7,style_master!$A:$H,8,FALSE),0)</f>
        <v>32</v>
      </c>
      <c r="P7" s="10">
        <f>E7*O7</f>
        <v>9600</v>
      </c>
      <c r="Q7" s="11">
        <f>IFERROR(P7/SUMIFS(line_capacity!$N:$N,line_capacity!$A:$A,J7,line_capacity!$B:$B,K7),0)</f>
        <v>2.6832671460770632</v>
      </c>
      <c r="R7" s="10">
        <f ca="1">H7-TODAY()</f>
        <v>64</v>
      </c>
      <c r="S7" s="5" t="str">
        <f ca="1">IF(R7&lt;0,"OVERDUE",IF(Q7&gt;R7,"HIGH",IF(R7-Q7&lt;3,"MEDIUM","LOW")))</f>
        <v>LOW</v>
      </c>
    </row>
    <row r="8" spans="1:19" x14ac:dyDescent="0.2">
      <c r="A8" s="5" t="s">
        <v>177</v>
      </c>
      <c r="B8" s="5" t="s">
        <v>160</v>
      </c>
      <c r="C8" s="5" t="s">
        <v>73</v>
      </c>
      <c r="D8" s="5" t="s">
        <v>24</v>
      </c>
      <c r="E8" s="5">
        <v>1000</v>
      </c>
      <c r="F8" s="5" t="s">
        <v>54</v>
      </c>
      <c r="G8" s="7">
        <v>46244</v>
      </c>
      <c r="H8" s="7">
        <v>46269</v>
      </c>
      <c r="I8" s="7">
        <v>46263</v>
      </c>
      <c r="J8" s="5" t="s">
        <v>165</v>
      </c>
      <c r="K8" s="5" t="s">
        <v>166</v>
      </c>
      <c r="L8" s="5" t="s">
        <v>157</v>
      </c>
      <c r="M8" s="5" t="s">
        <v>171</v>
      </c>
      <c r="N8" s="8">
        <v>0.31</v>
      </c>
      <c r="O8" s="10">
        <f>IFERROR(VLOOKUP(C8,style_master!$A:$H,8,FALSE),0)</f>
        <v>41</v>
      </c>
      <c r="P8" s="10">
        <f>E8*O8</f>
        <v>41000</v>
      </c>
      <c r="Q8" s="11">
        <f>IFERROR(P8/SUMIFS(line_capacity!$N:$N,line_capacity!$A:$A,J8,line_capacity!$B:$B,K8),0)</f>
        <v>17.577615892222632</v>
      </c>
      <c r="R8" s="10">
        <f ca="1">H8-TODAY()</f>
        <v>100</v>
      </c>
      <c r="S8" s="5" t="str">
        <f ca="1">IF(R8&lt;0,"OVERDUE",IF(Q8&gt;R8,"HIGH",IF(R8-Q8&lt;3,"MEDIUM","LOW")))</f>
        <v>LOW</v>
      </c>
    </row>
    <row r="9" spans="1:19" x14ac:dyDescent="0.2">
      <c r="A9" s="5" t="s">
        <v>178</v>
      </c>
      <c r="B9" s="5" t="s">
        <v>164</v>
      </c>
      <c r="C9" s="5" t="s">
        <v>76</v>
      </c>
      <c r="D9" s="5" t="s">
        <v>24</v>
      </c>
      <c r="E9" s="5">
        <v>120</v>
      </c>
      <c r="F9" s="5" t="s">
        <v>69</v>
      </c>
      <c r="G9" s="7">
        <v>46258</v>
      </c>
      <c r="H9" s="7">
        <v>46271</v>
      </c>
      <c r="I9" s="7">
        <v>46268</v>
      </c>
      <c r="J9" s="5" t="s">
        <v>179</v>
      </c>
      <c r="K9" s="5" t="s">
        <v>180</v>
      </c>
      <c r="L9" s="5" t="s">
        <v>157</v>
      </c>
      <c r="M9" s="5" t="s">
        <v>181</v>
      </c>
      <c r="N9" s="8">
        <v>0.75</v>
      </c>
      <c r="O9" s="10">
        <f>IFERROR(VLOOKUP(C9,style_master!$A:$H,8,FALSE),0)</f>
        <v>43</v>
      </c>
      <c r="P9" s="10">
        <f>E9*O9</f>
        <v>5160</v>
      </c>
      <c r="Q9" s="11">
        <f>IFERROR(P9/SUMIFS(line_capacity!$N:$N,line_capacity!$A:$A,J9,line_capacity!$B:$B,K9),0)</f>
        <v>2.7820910973084887</v>
      </c>
      <c r="R9" s="10">
        <f ca="1">H9-TODAY()</f>
        <v>102</v>
      </c>
      <c r="S9" s="5" t="str">
        <f ca="1">IF(R9&lt;0,"OVERDUE",IF(Q9&gt;R9,"HIGH",IF(R9-Q9&lt;3,"MEDIUM","LOW")))</f>
        <v>LOW</v>
      </c>
    </row>
    <row r="10" spans="1:19" x14ac:dyDescent="0.2">
      <c r="A10" s="5" t="s">
        <v>182</v>
      </c>
      <c r="B10" s="5" t="s">
        <v>183</v>
      </c>
      <c r="C10" s="5" t="s">
        <v>76</v>
      </c>
      <c r="D10" s="5" t="s">
        <v>24</v>
      </c>
      <c r="E10" s="5">
        <v>120</v>
      </c>
      <c r="F10" s="5" t="s">
        <v>69</v>
      </c>
      <c r="G10" s="7">
        <v>46269</v>
      </c>
      <c r="H10" s="7">
        <v>46285</v>
      </c>
      <c r="I10" s="7">
        <v>46280</v>
      </c>
      <c r="J10" s="5" t="s">
        <v>175</v>
      </c>
      <c r="K10" s="5" t="s">
        <v>176</v>
      </c>
      <c r="L10" s="5" t="s">
        <v>157</v>
      </c>
      <c r="M10" s="5" t="s">
        <v>162</v>
      </c>
      <c r="N10" s="8">
        <v>0.49</v>
      </c>
      <c r="O10" s="10">
        <f>IFERROR(VLOOKUP(C10,style_master!$A:$H,8,FALSE),0)</f>
        <v>43</v>
      </c>
      <c r="P10" s="10">
        <f>E10*O10</f>
        <v>5160</v>
      </c>
      <c r="Q10" s="11">
        <f>IFERROR(P10/SUMIFS(line_capacity!$N:$N,line_capacity!$A:$A,J10,line_capacity!$B:$B,K10),0)</f>
        <v>1.4422560910164215</v>
      </c>
      <c r="R10" s="10">
        <f ca="1">H10-TODAY()</f>
        <v>116</v>
      </c>
      <c r="S10" s="5" t="str">
        <f ca="1">IF(R10&lt;0,"OVERDUE",IF(Q10&gt;R10,"HIGH",IF(R10-Q10&lt;3,"MEDIUM","LOW")))</f>
        <v>LOW</v>
      </c>
    </row>
    <row r="11" spans="1:19" x14ac:dyDescent="0.2">
      <c r="A11" s="5" t="s">
        <v>184</v>
      </c>
      <c r="B11" s="5" t="s">
        <v>185</v>
      </c>
      <c r="C11" s="5" t="s">
        <v>56</v>
      </c>
      <c r="D11" s="5" t="s">
        <v>21</v>
      </c>
      <c r="E11" s="5">
        <v>650</v>
      </c>
      <c r="F11" s="5" t="s">
        <v>58</v>
      </c>
      <c r="G11" s="7">
        <v>46177</v>
      </c>
      <c r="H11" s="7">
        <v>46192</v>
      </c>
      <c r="I11" s="7">
        <v>46187</v>
      </c>
      <c r="J11" s="5" t="s">
        <v>186</v>
      </c>
      <c r="K11" s="5" t="s">
        <v>187</v>
      </c>
      <c r="L11" s="5" t="s">
        <v>161</v>
      </c>
      <c r="M11" s="5" t="s">
        <v>162</v>
      </c>
      <c r="N11" s="8">
        <v>0.65</v>
      </c>
      <c r="O11" s="10">
        <f>IFERROR(VLOOKUP(C11,style_master!$A:$H,8,FALSE),0)</f>
        <v>24</v>
      </c>
      <c r="P11" s="10">
        <f>E11*O11</f>
        <v>15600</v>
      </c>
      <c r="Q11" s="11">
        <f>IFERROR(P11/SUMIFS(line_capacity!$N:$N,line_capacity!$A:$A,J11,line_capacity!$B:$B,K11),0)</f>
        <v>2.9761904761904758</v>
      </c>
      <c r="R11" s="10">
        <f ca="1">H11-TODAY()</f>
        <v>23</v>
      </c>
      <c r="S11" s="5" t="str">
        <f ca="1">IF(R11&lt;0,"OVERDUE",IF(Q11&gt;R11,"HIGH",IF(R11-Q11&lt;3,"MEDIUM","LOW")))</f>
        <v>LOW</v>
      </c>
    </row>
    <row r="12" spans="1:19" x14ac:dyDescent="0.2">
      <c r="A12" s="5" t="s">
        <v>188</v>
      </c>
      <c r="B12" s="5" t="s">
        <v>164</v>
      </c>
      <c r="C12" s="5" t="s">
        <v>73</v>
      </c>
      <c r="D12" s="5" t="s">
        <v>24</v>
      </c>
      <c r="E12" s="5">
        <v>220</v>
      </c>
      <c r="F12" s="5" t="s">
        <v>54</v>
      </c>
      <c r="G12" s="7">
        <v>46253</v>
      </c>
      <c r="H12" s="7">
        <v>46305</v>
      </c>
      <c r="I12" s="7">
        <v>46299</v>
      </c>
      <c r="J12" s="5" t="s">
        <v>189</v>
      </c>
      <c r="K12" s="5" t="s">
        <v>190</v>
      </c>
      <c r="L12" s="5" t="s">
        <v>157</v>
      </c>
      <c r="M12" s="5" t="s">
        <v>162</v>
      </c>
      <c r="N12" s="8">
        <v>0.36</v>
      </c>
      <c r="O12" s="10">
        <f>IFERROR(VLOOKUP(C12,style_master!$A:$H,8,FALSE),0)</f>
        <v>41</v>
      </c>
      <c r="P12" s="10">
        <f>E12*O12</f>
        <v>9020</v>
      </c>
      <c r="Q12" s="11">
        <f>IFERROR(P12/SUMIFS(line_capacity!$N:$N,line_capacity!$A:$A,J12,line_capacity!$B:$B,K12),0)</f>
        <v>1.2125220458553791</v>
      </c>
      <c r="R12" s="10">
        <f ca="1">H12-TODAY()</f>
        <v>136</v>
      </c>
      <c r="S12" s="5" t="str">
        <f ca="1">IF(R12&lt;0,"OVERDUE",IF(Q12&gt;R12,"HIGH",IF(R12-Q12&lt;3,"MEDIUM","LOW")))</f>
        <v>LOW</v>
      </c>
    </row>
    <row r="13" spans="1:19" x14ac:dyDescent="0.2">
      <c r="A13" s="5" t="s">
        <v>191</v>
      </c>
      <c r="B13" s="5" t="s">
        <v>192</v>
      </c>
      <c r="C13" s="5" t="s">
        <v>66</v>
      </c>
      <c r="D13" s="5" t="s">
        <v>23</v>
      </c>
      <c r="E13" s="5">
        <v>320</v>
      </c>
      <c r="F13" s="5" t="s">
        <v>69</v>
      </c>
      <c r="G13" s="7">
        <v>46203</v>
      </c>
      <c r="H13" s="7">
        <v>46241</v>
      </c>
      <c r="I13" s="7">
        <v>46237</v>
      </c>
      <c r="J13" s="5" t="s">
        <v>175</v>
      </c>
      <c r="K13" s="5" t="s">
        <v>176</v>
      </c>
      <c r="L13" s="5" t="s">
        <v>161</v>
      </c>
      <c r="M13" s="5" t="s">
        <v>181</v>
      </c>
      <c r="N13" s="8">
        <v>0.4</v>
      </c>
      <c r="O13" s="10">
        <f>IFERROR(VLOOKUP(C13,style_master!$A:$H,8,FALSE),0)</f>
        <v>48</v>
      </c>
      <c r="P13" s="10">
        <f>E13*O13</f>
        <v>15360</v>
      </c>
      <c r="Q13" s="11">
        <f>IFERROR(P13/SUMIFS(line_capacity!$N:$N,line_capacity!$A:$A,J13,line_capacity!$B:$B,K13),0)</f>
        <v>4.2932274337233016</v>
      </c>
      <c r="R13" s="10">
        <f ca="1">H13-TODAY()</f>
        <v>72</v>
      </c>
      <c r="S13" s="5" t="str">
        <f ca="1">IF(R13&lt;0,"OVERDUE",IF(Q13&gt;R13,"HIGH",IF(R13-Q13&lt;3,"MEDIUM","LOW")))</f>
        <v>LOW</v>
      </c>
    </row>
    <row r="14" spans="1:19" x14ac:dyDescent="0.2">
      <c r="A14" s="5" t="s">
        <v>193</v>
      </c>
      <c r="B14" s="5" t="s">
        <v>194</v>
      </c>
      <c r="C14" s="5" t="s">
        <v>109</v>
      </c>
      <c r="D14" s="5" t="s">
        <v>31</v>
      </c>
      <c r="E14" s="5">
        <v>320</v>
      </c>
      <c r="F14" s="5" t="s">
        <v>69</v>
      </c>
      <c r="G14" s="7">
        <v>46182</v>
      </c>
      <c r="H14" s="7">
        <v>46199</v>
      </c>
      <c r="I14" s="7">
        <v>46197</v>
      </c>
      <c r="J14" s="5" t="s">
        <v>195</v>
      </c>
      <c r="K14" s="5" t="s">
        <v>196</v>
      </c>
      <c r="L14" s="5" t="s">
        <v>161</v>
      </c>
      <c r="M14" s="5" t="s">
        <v>197</v>
      </c>
      <c r="N14" s="8">
        <v>0.09</v>
      </c>
      <c r="O14" s="10">
        <f>IFERROR(VLOOKUP(C14,style_master!$A:$H,8,FALSE),0)</f>
        <v>31</v>
      </c>
      <c r="P14" s="10">
        <f>E14*O14</f>
        <v>9920</v>
      </c>
      <c r="Q14" s="11">
        <f>IFERROR(P14/SUMIFS(line_capacity!$N:$N,line_capacity!$A:$A,J14,line_capacity!$B:$B,K14),0)</f>
        <v>4.7248894985520487</v>
      </c>
      <c r="R14" s="10">
        <f ca="1">H14-TODAY()</f>
        <v>30</v>
      </c>
      <c r="S14" s="5" t="str">
        <f ca="1">IF(R14&lt;0,"OVERDUE",IF(Q14&gt;R14,"HIGH",IF(R14-Q14&lt;3,"MEDIUM","LOW")))</f>
        <v>LOW</v>
      </c>
    </row>
    <row r="15" spans="1:19" x14ac:dyDescent="0.2">
      <c r="A15" s="5" t="s">
        <v>198</v>
      </c>
      <c r="B15" s="5" t="s">
        <v>192</v>
      </c>
      <c r="C15" s="5" t="s">
        <v>103</v>
      </c>
      <c r="D15" s="5" t="s">
        <v>30</v>
      </c>
      <c r="E15" s="5">
        <v>240</v>
      </c>
      <c r="F15" s="5" t="s">
        <v>45</v>
      </c>
      <c r="G15" s="7">
        <v>46259</v>
      </c>
      <c r="H15" s="7">
        <v>46298</v>
      </c>
      <c r="I15" s="7">
        <v>46291</v>
      </c>
      <c r="J15" s="5" t="s">
        <v>179</v>
      </c>
      <c r="K15" s="5" t="s">
        <v>180</v>
      </c>
      <c r="L15" s="5" t="s">
        <v>157</v>
      </c>
      <c r="M15" s="5" t="s">
        <v>158</v>
      </c>
      <c r="N15" s="8">
        <v>0.56999999999999995</v>
      </c>
      <c r="O15" s="10">
        <f>IFERROR(VLOOKUP(C15,style_master!$A:$H,8,FALSE),0)</f>
        <v>42</v>
      </c>
      <c r="P15" s="10">
        <f>E15*O15</f>
        <v>10080</v>
      </c>
      <c r="Q15" s="11">
        <f>IFERROR(P15/SUMIFS(line_capacity!$N:$N,line_capacity!$A:$A,J15,line_capacity!$B:$B,K15),0)</f>
        <v>5.4347826086956523</v>
      </c>
      <c r="R15" s="10">
        <f ca="1">H15-TODAY()</f>
        <v>129</v>
      </c>
      <c r="S15" s="5" t="str">
        <f ca="1">IF(R15&lt;0,"OVERDUE",IF(Q15&gt;R15,"HIGH",IF(R15-Q15&lt;3,"MEDIUM","LOW")))</f>
        <v>LOW</v>
      </c>
    </row>
    <row r="16" spans="1:19" x14ac:dyDescent="0.2">
      <c r="A16" s="5" t="s">
        <v>199</v>
      </c>
      <c r="B16" s="5" t="s">
        <v>194</v>
      </c>
      <c r="C16" s="5" t="s">
        <v>83</v>
      </c>
      <c r="D16" s="5" t="s">
        <v>26</v>
      </c>
      <c r="E16" s="5">
        <v>320</v>
      </c>
      <c r="F16" s="5" t="s">
        <v>72</v>
      </c>
      <c r="G16" s="7">
        <v>46202</v>
      </c>
      <c r="H16" s="7">
        <v>46220</v>
      </c>
      <c r="I16" s="7">
        <v>46216</v>
      </c>
      <c r="J16" s="5" t="s">
        <v>189</v>
      </c>
      <c r="K16" s="5" t="s">
        <v>190</v>
      </c>
      <c r="L16" s="5" t="s">
        <v>157</v>
      </c>
      <c r="M16" s="5" t="s">
        <v>200</v>
      </c>
      <c r="N16" s="8">
        <v>0.11</v>
      </c>
      <c r="O16" s="10">
        <f>IFERROR(VLOOKUP(C16,style_master!$A:$H,8,FALSE),0)</f>
        <v>37</v>
      </c>
      <c r="P16" s="10">
        <f>E16*O16</f>
        <v>11840</v>
      </c>
      <c r="Q16" s="11">
        <f>IFERROR(P16/SUMIFS(line_capacity!$N:$N,line_capacity!$A:$A,J16,line_capacity!$B:$B,K16),0)</f>
        <v>1.5916032176194777</v>
      </c>
      <c r="R16" s="10">
        <f ca="1">H16-TODAY()</f>
        <v>51</v>
      </c>
      <c r="S16" s="5" t="str">
        <f ca="1">IF(R16&lt;0,"OVERDUE",IF(Q16&gt;R16,"HIGH",IF(R16-Q16&lt;3,"MEDIUM","LOW")))</f>
        <v>LOW</v>
      </c>
    </row>
    <row r="17" spans="1:19" x14ac:dyDescent="0.2">
      <c r="A17" s="5" t="s">
        <v>201</v>
      </c>
      <c r="B17" s="5" t="s">
        <v>154</v>
      </c>
      <c r="C17" s="5" t="s">
        <v>47</v>
      </c>
      <c r="D17" s="5" t="s">
        <v>20</v>
      </c>
      <c r="E17" s="5">
        <v>150</v>
      </c>
      <c r="F17" s="5" t="s">
        <v>49</v>
      </c>
      <c r="G17" s="7">
        <v>46208</v>
      </c>
      <c r="H17" s="7">
        <v>46239</v>
      </c>
      <c r="I17" s="7">
        <v>46235</v>
      </c>
      <c r="J17" s="5" t="s">
        <v>202</v>
      </c>
      <c r="K17" s="5" t="s">
        <v>203</v>
      </c>
      <c r="L17" s="5" t="s">
        <v>157</v>
      </c>
      <c r="M17" s="5" t="s">
        <v>167</v>
      </c>
      <c r="N17" s="8">
        <v>0.17</v>
      </c>
      <c r="O17" s="10">
        <f>IFERROR(VLOOKUP(C17,style_master!$A:$H,8,FALSE),0)</f>
        <v>89</v>
      </c>
      <c r="P17" s="10">
        <f>E17*O17</f>
        <v>13350</v>
      </c>
      <c r="Q17" s="11">
        <f>IFERROR(P17/SUMIFS(line_capacity!$N:$N,line_capacity!$A:$A,J17,line_capacity!$B:$B,K17),0)</f>
        <v>5.2579590139140953</v>
      </c>
      <c r="R17" s="10">
        <f ca="1">H17-TODAY()</f>
        <v>70</v>
      </c>
      <c r="S17" s="5" t="str">
        <f ca="1">IF(R17&lt;0,"OVERDUE",IF(Q17&gt;R17,"HIGH",IF(R17-Q17&lt;3,"MEDIUM","LOW")))</f>
        <v>LOW</v>
      </c>
    </row>
    <row r="18" spans="1:19" x14ac:dyDescent="0.2">
      <c r="A18" s="5" t="s">
        <v>204</v>
      </c>
      <c r="B18" s="5" t="s">
        <v>205</v>
      </c>
      <c r="C18" s="5" t="s">
        <v>41</v>
      </c>
      <c r="D18" s="5" t="s">
        <v>20</v>
      </c>
      <c r="E18" s="5">
        <v>400</v>
      </c>
      <c r="F18" s="5" t="s">
        <v>45</v>
      </c>
      <c r="G18" s="7">
        <v>46201</v>
      </c>
      <c r="H18" s="7">
        <v>46237</v>
      </c>
      <c r="I18" s="7">
        <v>46232</v>
      </c>
      <c r="J18" s="5" t="s">
        <v>175</v>
      </c>
      <c r="K18" s="5" t="s">
        <v>176</v>
      </c>
      <c r="L18" s="5" t="s">
        <v>157</v>
      </c>
      <c r="M18" s="5" t="s">
        <v>181</v>
      </c>
      <c r="N18" s="8">
        <v>0.15</v>
      </c>
      <c r="O18" s="10">
        <f>IFERROR(VLOOKUP(C18,style_master!$A:$H,8,FALSE),0)</f>
        <v>85</v>
      </c>
      <c r="P18" s="10">
        <f>E18*O18</f>
        <v>34000</v>
      </c>
      <c r="Q18" s="11">
        <f>IFERROR(P18/SUMIFS(line_capacity!$N:$N,line_capacity!$A:$A,J18,line_capacity!$B:$B,K18),0)</f>
        <v>9.5032378090229326</v>
      </c>
      <c r="R18" s="10">
        <f ca="1">H18-TODAY()</f>
        <v>68</v>
      </c>
      <c r="S18" s="5" t="str">
        <f ca="1">IF(R18&lt;0,"OVERDUE",IF(Q18&gt;R18,"HIGH",IF(R18-Q18&lt;3,"MEDIUM","LOW")))</f>
        <v>LOW</v>
      </c>
    </row>
    <row r="19" spans="1:19" x14ac:dyDescent="0.2">
      <c r="A19" s="5" t="s">
        <v>206</v>
      </c>
      <c r="B19" s="5" t="s">
        <v>207</v>
      </c>
      <c r="C19" s="5" t="s">
        <v>73</v>
      </c>
      <c r="D19" s="5" t="s">
        <v>24</v>
      </c>
      <c r="E19" s="5">
        <v>80</v>
      </c>
      <c r="F19" s="5" t="s">
        <v>54</v>
      </c>
      <c r="G19" s="7">
        <v>46260</v>
      </c>
      <c r="H19" s="7">
        <v>46277</v>
      </c>
      <c r="I19" s="7">
        <v>46273</v>
      </c>
      <c r="J19" s="5" t="s">
        <v>175</v>
      </c>
      <c r="K19" s="5" t="s">
        <v>176</v>
      </c>
      <c r="L19" s="5" t="s">
        <v>161</v>
      </c>
      <c r="M19" s="5" t="s">
        <v>167</v>
      </c>
      <c r="N19" s="8">
        <v>0.46</v>
      </c>
      <c r="O19" s="10">
        <f>IFERROR(VLOOKUP(C19,style_master!$A:$H,8,FALSE),0)</f>
        <v>41</v>
      </c>
      <c r="P19" s="10">
        <f>E19*O19</f>
        <v>3280</v>
      </c>
      <c r="Q19" s="11">
        <f>IFERROR(P19/SUMIFS(line_capacity!$N:$N,line_capacity!$A:$A,J19,line_capacity!$B:$B,K19),0)</f>
        <v>0.91678294157633</v>
      </c>
      <c r="R19" s="10">
        <f ca="1">H19-TODAY()</f>
        <v>108</v>
      </c>
      <c r="S19" s="5" t="str">
        <f ca="1">IF(R19&lt;0,"OVERDUE",IF(Q19&gt;R19,"HIGH",IF(R19-Q19&lt;3,"MEDIUM","LOW")))</f>
        <v>LOW</v>
      </c>
    </row>
    <row r="20" spans="1:19" x14ac:dyDescent="0.2">
      <c r="A20" s="5" t="s">
        <v>208</v>
      </c>
      <c r="B20" s="5" t="s">
        <v>192</v>
      </c>
      <c r="C20" s="5" t="s">
        <v>70</v>
      </c>
      <c r="D20" s="5" t="s">
        <v>23</v>
      </c>
      <c r="E20" s="5">
        <v>120</v>
      </c>
      <c r="F20" s="5" t="s">
        <v>72</v>
      </c>
      <c r="G20" s="7">
        <v>46210</v>
      </c>
      <c r="H20" s="7">
        <v>46265</v>
      </c>
      <c r="I20" s="7">
        <v>46258</v>
      </c>
      <c r="J20" s="5" t="s">
        <v>209</v>
      </c>
      <c r="K20" s="5" t="s">
        <v>210</v>
      </c>
      <c r="L20" s="5" t="s">
        <v>161</v>
      </c>
      <c r="M20" s="5" t="s">
        <v>171</v>
      </c>
      <c r="N20" s="8">
        <v>0.5</v>
      </c>
      <c r="O20" s="10">
        <f>IFERROR(VLOOKUP(C20,style_master!$A:$H,8,FALSE),0)</f>
        <v>50</v>
      </c>
      <c r="P20" s="10">
        <f>E20*O20</f>
        <v>6000</v>
      </c>
      <c r="Q20" s="11">
        <f>IFERROR(P20/SUMIFS(line_capacity!$N:$N,line_capacity!$A:$A,J20,line_capacity!$B:$B,K20),0)</f>
        <v>1.0457888175893313</v>
      </c>
      <c r="R20" s="10">
        <f ca="1">H20-TODAY()</f>
        <v>96</v>
      </c>
      <c r="S20" s="5" t="str">
        <f ca="1">IF(R20&lt;0,"OVERDUE",IF(Q20&gt;R20,"HIGH",IF(R20-Q20&lt;3,"MEDIUM","LOW")))</f>
        <v>LOW</v>
      </c>
    </row>
    <row r="21" spans="1:19" x14ac:dyDescent="0.2">
      <c r="A21" s="5" t="s">
        <v>211</v>
      </c>
      <c r="B21" s="5" t="s">
        <v>169</v>
      </c>
      <c r="C21" s="5" t="s">
        <v>50</v>
      </c>
      <c r="D21" s="5" t="s">
        <v>21</v>
      </c>
      <c r="E21" s="5">
        <v>220</v>
      </c>
      <c r="F21" s="5" t="s">
        <v>54</v>
      </c>
      <c r="G21" s="7">
        <v>46201</v>
      </c>
      <c r="H21" s="7">
        <v>46221</v>
      </c>
      <c r="I21" s="7">
        <v>46217</v>
      </c>
      <c r="J21" s="5" t="s">
        <v>212</v>
      </c>
      <c r="K21" s="5" t="s">
        <v>213</v>
      </c>
      <c r="L21" s="5" t="s">
        <v>157</v>
      </c>
      <c r="M21" s="5" t="s">
        <v>167</v>
      </c>
      <c r="N21" s="8">
        <v>0.11</v>
      </c>
      <c r="O21" s="10">
        <f>IFERROR(VLOOKUP(C21,style_master!$A:$H,8,FALSE),0)</f>
        <v>22</v>
      </c>
      <c r="P21" s="10">
        <f>E21*O21</f>
        <v>4840</v>
      </c>
      <c r="Q21" s="11">
        <f>IFERROR(P21/SUMIFS(line_capacity!$N:$N,line_capacity!$A:$A,J21,line_capacity!$B:$B,K21),0)</f>
        <v>2.4173699015471164</v>
      </c>
      <c r="R21" s="10">
        <f ca="1">H21-TODAY()</f>
        <v>52</v>
      </c>
      <c r="S21" s="5" t="str">
        <f ca="1">IF(R21&lt;0,"OVERDUE",IF(Q21&gt;R21,"HIGH",IF(R21-Q21&lt;3,"MEDIUM","LOW")))</f>
        <v>LOW</v>
      </c>
    </row>
    <row r="22" spans="1:19" x14ac:dyDescent="0.2">
      <c r="A22" s="5" t="s">
        <v>214</v>
      </c>
      <c r="B22" s="5" t="s">
        <v>160</v>
      </c>
      <c r="C22" s="5" t="s">
        <v>91</v>
      </c>
      <c r="D22" s="5" t="s">
        <v>27</v>
      </c>
      <c r="E22" s="5">
        <v>300</v>
      </c>
      <c r="F22" s="5" t="s">
        <v>58</v>
      </c>
      <c r="G22" s="7">
        <v>46268</v>
      </c>
      <c r="H22" s="7">
        <v>46282</v>
      </c>
      <c r="I22" s="7">
        <v>46277</v>
      </c>
      <c r="J22" s="5" t="s">
        <v>179</v>
      </c>
      <c r="K22" s="5" t="s">
        <v>180</v>
      </c>
      <c r="L22" s="5" t="s">
        <v>161</v>
      </c>
      <c r="M22" s="5" t="s">
        <v>167</v>
      </c>
      <c r="N22" s="8">
        <v>0.88</v>
      </c>
      <c r="O22" s="10">
        <f>IFERROR(VLOOKUP(C22,style_master!$A:$H,8,FALSE),0)</f>
        <v>72</v>
      </c>
      <c r="P22" s="10">
        <f>E22*O22</f>
        <v>21600</v>
      </c>
      <c r="Q22" s="11">
        <f>IFERROR(P22/SUMIFS(line_capacity!$N:$N,line_capacity!$A:$A,J22,line_capacity!$B:$B,K22),0)</f>
        <v>11.645962732919255</v>
      </c>
      <c r="R22" s="10">
        <f ca="1">H22-TODAY()</f>
        <v>113</v>
      </c>
      <c r="S22" s="5" t="str">
        <f ca="1">IF(R22&lt;0,"OVERDUE",IF(Q22&gt;R22,"HIGH",IF(R22-Q22&lt;3,"MEDIUM","LOW")))</f>
        <v>LOW</v>
      </c>
    </row>
    <row r="23" spans="1:19" x14ac:dyDescent="0.2">
      <c r="A23" s="5" t="s">
        <v>215</v>
      </c>
      <c r="B23" s="5" t="s">
        <v>160</v>
      </c>
      <c r="C23" s="5" t="s">
        <v>125</v>
      </c>
      <c r="D23" s="5" t="s">
        <v>123</v>
      </c>
      <c r="E23" s="5">
        <v>300</v>
      </c>
      <c r="F23" s="5" t="s">
        <v>49</v>
      </c>
      <c r="G23" s="7">
        <v>46176</v>
      </c>
      <c r="H23" s="7">
        <v>46208</v>
      </c>
      <c r="I23" s="7">
        <v>46205</v>
      </c>
      <c r="J23" s="5" t="s">
        <v>209</v>
      </c>
      <c r="K23" s="5" t="s">
        <v>210</v>
      </c>
      <c r="L23" s="5" t="s">
        <v>161</v>
      </c>
      <c r="M23" s="5" t="s">
        <v>158</v>
      </c>
      <c r="N23" s="8">
        <v>0.79</v>
      </c>
      <c r="O23" s="10">
        <f>IFERROR(VLOOKUP(C23,style_master!$A:$H,8,FALSE),0)</f>
        <v>40</v>
      </c>
      <c r="P23" s="10">
        <f>E23*O23</f>
        <v>12000</v>
      </c>
      <c r="Q23" s="11">
        <f>IFERROR(P23/SUMIFS(line_capacity!$N:$N,line_capacity!$A:$A,J23,line_capacity!$B:$B,K23),0)</f>
        <v>2.0915776351786626</v>
      </c>
      <c r="R23" s="10">
        <f ca="1">H23-TODAY()</f>
        <v>39</v>
      </c>
      <c r="S23" s="5" t="str">
        <f ca="1">IF(R23&lt;0,"OVERDUE",IF(Q23&gt;R23,"HIGH",IF(R23-Q23&lt;3,"MEDIUM","LOW")))</f>
        <v>LOW</v>
      </c>
    </row>
    <row r="24" spans="1:19" x14ac:dyDescent="0.2">
      <c r="A24" s="5" t="s">
        <v>216</v>
      </c>
      <c r="B24" s="5" t="s">
        <v>207</v>
      </c>
      <c r="C24" s="5" t="s">
        <v>91</v>
      </c>
      <c r="D24" s="5" t="s">
        <v>27</v>
      </c>
      <c r="E24" s="5">
        <v>300</v>
      </c>
      <c r="F24" s="5" t="s">
        <v>58</v>
      </c>
      <c r="G24" s="7">
        <v>46241</v>
      </c>
      <c r="H24" s="7">
        <v>46258</v>
      </c>
      <c r="I24" s="7">
        <v>46253</v>
      </c>
      <c r="J24" s="5" t="s">
        <v>212</v>
      </c>
      <c r="K24" s="5" t="s">
        <v>213</v>
      </c>
      <c r="L24" s="5" t="s">
        <v>157</v>
      </c>
      <c r="M24" s="5" t="s">
        <v>158</v>
      </c>
      <c r="N24" s="8">
        <v>0.21</v>
      </c>
      <c r="O24" s="10">
        <f>IFERROR(VLOOKUP(C24,style_master!$A:$H,8,FALSE),0)</f>
        <v>72</v>
      </c>
      <c r="P24" s="10">
        <f>E24*O24</f>
        <v>21600</v>
      </c>
      <c r="Q24" s="11">
        <f>IFERROR(P24/SUMIFS(line_capacity!$N:$N,line_capacity!$A:$A,J24,line_capacity!$B:$B,K24),0)</f>
        <v>10.788262370540851</v>
      </c>
      <c r="R24" s="10">
        <f ca="1">H24-TODAY()</f>
        <v>89</v>
      </c>
      <c r="S24" s="5" t="str">
        <f ca="1">IF(R24&lt;0,"OVERDUE",IF(Q24&gt;R24,"HIGH",IF(R24-Q24&lt;3,"MEDIUM","LOW")))</f>
        <v>LOW</v>
      </c>
    </row>
    <row r="25" spans="1:19" x14ac:dyDescent="0.2">
      <c r="A25" s="5" t="s">
        <v>217</v>
      </c>
      <c r="B25" s="5" t="s">
        <v>218</v>
      </c>
      <c r="C25" s="5" t="s">
        <v>66</v>
      </c>
      <c r="D25" s="5" t="s">
        <v>23</v>
      </c>
      <c r="E25" s="5">
        <v>240</v>
      </c>
      <c r="F25" s="5" t="s">
        <v>69</v>
      </c>
      <c r="G25" s="7">
        <v>46267</v>
      </c>
      <c r="H25" s="7">
        <v>46320</v>
      </c>
      <c r="I25" s="7">
        <v>46317</v>
      </c>
      <c r="J25" s="5" t="s">
        <v>165</v>
      </c>
      <c r="K25" s="5" t="s">
        <v>166</v>
      </c>
      <c r="L25" s="5" t="s">
        <v>157</v>
      </c>
      <c r="M25" s="5" t="s">
        <v>197</v>
      </c>
      <c r="N25" s="8">
        <v>0.14000000000000001</v>
      </c>
      <c r="O25" s="10">
        <f>IFERROR(VLOOKUP(C25,style_master!$A:$H,8,FALSE),0)</f>
        <v>48</v>
      </c>
      <c r="P25" s="10">
        <f>E25*O25</f>
        <v>11520</v>
      </c>
      <c r="Q25" s="11">
        <f>IFERROR(P25/SUMIFS(line_capacity!$N:$N,line_capacity!$A:$A,J25,line_capacity!$B:$B,K25),0)</f>
        <v>4.9388813433757246</v>
      </c>
      <c r="R25" s="10">
        <f ca="1">H25-TODAY()</f>
        <v>151</v>
      </c>
      <c r="S25" s="5" t="str">
        <f ca="1">IF(R25&lt;0,"OVERDUE",IF(Q25&gt;R25,"HIGH",IF(R25-Q25&lt;3,"MEDIUM","LOW")))</f>
        <v>LOW</v>
      </c>
    </row>
    <row r="26" spans="1:19" x14ac:dyDescent="0.2">
      <c r="A26" s="5" t="s">
        <v>219</v>
      </c>
      <c r="B26" s="5" t="s">
        <v>194</v>
      </c>
      <c r="C26" s="5" t="s">
        <v>59</v>
      </c>
      <c r="D26" s="5" t="s">
        <v>22</v>
      </c>
      <c r="E26" s="5">
        <v>320</v>
      </c>
      <c r="F26" s="5" t="s">
        <v>58</v>
      </c>
      <c r="G26" s="7">
        <v>46233</v>
      </c>
      <c r="H26" s="7">
        <v>46281</v>
      </c>
      <c r="I26" s="7">
        <v>46275</v>
      </c>
      <c r="J26" s="5" t="s">
        <v>175</v>
      </c>
      <c r="K26" s="5" t="s">
        <v>176</v>
      </c>
      <c r="L26" s="5" t="s">
        <v>170</v>
      </c>
      <c r="M26" s="5" t="s">
        <v>181</v>
      </c>
      <c r="N26" s="8">
        <v>0.61</v>
      </c>
      <c r="O26" s="10">
        <f>IFERROR(VLOOKUP(C26,style_master!$A:$H,8,FALSE),0)</f>
        <v>34</v>
      </c>
      <c r="P26" s="10">
        <f>E26*O26</f>
        <v>10880</v>
      </c>
      <c r="Q26" s="11">
        <f>IFERROR(P26/SUMIFS(line_capacity!$N:$N,line_capacity!$A:$A,J26,line_capacity!$B:$B,K26),0)</f>
        <v>3.0410360988873384</v>
      </c>
      <c r="R26" s="10">
        <f ca="1">H26-TODAY()</f>
        <v>112</v>
      </c>
      <c r="S26" s="5" t="str">
        <f ca="1">IF(R26&lt;0,"OVERDUE",IF(Q26&gt;R26,"HIGH",IF(R26-Q26&lt;3,"MEDIUM","LOW")))</f>
        <v>LOW</v>
      </c>
    </row>
    <row r="27" spans="1:19" x14ac:dyDescent="0.2">
      <c r="A27" s="5" t="s">
        <v>220</v>
      </c>
      <c r="B27" s="5" t="s">
        <v>173</v>
      </c>
      <c r="C27" s="5" t="s">
        <v>130</v>
      </c>
      <c r="D27" s="5" t="s">
        <v>129</v>
      </c>
      <c r="E27" s="5">
        <v>500</v>
      </c>
      <c r="F27" s="5" t="s">
        <v>49</v>
      </c>
      <c r="G27" s="7">
        <v>46181</v>
      </c>
      <c r="H27" s="7">
        <v>46215</v>
      </c>
      <c r="I27" s="7">
        <v>46209</v>
      </c>
      <c r="J27" s="5" t="s">
        <v>195</v>
      </c>
      <c r="K27" s="5" t="s">
        <v>196</v>
      </c>
      <c r="L27" s="5" t="s">
        <v>157</v>
      </c>
      <c r="M27" s="5" t="s">
        <v>171</v>
      </c>
      <c r="N27" s="8">
        <v>0.44</v>
      </c>
      <c r="O27" s="10">
        <f>IFERROR(VLOOKUP(C27,style_master!$A:$H,8,FALSE),0)</f>
        <v>17</v>
      </c>
      <c r="P27" s="10">
        <f>E27*O27</f>
        <v>8500</v>
      </c>
      <c r="Q27" s="11">
        <f>IFERROR(P27/SUMIFS(line_capacity!$N:$N,line_capacity!$A:$A,J27,line_capacity!$B:$B,K27),0)</f>
        <v>4.0485444292028649</v>
      </c>
      <c r="R27" s="10">
        <f ca="1">H27-TODAY()</f>
        <v>46</v>
      </c>
      <c r="S27" s="5" t="str">
        <f ca="1">IF(R27&lt;0,"OVERDUE",IF(Q27&gt;R27,"HIGH",IF(R27-Q27&lt;3,"MEDIUM","LOW")))</f>
        <v>LOW</v>
      </c>
    </row>
    <row r="28" spans="1:19" x14ac:dyDescent="0.2">
      <c r="A28" s="5" t="s">
        <v>221</v>
      </c>
      <c r="B28" s="5" t="s">
        <v>207</v>
      </c>
      <c r="C28" s="5" t="s">
        <v>59</v>
      </c>
      <c r="D28" s="5" t="s">
        <v>22</v>
      </c>
      <c r="E28" s="5">
        <v>500</v>
      </c>
      <c r="F28" s="5" t="s">
        <v>58</v>
      </c>
      <c r="G28" s="7">
        <v>46238</v>
      </c>
      <c r="H28" s="7">
        <v>46274</v>
      </c>
      <c r="I28" s="7">
        <v>46269</v>
      </c>
      <c r="J28" s="5" t="s">
        <v>209</v>
      </c>
      <c r="K28" s="5" t="s">
        <v>210</v>
      </c>
      <c r="L28" s="5" t="s">
        <v>170</v>
      </c>
      <c r="M28" s="5" t="s">
        <v>162</v>
      </c>
      <c r="N28" s="8">
        <v>0.91</v>
      </c>
      <c r="O28" s="10">
        <f>IFERROR(VLOOKUP(C28,style_master!$A:$H,8,FALSE),0)</f>
        <v>34</v>
      </c>
      <c r="P28" s="10">
        <f>E28*O28</f>
        <v>17000</v>
      </c>
      <c r="Q28" s="11">
        <f>IFERROR(P28/SUMIFS(line_capacity!$N:$N,line_capacity!$A:$A,J28,line_capacity!$B:$B,K28),0)</f>
        <v>2.9630683165031053</v>
      </c>
      <c r="R28" s="10">
        <f ca="1">H28-TODAY()</f>
        <v>105</v>
      </c>
      <c r="S28" s="5" t="str">
        <f ca="1">IF(R28&lt;0,"OVERDUE",IF(Q28&gt;R28,"HIGH",IF(R28-Q28&lt;3,"MEDIUM","LOW")))</f>
        <v>LOW</v>
      </c>
    </row>
    <row r="29" spans="1:19" x14ac:dyDescent="0.2">
      <c r="A29" s="5" t="s">
        <v>222</v>
      </c>
      <c r="B29" s="5" t="s">
        <v>154</v>
      </c>
      <c r="C29" s="5" t="s">
        <v>132</v>
      </c>
      <c r="D29" s="5" t="s">
        <v>134</v>
      </c>
      <c r="E29" s="5">
        <v>320</v>
      </c>
      <c r="F29" s="5" t="s">
        <v>69</v>
      </c>
      <c r="G29" s="7">
        <v>46187</v>
      </c>
      <c r="H29" s="7">
        <v>46220</v>
      </c>
      <c r="I29" s="7">
        <v>46213</v>
      </c>
      <c r="J29" s="5" t="s">
        <v>195</v>
      </c>
      <c r="K29" s="5" t="s">
        <v>196</v>
      </c>
      <c r="L29" s="5" t="s">
        <v>170</v>
      </c>
      <c r="M29" s="5" t="s">
        <v>200</v>
      </c>
      <c r="N29" s="8">
        <v>0.61</v>
      </c>
      <c r="O29" s="10">
        <f>IFERROR(VLOOKUP(C29,style_master!$A:$H,8,FALSE),0)</f>
        <v>36</v>
      </c>
      <c r="P29" s="10">
        <f>E29*O29</f>
        <v>11520</v>
      </c>
      <c r="Q29" s="11">
        <f>IFERROR(P29/SUMIFS(line_capacity!$N:$N,line_capacity!$A:$A,J29,line_capacity!$B:$B,K29),0)</f>
        <v>5.4869684499314122</v>
      </c>
      <c r="R29" s="10">
        <f ca="1">H29-TODAY()</f>
        <v>51</v>
      </c>
      <c r="S29" s="5" t="str">
        <f ca="1">IF(R29&lt;0,"OVERDUE",IF(Q29&gt;R29,"HIGH",IF(R29-Q29&lt;3,"MEDIUM","LOW")))</f>
        <v>LOW</v>
      </c>
    </row>
    <row r="30" spans="1:19" x14ac:dyDescent="0.2">
      <c r="A30" s="5" t="s">
        <v>223</v>
      </c>
      <c r="B30" s="5" t="s">
        <v>218</v>
      </c>
      <c r="C30" s="5" t="s">
        <v>127</v>
      </c>
      <c r="D30" s="5" t="s">
        <v>129</v>
      </c>
      <c r="E30" s="5">
        <v>240</v>
      </c>
      <c r="F30" s="5" t="s">
        <v>45</v>
      </c>
      <c r="G30" s="7">
        <v>46210</v>
      </c>
      <c r="H30" s="7">
        <v>46246</v>
      </c>
      <c r="I30" s="7">
        <v>46241</v>
      </c>
      <c r="J30" s="5" t="s">
        <v>202</v>
      </c>
      <c r="K30" s="5" t="s">
        <v>203</v>
      </c>
      <c r="L30" s="5" t="s">
        <v>170</v>
      </c>
      <c r="M30" s="5" t="s">
        <v>158</v>
      </c>
      <c r="N30" s="8">
        <v>0.05</v>
      </c>
      <c r="O30" s="10">
        <f>IFERROR(VLOOKUP(C30,style_master!$A:$H,8,FALSE),0)</f>
        <v>16</v>
      </c>
      <c r="P30" s="10">
        <f>E30*O30</f>
        <v>3840</v>
      </c>
      <c r="Q30" s="11">
        <f>IFERROR(P30/SUMIFS(line_capacity!$N:$N,line_capacity!$A:$A,J30,line_capacity!$B:$B,K30),0)</f>
        <v>1.512401693889897</v>
      </c>
      <c r="R30" s="10">
        <f ca="1">H30-TODAY()</f>
        <v>77</v>
      </c>
      <c r="S30" s="5" t="str">
        <f ca="1">IF(R30&lt;0,"OVERDUE",IF(Q30&gt;R30,"HIGH",IF(R30-Q30&lt;3,"MEDIUM","LOW")))</f>
        <v>LOW</v>
      </c>
    </row>
    <row r="31" spans="1:19" x14ac:dyDescent="0.2">
      <c r="A31" s="5" t="s">
        <v>224</v>
      </c>
      <c r="B31" s="5" t="s">
        <v>173</v>
      </c>
      <c r="C31" s="5" t="s">
        <v>119</v>
      </c>
      <c r="D31" s="5" t="s">
        <v>117</v>
      </c>
      <c r="E31" s="5">
        <v>800</v>
      </c>
      <c r="F31" s="5" t="s">
        <v>72</v>
      </c>
      <c r="G31" s="7">
        <v>46258</v>
      </c>
      <c r="H31" s="7">
        <v>46308</v>
      </c>
      <c r="I31" s="7">
        <v>46305</v>
      </c>
      <c r="J31" s="5" t="s">
        <v>202</v>
      </c>
      <c r="K31" s="5" t="s">
        <v>203</v>
      </c>
      <c r="L31" s="5" t="s">
        <v>157</v>
      </c>
      <c r="M31" s="5" t="s">
        <v>181</v>
      </c>
      <c r="N31" s="8">
        <v>0.55000000000000004</v>
      </c>
      <c r="O31" s="10">
        <f>IFERROR(VLOOKUP(C31,style_master!$A:$H,8,FALSE),0)</f>
        <v>13</v>
      </c>
      <c r="P31" s="10">
        <f>E31*O31</f>
        <v>10400</v>
      </c>
      <c r="Q31" s="11">
        <f>IFERROR(P31/SUMIFS(line_capacity!$N:$N,line_capacity!$A:$A,J31,line_capacity!$B:$B,K31),0)</f>
        <v>4.0960879209518044</v>
      </c>
      <c r="R31" s="10">
        <f ca="1">H31-TODAY()</f>
        <v>139</v>
      </c>
      <c r="S31" s="5" t="str">
        <f ca="1">IF(R31&lt;0,"OVERDUE",IF(Q31&gt;R31,"HIGH",IF(R31-Q31&lt;3,"MEDIUM","LOW")))</f>
        <v>LOW</v>
      </c>
    </row>
    <row r="32" spans="1:19" x14ac:dyDescent="0.2">
      <c r="A32" s="5" t="s">
        <v>225</v>
      </c>
      <c r="B32" s="5" t="s">
        <v>207</v>
      </c>
      <c r="C32" s="5" t="s">
        <v>115</v>
      </c>
      <c r="D32" s="5" t="s">
        <v>117</v>
      </c>
      <c r="E32" s="5">
        <v>800</v>
      </c>
      <c r="F32" s="5" t="s">
        <v>72</v>
      </c>
      <c r="G32" s="7">
        <v>46184</v>
      </c>
      <c r="H32" s="7">
        <v>46215</v>
      </c>
      <c r="I32" s="7">
        <v>46209</v>
      </c>
      <c r="J32" s="5" t="s">
        <v>186</v>
      </c>
      <c r="K32" s="5" t="s">
        <v>187</v>
      </c>
      <c r="L32" s="5" t="s">
        <v>157</v>
      </c>
      <c r="M32" s="5" t="s">
        <v>167</v>
      </c>
      <c r="N32" s="8">
        <v>0.77</v>
      </c>
      <c r="O32" s="10">
        <f>IFERROR(VLOOKUP(C32,style_master!$A:$H,8,FALSE),0)</f>
        <v>12</v>
      </c>
      <c r="P32" s="10">
        <f>E32*O32</f>
        <v>9600</v>
      </c>
      <c r="Q32" s="11">
        <f>IFERROR(P32/SUMIFS(line_capacity!$N:$N,line_capacity!$A:$A,J32,line_capacity!$B:$B,K32),0)</f>
        <v>1.8315018315018314</v>
      </c>
      <c r="R32" s="10">
        <f ca="1">H32-TODAY()</f>
        <v>46</v>
      </c>
      <c r="S32" s="5" t="str">
        <f ca="1">IF(R32&lt;0,"OVERDUE",IF(Q32&gt;R32,"HIGH",IF(R32-Q32&lt;3,"MEDIUM","LOW")))</f>
        <v>LOW</v>
      </c>
    </row>
    <row r="33" spans="1:19" x14ac:dyDescent="0.2">
      <c r="A33" s="5" t="s">
        <v>226</v>
      </c>
      <c r="B33" s="5" t="s">
        <v>169</v>
      </c>
      <c r="C33" s="5" t="s">
        <v>98</v>
      </c>
      <c r="D33" s="5" t="s">
        <v>29</v>
      </c>
      <c r="E33" s="5">
        <v>240</v>
      </c>
      <c r="F33" s="5" t="s">
        <v>49</v>
      </c>
      <c r="G33" s="7">
        <v>46236</v>
      </c>
      <c r="H33" s="7">
        <v>46260</v>
      </c>
      <c r="I33" s="7">
        <v>46257</v>
      </c>
      <c r="J33" s="5" t="s">
        <v>155</v>
      </c>
      <c r="K33" s="5" t="s">
        <v>156</v>
      </c>
      <c r="L33" s="5" t="s">
        <v>157</v>
      </c>
      <c r="M33" s="5" t="s">
        <v>171</v>
      </c>
      <c r="N33" s="8">
        <v>7.0000000000000007E-2</v>
      </c>
      <c r="O33" s="10">
        <f>IFERROR(VLOOKUP(C33,style_master!$A:$H,8,FALSE),0)</f>
        <v>14</v>
      </c>
      <c r="P33" s="10">
        <f>E33*O33</f>
        <v>3360</v>
      </c>
      <c r="Q33" s="11">
        <f>IFERROR(P33/SUMIFS(line_capacity!$N:$N,line_capacity!$A:$A,J33,line_capacity!$B:$B,K33),0)</f>
        <v>1.897018970189702</v>
      </c>
      <c r="R33" s="10">
        <f ca="1">H33-TODAY()</f>
        <v>91</v>
      </c>
      <c r="S33" s="5" t="str">
        <f ca="1">IF(R33&lt;0,"OVERDUE",IF(Q33&gt;R33,"HIGH",IF(R33-Q33&lt;3,"MEDIUM","LOW")))</f>
        <v>LOW</v>
      </c>
    </row>
    <row r="34" spans="1:19" x14ac:dyDescent="0.2">
      <c r="A34" s="5" t="s">
        <v>227</v>
      </c>
      <c r="B34" s="5" t="s">
        <v>164</v>
      </c>
      <c r="C34" s="5" t="s">
        <v>76</v>
      </c>
      <c r="D34" s="5" t="s">
        <v>24</v>
      </c>
      <c r="E34" s="5">
        <v>150</v>
      </c>
      <c r="F34" s="5" t="s">
        <v>69</v>
      </c>
      <c r="G34" s="7">
        <v>46197</v>
      </c>
      <c r="H34" s="7">
        <v>46248</v>
      </c>
      <c r="I34" s="7">
        <v>46245</v>
      </c>
      <c r="J34" s="5" t="s">
        <v>175</v>
      </c>
      <c r="K34" s="5" t="s">
        <v>176</v>
      </c>
      <c r="L34" s="5" t="s">
        <v>157</v>
      </c>
      <c r="M34" s="5" t="s">
        <v>162</v>
      </c>
      <c r="N34" s="8">
        <v>0.39</v>
      </c>
      <c r="O34" s="10">
        <f>IFERROR(VLOOKUP(C34,style_master!$A:$H,8,FALSE),0)</f>
        <v>43</v>
      </c>
      <c r="P34" s="10">
        <f>E34*O34</f>
        <v>6450</v>
      </c>
      <c r="Q34" s="11">
        <f>IFERROR(P34/SUMIFS(line_capacity!$N:$N,line_capacity!$A:$A,J34,line_capacity!$B:$B,K34),0)</f>
        <v>1.8028201137705269</v>
      </c>
      <c r="R34" s="10">
        <f ca="1">H34-TODAY()</f>
        <v>79</v>
      </c>
      <c r="S34" s="5" t="str">
        <f ca="1">IF(R34&lt;0,"OVERDUE",IF(Q34&gt;R34,"HIGH",IF(R34-Q34&lt;3,"MEDIUM","LOW")))</f>
        <v>LOW</v>
      </c>
    </row>
    <row r="35" spans="1:19" x14ac:dyDescent="0.2">
      <c r="A35" s="5" t="s">
        <v>228</v>
      </c>
      <c r="B35" s="5" t="s">
        <v>183</v>
      </c>
      <c r="C35" s="5" t="s">
        <v>127</v>
      </c>
      <c r="D35" s="5" t="s">
        <v>129</v>
      </c>
      <c r="E35" s="5">
        <v>180</v>
      </c>
      <c r="F35" s="5" t="s">
        <v>45</v>
      </c>
      <c r="G35" s="7">
        <v>46213</v>
      </c>
      <c r="H35" s="7">
        <v>46255</v>
      </c>
      <c r="I35" s="7">
        <v>46252</v>
      </c>
      <c r="J35" s="5" t="s">
        <v>202</v>
      </c>
      <c r="K35" s="5" t="s">
        <v>203</v>
      </c>
      <c r="L35" s="5" t="s">
        <v>170</v>
      </c>
      <c r="M35" s="5" t="s">
        <v>162</v>
      </c>
      <c r="N35" s="8">
        <v>0.94</v>
      </c>
      <c r="O35" s="10">
        <f>IFERROR(VLOOKUP(C35,style_master!$A:$H,8,FALSE),0)</f>
        <v>16</v>
      </c>
      <c r="P35" s="10">
        <f>E35*O35</f>
        <v>2880</v>
      </c>
      <c r="Q35" s="11">
        <f>IFERROR(P35/SUMIFS(line_capacity!$N:$N,line_capacity!$A:$A,J35,line_capacity!$B:$B,K35),0)</f>
        <v>1.1343012704174227</v>
      </c>
      <c r="R35" s="10">
        <f ca="1">H35-TODAY()</f>
        <v>86</v>
      </c>
      <c r="S35" s="5" t="str">
        <f ca="1">IF(R35&lt;0,"OVERDUE",IF(Q35&gt;R35,"HIGH",IF(R35-Q35&lt;3,"MEDIUM","LOW")))</f>
        <v>LOW</v>
      </c>
    </row>
    <row r="36" spans="1:19" x14ac:dyDescent="0.2">
      <c r="A36" s="5" t="s">
        <v>229</v>
      </c>
      <c r="B36" s="5" t="s">
        <v>207</v>
      </c>
      <c r="C36" s="5" t="s">
        <v>78</v>
      </c>
      <c r="D36" s="5" t="s">
        <v>25</v>
      </c>
      <c r="E36" s="5">
        <v>150</v>
      </c>
      <c r="F36" s="5" t="s">
        <v>49</v>
      </c>
      <c r="G36" s="7">
        <v>46206</v>
      </c>
      <c r="H36" s="7">
        <v>46221</v>
      </c>
      <c r="I36" s="7">
        <v>46214</v>
      </c>
      <c r="J36" s="5" t="s">
        <v>175</v>
      </c>
      <c r="K36" s="5" t="s">
        <v>176</v>
      </c>
      <c r="L36" s="5" t="s">
        <v>157</v>
      </c>
      <c r="M36" s="5" t="s">
        <v>158</v>
      </c>
      <c r="N36" s="8">
        <v>0.53</v>
      </c>
      <c r="O36" s="10">
        <f>IFERROR(VLOOKUP(C36,style_master!$A:$H,8,FALSE),0)</f>
        <v>18</v>
      </c>
      <c r="P36" s="10">
        <f>E36*O36</f>
        <v>2700</v>
      </c>
      <c r="Q36" s="11">
        <f>IFERROR(P36/SUMIFS(line_capacity!$N:$N,line_capacity!$A:$A,J36,line_capacity!$B:$B,K36),0)</f>
        <v>0.75466888483417405</v>
      </c>
      <c r="R36" s="10">
        <f ca="1">H36-TODAY()</f>
        <v>52</v>
      </c>
      <c r="S36" s="5" t="str">
        <f ca="1">IF(R36&lt;0,"OVERDUE",IF(Q36&gt;R36,"HIGH",IF(R36-Q36&lt;3,"MEDIUM","LOW")))</f>
        <v>LOW</v>
      </c>
    </row>
    <row r="37" spans="1:19" x14ac:dyDescent="0.2">
      <c r="A37" s="5" t="s">
        <v>230</v>
      </c>
      <c r="B37" s="5" t="s">
        <v>185</v>
      </c>
      <c r="C37" s="5" t="s">
        <v>81</v>
      </c>
      <c r="D37" s="5" t="s">
        <v>25</v>
      </c>
      <c r="E37" s="5">
        <v>400</v>
      </c>
      <c r="F37" s="5" t="s">
        <v>72</v>
      </c>
      <c r="G37" s="7">
        <v>46192</v>
      </c>
      <c r="H37" s="7">
        <v>46231</v>
      </c>
      <c r="I37" s="7">
        <v>46229</v>
      </c>
      <c r="J37" s="5" t="s">
        <v>165</v>
      </c>
      <c r="K37" s="5" t="s">
        <v>166</v>
      </c>
      <c r="L37" s="5" t="s">
        <v>161</v>
      </c>
      <c r="M37" s="5" t="s">
        <v>167</v>
      </c>
      <c r="N37" s="8">
        <v>0.84</v>
      </c>
      <c r="O37" s="10">
        <f>IFERROR(VLOOKUP(C37,style_master!$A:$H,8,FALSE),0)</f>
        <v>21</v>
      </c>
      <c r="P37" s="10">
        <f>E37*O37</f>
        <v>8400</v>
      </c>
      <c r="Q37" s="11">
        <f>IFERROR(P37/SUMIFS(line_capacity!$N:$N,line_capacity!$A:$A,J37,line_capacity!$B:$B,K37),0)</f>
        <v>3.6012676462114661</v>
      </c>
      <c r="R37" s="10">
        <f ca="1">H37-TODAY()</f>
        <v>62</v>
      </c>
      <c r="S37" s="5" t="str">
        <f ca="1">IF(R37&lt;0,"OVERDUE",IF(Q37&gt;R37,"HIGH",IF(R37-Q37&lt;3,"MEDIUM","LOW")))</f>
        <v>LOW</v>
      </c>
    </row>
    <row r="38" spans="1:19" x14ac:dyDescent="0.2">
      <c r="A38" s="5" t="s">
        <v>231</v>
      </c>
      <c r="B38" s="5" t="s">
        <v>160</v>
      </c>
      <c r="C38" s="5" t="s">
        <v>91</v>
      </c>
      <c r="D38" s="5" t="s">
        <v>27</v>
      </c>
      <c r="E38" s="5">
        <v>240</v>
      </c>
      <c r="F38" s="5" t="s">
        <v>58</v>
      </c>
      <c r="G38" s="7">
        <v>46202</v>
      </c>
      <c r="H38" s="7">
        <v>46215</v>
      </c>
      <c r="I38" s="7">
        <v>46211</v>
      </c>
      <c r="J38" s="5" t="s">
        <v>195</v>
      </c>
      <c r="K38" s="5" t="s">
        <v>196</v>
      </c>
      <c r="L38" s="5" t="s">
        <v>157</v>
      </c>
      <c r="M38" s="5" t="s">
        <v>171</v>
      </c>
      <c r="N38" s="8">
        <v>0.75</v>
      </c>
      <c r="O38" s="10">
        <f>IFERROR(VLOOKUP(C38,style_master!$A:$H,8,FALSE),0)</f>
        <v>72</v>
      </c>
      <c r="P38" s="10">
        <f>E38*O38</f>
        <v>17280</v>
      </c>
      <c r="Q38" s="11">
        <f>IFERROR(P38/SUMIFS(line_capacity!$N:$N,line_capacity!$A:$A,J38,line_capacity!$B:$B,K38),0)</f>
        <v>8.2304526748971174</v>
      </c>
      <c r="R38" s="10">
        <f ca="1">H38-TODAY()</f>
        <v>46</v>
      </c>
      <c r="S38" s="5" t="str">
        <f ca="1">IF(R38&lt;0,"OVERDUE",IF(Q38&gt;R38,"HIGH",IF(R38-Q38&lt;3,"MEDIUM","LOW")))</f>
        <v>LOW</v>
      </c>
    </row>
    <row r="39" spans="1:19" x14ac:dyDescent="0.2">
      <c r="A39" s="5" t="s">
        <v>232</v>
      </c>
      <c r="B39" s="5" t="s">
        <v>185</v>
      </c>
      <c r="C39" s="5" t="s">
        <v>76</v>
      </c>
      <c r="D39" s="5" t="s">
        <v>24</v>
      </c>
      <c r="E39" s="5">
        <v>500</v>
      </c>
      <c r="F39" s="5" t="s">
        <v>69</v>
      </c>
      <c r="G39" s="7">
        <v>46174</v>
      </c>
      <c r="H39" s="7">
        <v>46191</v>
      </c>
      <c r="I39" s="7">
        <v>46189</v>
      </c>
      <c r="J39" s="5" t="s">
        <v>212</v>
      </c>
      <c r="K39" s="5" t="s">
        <v>213</v>
      </c>
      <c r="L39" s="5" t="s">
        <v>157</v>
      </c>
      <c r="M39" s="5" t="s">
        <v>158</v>
      </c>
      <c r="N39" s="8">
        <v>0.79</v>
      </c>
      <c r="O39" s="10">
        <f>IFERROR(VLOOKUP(C39,style_master!$A:$H,8,FALSE),0)</f>
        <v>43</v>
      </c>
      <c r="P39" s="10">
        <f>E39*O39</f>
        <v>21500</v>
      </c>
      <c r="Q39" s="11">
        <f>IFERROR(P39/SUMIFS(line_capacity!$N:$N,line_capacity!$A:$A,J39,line_capacity!$B:$B,K39),0)</f>
        <v>10.738316711417976</v>
      </c>
      <c r="R39" s="10">
        <f ca="1">H39-TODAY()</f>
        <v>22</v>
      </c>
      <c r="S39" s="5" t="str">
        <f ca="1">IF(R39&lt;0,"OVERDUE",IF(Q39&gt;R39,"HIGH",IF(R39-Q39&lt;3,"MEDIUM","LOW")))</f>
        <v>LOW</v>
      </c>
    </row>
    <row r="40" spans="1:19" x14ac:dyDescent="0.2">
      <c r="A40" s="5" t="s">
        <v>233</v>
      </c>
      <c r="B40" s="5" t="s">
        <v>154</v>
      </c>
      <c r="C40" s="5" t="s">
        <v>98</v>
      </c>
      <c r="D40" s="5" t="s">
        <v>29</v>
      </c>
      <c r="E40" s="5">
        <v>180</v>
      </c>
      <c r="F40" s="5" t="s">
        <v>49</v>
      </c>
      <c r="G40" s="7">
        <v>46227</v>
      </c>
      <c r="H40" s="7">
        <v>46279</v>
      </c>
      <c r="I40" s="7">
        <v>46273</v>
      </c>
      <c r="J40" s="5" t="s">
        <v>175</v>
      </c>
      <c r="K40" s="5" t="s">
        <v>176</v>
      </c>
      <c r="L40" s="5" t="s">
        <v>157</v>
      </c>
      <c r="M40" s="5" t="s">
        <v>171</v>
      </c>
      <c r="N40" s="8">
        <v>0.11</v>
      </c>
      <c r="O40" s="10">
        <f>IFERROR(VLOOKUP(C40,style_master!$A:$H,8,FALSE),0)</f>
        <v>14</v>
      </c>
      <c r="P40" s="10">
        <f>E40*O40</f>
        <v>2520</v>
      </c>
      <c r="Q40" s="11">
        <f>IFERROR(P40/SUMIFS(line_capacity!$N:$N,line_capacity!$A:$A,J40,line_capacity!$B:$B,K40),0)</f>
        <v>0.7043576258452291</v>
      </c>
      <c r="R40" s="10">
        <f ca="1">H40-TODAY()</f>
        <v>110</v>
      </c>
      <c r="S40" s="5" t="str">
        <f ca="1">IF(R40&lt;0,"OVERDUE",IF(Q40&gt;R40,"HIGH",IF(R40-Q40&lt;3,"MEDIUM","LOW")))</f>
        <v>LOW</v>
      </c>
    </row>
    <row r="41" spans="1:19" x14ac:dyDescent="0.2">
      <c r="A41" s="5" t="s">
        <v>234</v>
      </c>
      <c r="B41" s="5" t="s">
        <v>173</v>
      </c>
      <c r="C41" s="5" t="s">
        <v>88</v>
      </c>
      <c r="D41" s="5" t="s">
        <v>27</v>
      </c>
      <c r="E41" s="5">
        <v>300</v>
      </c>
      <c r="F41" s="5" t="s">
        <v>69</v>
      </c>
      <c r="G41" s="7">
        <v>46174</v>
      </c>
      <c r="H41" s="7">
        <v>46225</v>
      </c>
      <c r="I41" s="7">
        <v>46221</v>
      </c>
      <c r="J41" s="5" t="s">
        <v>165</v>
      </c>
      <c r="K41" s="5" t="s">
        <v>166</v>
      </c>
      <c r="L41" s="5" t="s">
        <v>170</v>
      </c>
      <c r="M41" s="5" t="s">
        <v>181</v>
      </c>
      <c r="N41" s="8">
        <v>0.4</v>
      </c>
      <c r="O41" s="10">
        <f>IFERROR(VLOOKUP(C41,style_master!$A:$H,8,FALSE),0)</f>
        <v>70</v>
      </c>
      <c r="P41" s="10">
        <f>E41*O41</f>
        <v>21000</v>
      </c>
      <c r="Q41" s="11">
        <f>IFERROR(P41/SUMIFS(line_capacity!$N:$N,line_capacity!$A:$A,J41,line_capacity!$B:$B,K41),0)</f>
        <v>9.0031691155286655</v>
      </c>
      <c r="R41" s="10">
        <f ca="1">H41-TODAY()</f>
        <v>56</v>
      </c>
      <c r="S41" s="5" t="str">
        <f ca="1">IF(R41&lt;0,"OVERDUE",IF(Q41&gt;R41,"HIGH",IF(R41-Q41&lt;3,"MEDIUM","LOW")))</f>
        <v>LOW</v>
      </c>
    </row>
    <row r="42" spans="1:19" x14ac:dyDescent="0.2">
      <c r="A42" s="5" t="s">
        <v>235</v>
      </c>
      <c r="B42" s="5" t="s">
        <v>185</v>
      </c>
      <c r="C42" s="5" t="s">
        <v>47</v>
      </c>
      <c r="D42" s="5" t="s">
        <v>20</v>
      </c>
      <c r="E42" s="5">
        <v>80</v>
      </c>
      <c r="F42" s="5" t="s">
        <v>49</v>
      </c>
      <c r="G42" s="7">
        <v>46255</v>
      </c>
      <c r="H42" s="7">
        <v>46291</v>
      </c>
      <c r="I42" s="7">
        <v>46287</v>
      </c>
      <c r="J42" s="5" t="s">
        <v>212</v>
      </c>
      <c r="K42" s="5" t="s">
        <v>213</v>
      </c>
      <c r="L42" s="5" t="s">
        <v>157</v>
      </c>
      <c r="M42" s="5" t="s">
        <v>181</v>
      </c>
      <c r="N42" s="8">
        <v>0.34</v>
      </c>
      <c r="O42" s="10">
        <f>IFERROR(VLOOKUP(C42,style_master!$A:$H,8,FALSE),0)</f>
        <v>89</v>
      </c>
      <c r="P42" s="10">
        <f>E42*O42</f>
        <v>7120</v>
      </c>
      <c r="Q42" s="11">
        <f>IFERROR(P42/SUMIFS(line_capacity!$N:$N,line_capacity!$A:$A,J42,line_capacity!$B:$B,K42),0)</f>
        <v>3.556130929548651</v>
      </c>
      <c r="R42" s="10">
        <f ca="1">H42-TODAY()</f>
        <v>122</v>
      </c>
      <c r="S42" s="5" t="str">
        <f ca="1">IF(R42&lt;0,"OVERDUE",IF(Q42&gt;R42,"HIGH",IF(R42-Q42&lt;3,"MEDIUM","LOW")))</f>
        <v>LOW</v>
      </c>
    </row>
    <row r="43" spans="1:19" x14ac:dyDescent="0.2">
      <c r="A43" s="5" t="s">
        <v>236</v>
      </c>
      <c r="B43" s="5" t="s">
        <v>164</v>
      </c>
      <c r="C43" s="5" t="s">
        <v>70</v>
      </c>
      <c r="D43" s="5" t="s">
        <v>23</v>
      </c>
      <c r="E43" s="5">
        <v>80</v>
      </c>
      <c r="F43" s="5" t="s">
        <v>72</v>
      </c>
      <c r="G43" s="7">
        <v>46219</v>
      </c>
      <c r="H43" s="7">
        <v>46265</v>
      </c>
      <c r="I43" s="7">
        <v>46261</v>
      </c>
      <c r="J43" s="5" t="s">
        <v>155</v>
      </c>
      <c r="K43" s="5" t="s">
        <v>156</v>
      </c>
      <c r="L43" s="5" t="s">
        <v>161</v>
      </c>
      <c r="M43" s="5" t="s">
        <v>167</v>
      </c>
      <c r="N43" s="8">
        <v>0.93</v>
      </c>
      <c r="O43" s="10">
        <f>IFERROR(VLOOKUP(C43,style_master!$A:$H,8,FALSE),0)</f>
        <v>50</v>
      </c>
      <c r="P43" s="10">
        <f>E43*O43</f>
        <v>4000</v>
      </c>
      <c r="Q43" s="11">
        <f>IFERROR(P43/SUMIFS(line_capacity!$N:$N,line_capacity!$A:$A,J43,line_capacity!$B:$B,K43),0)</f>
        <v>2.2583559168925027</v>
      </c>
      <c r="R43" s="10">
        <f ca="1">H43-TODAY()</f>
        <v>96</v>
      </c>
      <c r="S43" s="5" t="str">
        <f ca="1">IF(R43&lt;0,"OVERDUE",IF(Q43&gt;R43,"HIGH",IF(R43-Q43&lt;3,"MEDIUM","LOW")))</f>
        <v>LOW</v>
      </c>
    </row>
    <row r="44" spans="1:19" x14ac:dyDescent="0.2">
      <c r="A44" s="5" t="s">
        <v>237</v>
      </c>
      <c r="B44" s="5" t="s">
        <v>169</v>
      </c>
      <c r="C44" s="5" t="s">
        <v>56</v>
      </c>
      <c r="D44" s="5" t="s">
        <v>21</v>
      </c>
      <c r="E44" s="5">
        <v>80</v>
      </c>
      <c r="F44" s="5" t="s">
        <v>58</v>
      </c>
      <c r="G44" s="7">
        <v>46199</v>
      </c>
      <c r="H44" s="7">
        <v>46213</v>
      </c>
      <c r="I44" s="7">
        <v>46209</v>
      </c>
      <c r="J44" s="5" t="s">
        <v>212</v>
      </c>
      <c r="K44" s="5" t="s">
        <v>213</v>
      </c>
      <c r="L44" s="5" t="s">
        <v>170</v>
      </c>
      <c r="M44" s="5" t="s">
        <v>238</v>
      </c>
      <c r="N44" s="8">
        <v>0.38</v>
      </c>
      <c r="O44" s="10">
        <f>IFERROR(VLOOKUP(C44,style_master!$A:$H,8,FALSE),0)</f>
        <v>24</v>
      </c>
      <c r="P44" s="10">
        <f>E44*O44</f>
        <v>1920</v>
      </c>
      <c r="Q44" s="11">
        <f>IFERROR(P44/SUMIFS(line_capacity!$N:$N,line_capacity!$A:$A,J44,line_capacity!$B:$B,K44),0)</f>
        <v>0.95895665515918671</v>
      </c>
      <c r="R44" s="10">
        <f ca="1">H44-TODAY()</f>
        <v>44</v>
      </c>
      <c r="S44" s="5" t="str">
        <f ca="1">IF(R44&lt;0,"OVERDUE",IF(Q44&gt;R44,"HIGH",IF(R44-Q44&lt;3,"MEDIUM","LOW")))</f>
        <v>LOW</v>
      </c>
    </row>
    <row r="45" spans="1:19" x14ac:dyDescent="0.2">
      <c r="A45" s="5" t="s">
        <v>239</v>
      </c>
      <c r="B45" s="5" t="s">
        <v>218</v>
      </c>
      <c r="C45" s="5" t="s">
        <v>86</v>
      </c>
      <c r="D45" s="5" t="s">
        <v>26</v>
      </c>
      <c r="E45" s="5">
        <v>1000</v>
      </c>
      <c r="F45" s="5" t="s">
        <v>72</v>
      </c>
      <c r="G45" s="7">
        <v>46180</v>
      </c>
      <c r="H45" s="7">
        <v>46233</v>
      </c>
      <c r="I45" s="7">
        <v>46229</v>
      </c>
      <c r="J45" s="5" t="s">
        <v>212</v>
      </c>
      <c r="K45" s="5" t="s">
        <v>213</v>
      </c>
      <c r="L45" s="5" t="s">
        <v>157</v>
      </c>
      <c r="M45" s="5" t="s">
        <v>167</v>
      </c>
      <c r="N45" s="8">
        <v>0.76</v>
      </c>
      <c r="O45" s="10">
        <f>IFERROR(VLOOKUP(C45,style_master!$A:$H,8,FALSE),0)</f>
        <v>40</v>
      </c>
      <c r="P45" s="10">
        <f>E45*O45</f>
        <v>40000</v>
      </c>
      <c r="Q45" s="11">
        <f>IFERROR(P45/SUMIFS(line_capacity!$N:$N,line_capacity!$A:$A,J45,line_capacity!$B:$B,K45),0)</f>
        <v>19.978263649149724</v>
      </c>
      <c r="R45" s="10">
        <f ca="1">H45-TODAY()</f>
        <v>64</v>
      </c>
      <c r="S45" s="5" t="str">
        <f ca="1">IF(R45&lt;0,"OVERDUE",IF(Q45&gt;R45,"HIGH",IF(R45-Q45&lt;3,"MEDIUM","LOW")))</f>
        <v>LOW</v>
      </c>
    </row>
    <row r="46" spans="1:19" x14ac:dyDescent="0.2">
      <c r="A46" s="5" t="s">
        <v>240</v>
      </c>
      <c r="B46" s="5" t="s">
        <v>185</v>
      </c>
      <c r="C46" s="5" t="s">
        <v>103</v>
      </c>
      <c r="D46" s="5" t="s">
        <v>30</v>
      </c>
      <c r="E46" s="5">
        <v>800</v>
      </c>
      <c r="F46" s="5" t="s">
        <v>45</v>
      </c>
      <c r="G46" s="7">
        <v>46237</v>
      </c>
      <c r="H46" s="7">
        <v>46272</v>
      </c>
      <c r="I46" s="7">
        <v>46266</v>
      </c>
      <c r="J46" s="5" t="s">
        <v>212</v>
      </c>
      <c r="K46" s="5" t="s">
        <v>213</v>
      </c>
      <c r="L46" s="5" t="s">
        <v>157</v>
      </c>
      <c r="M46" s="5" t="s">
        <v>167</v>
      </c>
      <c r="N46" s="8">
        <v>0.69</v>
      </c>
      <c r="O46" s="10">
        <f>IFERROR(VLOOKUP(C46,style_master!$A:$H,8,FALSE),0)</f>
        <v>42</v>
      </c>
      <c r="P46" s="10">
        <f>E46*O46</f>
        <v>33600</v>
      </c>
      <c r="Q46" s="11">
        <f>IFERROR(P46/SUMIFS(line_capacity!$N:$N,line_capacity!$A:$A,J46,line_capacity!$B:$B,K46),0)</f>
        <v>16.781741465285769</v>
      </c>
      <c r="R46" s="10">
        <f ca="1">H46-TODAY()</f>
        <v>103</v>
      </c>
      <c r="S46" s="5" t="str">
        <f ca="1">IF(R46&lt;0,"OVERDUE",IF(Q46&gt;R46,"HIGH",IF(R46-Q46&lt;3,"MEDIUM","LOW")))</f>
        <v>LOW</v>
      </c>
    </row>
    <row r="47" spans="1:19" x14ac:dyDescent="0.2">
      <c r="A47" s="5" t="s">
        <v>241</v>
      </c>
      <c r="B47" s="5" t="s">
        <v>160</v>
      </c>
      <c r="C47" s="5" t="s">
        <v>101</v>
      </c>
      <c r="D47" s="5" t="s">
        <v>29</v>
      </c>
      <c r="E47" s="5">
        <v>120</v>
      </c>
      <c r="F47" s="5" t="s">
        <v>45</v>
      </c>
      <c r="G47" s="7">
        <v>46215</v>
      </c>
      <c r="H47" s="7">
        <v>46269</v>
      </c>
      <c r="I47" s="7">
        <v>46265</v>
      </c>
      <c r="J47" s="5" t="s">
        <v>212</v>
      </c>
      <c r="K47" s="5" t="s">
        <v>213</v>
      </c>
      <c r="L47" s="5" t="s">
        <v>161</v>
      </c>
      <c r="M47" s="5" t="s">
        <v>197</v>
      </c>
      <c r="N47" s="8">
        <v>0.56999999999999995</v>
      </c>
      <c r="O47" s="10">
        <f>IFERROR(VLOOKUP(C47,style_master!$A:$H,8,FALSE),0)</f>
        <v>18</v>
      </c>
      <c r="P47" s="10">
        <f>E47*O47</f>
        <v>2160</v>
      </c>
      <c r="Q47" s="11">
        <f>IFERROR(P47/SUMIFS(line_capacity!$N:$N,line_capacity!$A:$A,J47,line_capacity!$B:$B,K47),0)</f>
        <v>1.0788262370540851</v>
      </c>
      <c r="R47" s="10">
        <f ca="1">H47-TODAY()</f>
        <v>100</v>
      </c>
      <c r="S47" s="5" t="str">
        <f ca="1">IF(R47&lt;0,"OVERDUE",IF(Q47&gt;R47,"HIGH",IF(R47-Q47&lt;3,"MEDIUM","LOW")))</f>
        <v>LOW</v>
      </c>
    </row>
    <row r="48" spans="1:19" x14ac:dyDescent="0.2">
      <c r="A48" s="5" t="s">
        <v>242</v>
      </c>
      <c r="B48" s="5" t="s">
        <v>154</v>
      </c>
      <c r="C48" s="5" t="s">
        <v>113</v>
      </c>
      <c r="D48" s="5" t="s">
        <v>31</v>
      </c>
      <c r="E48" s="5">
        <v>800</v>
      </c>
      <c r="F48" s="5" t="s">
        <v>45</v>
      </c>
      <c r="G48" s="7">
        <v>46219</v>
      </c>
      <c r="H48" s="7">
        <v>46270</v>
      </c>
      <c r="I48" s="7">
        <v>46265</v>
      </c>
      <c r="J48" s="5" t="s">
        <v>212</v>
      </c>
      <c r="K48" s="5" t="s">
        <v>213</v>
      </c>
      <c r="L48" s="5" t="s">
        <v>157</v>
      </c>
      <c r="M48" s="5" t="s">
        <v>181</v>
      </c>
      <c r="N48" s="8">
        <v>7.0000000000000007E-2</v>
      </c>
      <c r="O48" s="10">
        <f>IFERROR(VLOOKUP(C48,style_master!$A:$H,8,FALSE),0)</f>
        <v>32</v>
      </c>
      <c r="P48" s="10">
        <f>E48*O48</f>
        <v>25600</v>
      </c>
      <c r="Q48" s="11">
        <f>IFERROR(P48/SUMIFS(line_capacity!$N:$N,line_capacity!$A:$A,J48,line_capacity!$B:$B,K48),0)</f>
        <v>12.786088735455824</v>
      </c>
      <c r="R48" s="10">
        <f ca="1">H48-TODAY()</f>
        <v>101</v>
      </c>
      <c r="S48" s="5" t="str">
        <f ca="1">IF(R48&lt;0,"OVERDUE",IF(Q48&gt;R48,"HIGH",IF(R48-Q48&lt;3,"MEDIUM","LOW")))</f>
        <v>LOW</v>
      </c>
    </row>
    <row r="49" spans="1:19" x14ac:dyDescent="0.2">
      <c r="A49" s="5" t="s">
        <v>243</v>
      </c>
      <c r="B49" s="5" t="s">
        <v>164</v>
      </c>
      <c r="C49" s="5" t="s">
        <v>78</v>
      </c>
      <c r="D49" s="5" t="s">
        <v>25</v>
      </c>
      <c r="E49" s="5">
        <v>500</v>
      </c>
      <c r="F49" s="5" t="s">
        <v>49</v>
      </c>
      <c r="G49" s="7">
        <v>46260</v>
      </c>
      <c r="H49" s="7">
        <v>46300</v>
      </c>
      <c r="I49" s="7">
        <v>46298</v>
      </c>
      <c r="J49" s="5" t="s">
        <v>155</v>
      </c>
      <c r="K49" s="5" t="s">
        <v>156</v>
      </c>
      <c r="L49" s="5" t="s">
        <v>157</v>
      </c>
      <c r="M49" s="5" t="s">
        <v>181</v>
      </c>
      <c r="N49" s="8">
        <v>0.22</v>
      </c>
      <c r="O49" s="10">
        <f>IFERROR(VLOOKUP(C49,style_master!$A:$H,8,FALSE),0)</f>
        <v>18</v>
      </c>
      <c r="P49" s="10">
        <f>E49*O49</f>
        <v>9000</v>
      </c>
      <c r="Q49" s="11">
        <f>IFERROR(P49/SUMIFS(line_capacity!$N:$N,line_capacity!$A:$A,J49,line_capacity!$B:$B,K49),0)</f>
        <v>5.0813008130081307</v>
      </c>
      <c r="R49" s="10">
        <f ca="1">H49-TODAY()</f>
        <v>131</v>
      </c>
      <c r="S49" s="5" t="str">
        <f ca="1">IF(R49&lt;0,"OVERDUE",IF(Q49&gt;R49,"HIGH",IF(R49-Q49&lt;3,"MEDIUM","LOW")))</f>
        <v>LOW</v>
      </c>
    </row>
    <row r="50" spans="1:19" x14ac:dyDescent="0.2">
      <c r="A50" s="5" t="s">
        <v>244</v>
      </c>
      <c r="B50" s="5" t="s">
        <v>218</v>
      </c>
      <c r="C50" s="5" t="s">
        <v>76</v>
      </c>
      <c r="D50" s="5" t="s">
        <v>24</v>
      </c>
      <c r="E50" s="5">
        <v>240</v>
      </c>
      <c r="F50" s="5" t="s">
        <v>69</v>
      </c>
      <c r="G50" s="7">
        <v>46230</v>
      </c>
      <c r="H50" s="7">
        <v>46246</v>
      </c>
      <c r="I50" s="7">
        <v>46240</v>
      </c>
      <c r="J50" s="5" t="s">
        <v>155</v>
      </c>
      <c r="K50" s="5" t="s">
        <v>156</v>
      </c>
      <c r="L50" s="5" t="s">
        <v>170</v>
      </c>
      <c r="M50" s="5" t="s">
        <v>238</v>
      </c>
      <c r="N50" s="8">
        <v>0.35</v>
      </c>
      <c r="O50" s="10">
        <f>IFERROR(VLOOKUP(C50,style_master!$A:$H,8,FALSE),0)</f>
        <v>43</v>
      </c>
      <c r="P50" s="10">
        <f>E50*O50</f>
        <v>10320</v>
      </c>
      <c r="Q50" s="11">
        <f>IFERROR(P50/SUMIFS(line_capacity!$N:$N,line_capacity!$A:$A,J50,line_capacity!$B:$B,K50),0)</f>
        <v>5.8265582655826567</v>
      </c>
      <c r="R50" s="10">
        <f ca="1">H50-TODAY()</f>
        <v>77</v>
      </c>
      <c r="S50" s="5" t="str">
        <f ca="1">IF(R50&lt;0,"OVERDUE",IF(Q50&gt;R50,"HIGH",IF(R50-Q50&lt;3,"MEDIUM","LOW")))</f>
        <v>LOW</v>
      </c>
    </row>
    <row r="51" spans="1:19" x14ac:dyDescent="0.2">
      <c r="A51" s="5" t="s">
        <v>245</v>
      </c>
      <c r="B51" s="5" t="s">
        <v>185</v>
      </c>
      <c r="C51" s="5" t="s">
        <v>41</v>
      </c>
      <c r="D51" s="5" t="s">
        <v>20</v>
      </c>
      <c r="E51" s="5">
        <v>400</v>
      </c>
      <c r="F51" s="5" t="s">
        <v>45</v>
      </c>
      <c r="G51" s="7">
        <v>46223</v>
      </c>
      <c r="H51" s="7">
        <v>46270</v>
      </c>
      <c r="I51" s="7">
        <v>46268</v>
      </c>
      <c r="J51" s="5" t="s">
        <v>212</v>
      </c>
      <c r="K51" s="5" t="s">
        <v>213</v>
      </c>
      <c r="L51" s="5" t="s">
        <v>157</v>
      </c>
      <c r="M51" s="5" t="s">
        <v>238</v>
      </c>
      <c r="N51" s="8">
        <v>0.67</v>
      </c>
      <c r="O51" s="10">
        <f>IFERROR(VLOOKUP(C51,style_master!$A:$H,8,FALSE),0)</f>
        <v>85</v>
      </c>
      <c r="P51" s="10">
        <f>E51*O51</f>
        <v>34000</v>
      </c>
      <c r="Q51" s="11">
        <f>IFERROR(P51/SUMIFS(line_capacity!$N:$N,line_capacity!$A:$A,J51,line_capacity!$B:$B,K51),0)</f>
        <v>16.981524101777264</v>
      </c>
      <c r="R51" s="10">
        <f ca="1">H51-TODAY()</f>
        <v>101</v>
      </c>
      <c r="S51" s="5" t="str">
        <f ca="1">IF(R51&lt;0,"OVERDUE",IF(Q51&gt;R51,"HIGH",IF(R51-Q51&lt;3,"MEDIUM","LOW")))</f>
        <v>LOW</v>
      </c>
    </row>
    <row r="52" spans="1:19" x14ac:dyDescent="0.2">
      <c r="A52" s="5" t="s">
        <v>246</v>
      </c>
      <c r="B52" s="5" t="s">
        <v>164</v>
      </c>
      <c r="C52" s="5" t="s">
        <v>83</v>
      </c>
      <c r="D52" s="5" t="s">
        <v>26</v>
      </c>
      <c r="E52" s="5">
        <v>120</v>
      </c>
      <c r="F52" s="5" t="s">
        <v>72</v>
      </c>
      <c r="G52" s="7">
        <v>46231</v>
      </c>
      <c r="H52" s="7">
        <v>46254</v>
      </c>
      <c r="I52" s="7">
        <v>46247</v>
      </c>
      <c r="J52" s="5" t="s">
        <v>175</v>
      </c>
      <c r="K52" s="5" t="s">
        <v>176</v>
      </c>
      <c r="L52" s="5" t="s">
        <v>157</v>
      </c>
      <c r="M52" s="5" t="s">
        <v>181</v>
      </c>
      <c r="N52" s="8">
        <v>0.77</v>
      </c>
      <c r="O52" s="10">
        <f>IFERROR(VLOOKUP(C52,style_master!$A:$H,8,FALSE),0)</f>
        <v>37</v>
      </c>
      <c r="P52" s="10">
        <f>E52*O52</f>
        <v>4440</v>
      </c>
      <c r="Q52" s="11">
        <f>IFERROR(P52/SUMIFS(line_capacity!$N:$N,line_capacity!$A:$A,J52,line_capacity!$B:$B,K52),0)</f>
        <v>1.2410110550606419</v>
      </c>
      <c r="R52" s="10">
        <f ca="1">H52-TODAY()</f>
        <v>85</v>
      </c>
      <c r="S52" s="5" t="str">
        <f ca="1">IF(R52&lt;0,"OVERDUE",IF(Q52&gt;R52,"HIGH",IF(R52-Q52&lt;3,"MEDIUM","LOW")))</f>
        <v>LOW</v>
      </c>
    </row>
    <row r="53" spans="1:19" x14ac:dyDescent="0.2">
      <c r="A53" s="5" t="s">
        <v>247</v>
      </c>
      <c r="B53" s="5" t="s">
        <v>164</v>
      </c>
      <c r="C53" s="5" t="s">
        <v>101</v>
      </c>
      <c r="D53" s="5" t="s">
        <v>29</v>
      </c>
      <c r="E53" s="5">
        <v>800</v>
      </c>
      <c r="F53" s="5" t="s">
        <v>45</v>
      </c>
      <c r="G53" s="7">
        <v>46264</v>
      </c>
      <c r="H53" s="7">
        <v>46316</v>
      </c>
      <c r="I53" s="7">
        <v>46313</v>
      </c>
      <c r="J53" s="5" t="s">
        <v>202</v>
      </c>
      <c r="K53" s="5" t="s">
        <v>203</v>
      </c>
      <c r="L53" s="5" t="s">
        <v>170</v>
      </c>
      <c r="M53" s="5" t="s">
        <v>197</v>
      </c>
      <c r="N53" s="8">
        <v>0.21</v>
      </c>
      <c r="O53" s="10">
        <f>IFERROR(VLOOKUP(C53,style_master!$A:$H,8,FALSE),0)</f>
        <v>18</v>
      </c>
      <c r="P53" s="10">
        <f>E53*O53</f>
        <v>14400</v>
      </c>
      <c r="Q53" s="11">
        <f>IFERROR(P53/SUMIFS(line_capacity!$N:$N,line_capacity!$A:$A,J53,line_capacity!$B:$B,K53),0)</f>
        <v>5.6715063520871141</v>
      </c>
      <c r="R53" s="10">
        <f ca="1">H53-TODAY()</f>
        <v>147</v>
      </c>
      <c r="S53" s="5" t="str">
        <f ca="1">IF(R53&lt;0,"OVERDUE",IF(Q53&gt;R53,"HIGH",IF(R53-Q53&lt;3,"MEDIUM","LOW")))</f>
        <v>LOW</v>
      </c>
    </row>
    <row r="54" spans="1:19" x14ac:dyDescent="0.2">
      <c r="A54" s="5" t="s">
        <v>248</v>
      </c>
      <c r="B54" s="5" t="s">
        <v>183</v>
      </c>
      <c r="C54" s="5" t="s">
        <v>47</v>
      </c>
      <c r="D54" s="5" t="s">
        <v>20</v>
      </c>
      <c r="E54" s="5">
        <v>500</v>
      </c>
      <c r="F54" s="5" t="s">
        <v>49</v>
      </c>
      <c r="G54" s="7">
        <v>46221</v>
      </c>
      <c r="H54" s="7">
        <v>46262</v>
      </c>
      <c r="I54" s="7">
        <v>46256</v>
      </c>
      <c r="J54" s="5" t="s">
        <v>155</v>
      </c>
      <c r="K54" s="5" t="s">
        <v>156</v>
      </c>
      <c r="L54" s="5" t="s">
        <v>170</v>
      </c>
      <c r="M54" s="5" t="s">
        <v>238</v>
      </c>
      <c r="N54" s="8">
        <v>0.84</v>
      </c>
      <c r="O54" s="10">
        <f>IFERROR(VLOOKUP(C54,style_master!$A:$H,8,FALSE),0)</f>
        <v>89</v>
      </c>
      <c r="P54" s="10">
        <f>E54*O54</f>
        <v>44500</v>
      </c>
      <c r="Q54" s="11">
        <f>IFERROR(P54/SUMIFS(line_capacity!$N:$N,line_capacity!$A:$A,J54,line_capacity!$B:$B,K54),0)</f>
        <v>25.124209575429092</v>
      </c>
      <c r="R54" s="10">
        <f ca="1">H54-TODAY()</f>
        <v>93</v>
      </c>
      <c r="S54" s="5" t="str">
        <f ca="1">IF(R54&lt;0,"OVERDUE",IF(Q54&gt;R54,"HIGH",IF(R54-Q54&lt;3,"MEDIUM","LOW")))</f>
        <v>LOW</v>
      </c>
    </row>
    <row r="55" spans="1:19" x14ac:dyDescent="0.2">
      <c r="A55" s="5" t="s">
        <v>249</v>
      </c>
      <c r="B55" s="5" t="s">
        <v>192</v>
      </c>
      <c r="C55" s="5" t="s">
        <v>135</v>
      </c>
      <c r="D55" s="5" t="s">
        <v>134</v>
      </c>
      <c r="E55" s="5">
        <v>500</v>
      </c>
      <c r="F55" s="5" t="s">
        <v>72</v>
      </c>
      <c r="G55" s="7">
        <v>46183</v>
      </c>
      <c r="H55" s="7">
        <v>46203</v>
      </c>
      <c r="I55" s="7">
        <v>46199</v>
      </c>
      <c r="J55" s="5" t="s">
        <v>195</v>
      </c>
      <c r="K55" s="5" t="s">
        <v>196</v>
      </c>
      <c r="L55" s="5" t="s">
        <v>161</v>
      </c>
      <c r="M55" s="5" t="s">
        <v>197</v>
      </c>
      <c r="N55" s="8">
        <v>0.44</v>
      </c>
      <c r="O55" s="10">
        <f>IFERROR(VLOOKUP(C55,style_master!$A:$H,8,FALSE),0)</f>
        <v>39</v>
      </c>
      <c r="P55" s="10">
        <f>E55*O55</f>
        <v>19500</v>
      </c>
      <c r="Q55" s="11">
        <f>IFERROR(P55/SUMIFS(line_capacity!$N:$N,line_capacity!$A:$A,J55,line_capacity!$B:$B,K55),0)</f>
        <v>9.2878372199359838</v>
      </c>
      <c r="R55" s="10">
        <f ca="1">H55-TODAY()</f>
        <v>34</v>
      </c>
      <c r="S55" s="5" t="str">
        <f ca="1">IF(R55&lt;0,"OVERDUE",IF(Q55&gt;R55,"HIGH",IF(R55-Q55&lt;3,"MEDIUM","LOW")))</f>
        <v>LOW</v>
      </c>
    </row>
    <row r="56" spans="1:19" x14ac:dyDescent="0.2">
      <c r="A56" s="5" t="s">
        <v>250</v>
      </c>
      <c r="B56" s="5" t="s">
        <v>192</v>
      </c>
      <c r="C56" s="5" t="s">
        <v>78</v>
      </c>
      <c r="D56" s="5" t="s">
        <v>25</v>
      </c>
      <c r="E56" s="5">
        <v>400</v>
      </c>
      <c r="F56" s="5" t="s">
        <v>49</v>
      </c>
      <c r="G56" s="7">
        <v>46181</v>
      </c>
      <c r="H56" s="7">
        <v>46200</v>
      </c>
      <c r="I56" s="7">
        <v>46194</v>
      </c>
      <c r="J56" s="5" t="s">
        <v>155</v>
      </c>
      <c r="K56" s="5" t="s">
        <v>156</v>
      </c>
      <c r="L56" s="5" t="s">
        <v>157</v>
      </c>
      <c r="M56" s="5" t="s">
        <v>200</v>
      </c>
      <c r="N56" s="8">
        <v>0.16</v>
      </c>
      <c r="O56" s="10">
        <f>IFERROR(VLOOKUP(C56,style_master!$A:$H,8,FALSE),0)</f>
        <v>18</v>
      </c>
      <c r="P56" s="10">
        <f>E56*O56</f>
        <v>7200</v>
      </c>
      <c r="Q56" s="11">
        <f>IFERROR(P56/SUMIFS(line_capacity!$N:$N,line_capacity!$A:$A,J56,line_capacity!$B:$B,K56),0)</f>
        <v>4.0650406504065044</v>
      </c>
      <c r="R56" s="10">
        <f ca="1">H56-TODAY()</f>
        <v>31</v>
      </c>
      <c r="S56" s="5" t="str">
        <f ca="1">IF(R56&lt;0,"OVERDUE",IF(Q56&gt;R56,"HIGH",IF(R56-Q56&lt;3,"MEDIUM","LOW")))</f>
        <v>LOW</v>
      </c>
    </row>
    <row r="57" spans="1:19" x14ac:dyDescent="0.2">
      <c r="A57" s="5" t="s">
        <v>251</v>
      </c>
      <c r="B57" s="5" t="s">
        <v>173</v>
      </c>
      <c r="C57" s="5" t="s">
        <v>98</v>
      </c>
      <c r="D57" s="5" t="s">
        <v>29</v>
      </c>
      <c r="E57" s="5">
        <v>180</v>
      </c>
      <c r="F57" s="5" t="s">
        <v>49</v>
      </c>
      <c r="G57" s="7">
        <v>46255</v>
      </c>
      <c r="H57" s="7">
        <v>46302</v>
      </c>
      <c r="I57" s="7">
        <v>46298</v>
      </c>
      <c r="J57" s="5" t="s">
        <v>155</v>
      </c>
      <c r="K57" s="5" t="s">
        <v>156</v>
      </c>
      <c r="L57" s="5" t="s">
        <v>157</v>
      </c>
      <c r="M57" s="5" t="s">
        <v>197</v>
      </c>
      <c r="N57" s="8">
        <v>0.57999999999999996</v>
      </c>
      <c r="O57" s="10">
        <f>IFERROR(VLOOKUP(C57,style_master!$A:$H,8,FALSE),0)</f>
        <v>14</v>
      </c>
      <c r="P57" s="10">
        <f>E57*O57</f>
        <v>2520</v>
      </c>
      <c r="Q57" s="11">
        <f>IFERROR(P57/SUMIFS(line_capacity!$N:$N,line_capacity!$A:$A,J57,line_capacity!$B:$B,K57),0)</f>
        <v>1.4227642276422765</v>
      </c>
      <c r="R57" s="10">
        <f ca="1">H57-TODAY()</f>
        <v>133</v>
      </c>
      <c r="S57" s="5" t="str">
        <f ca="1">IF(R57&lt;0,"OVERDUE",IF(Q57&gt;R57,"HIGH",IF(R57-Q57&lt;3,"MEDIUM","LOW")))</f>
        <v>LOW</v>
      </c>
    </row>
    <row r="58" spans="1:19" x14ac:dyDescent="0.2">
      <c r="A58" s="5" t="s">
        <v>252</v>
      </c>
      <c r="B58" s="5" t="s">
        <v>194</v>
      </c>
      <c r="C58" s="5" t="s">
        <v>73</v>
      </c>
      <c r="D58" s="5" t="s">
        <v>24</v>
      </c>
      <c r="E58" s="5">
        <v>500</v>
      </c>
      <c r="F58" s="5" t="s">
        <v>54</v>
      </c>
      <c r="G58" s="7">
        <v>46266</v>
      </c>
      <c r="H58" s="7">
        <v>46316</v>
      </c>
      <c r="I58" s="7">
        <v>46312</v>
      </c>
      <c r="J58" s="5" t="s">
        <v>209</v>
      </c>
      <c r="K58" s="5" t="s">
        <v>210</v>
      </c>
      <c r="L58" s="5" t="s">
        <v>157</v>
      </c>
      <c r="M58" s="5" t="s">
        <v>158</v>
      </c>
      <c r="N58" s="8">
        <v>0.78</v>
      </c>
      <c r="O58" s="10">
        <f>IFERROR(VLOOKUP(C58,style_master!$A:$H,8,FALSE),0)</f>
        <v>41</v>
      </c>
      <c r="P58" s="10">
        <f>E58*O58</f>
        <v>20500</v>
      </c>
      <c r="Q58" s="11">
        <f>IFERROR(P58/SUMIFS(line_capacity!$N:$N,line_capacity!$A:$A,J58,line_capacity!$B:$B,K58),0)</f>
        <v>3.5731117934302152</v>
      </c>
      <c r="R58" s="10">
        <f ca="1">H58-TODAY()</f>
        <v>147</v>
      </c>
      <c r="S58" s="5" t="str">
        <f ca="1">IF(R58&lt;0,"OVERDUE",IF(Q58&gt;R58,"HIGH",IF(R58-Q58&lt;3,"MEDIUM","LOW")))</f>
        <v>LOW</v>
      </c>
    </row>
    <row r="59" spans="1:19" x14ac:dyDescent="0.2">
      <c r="A59" s="5" t="s">
        <v>253</v>
      </c>
      <c r="B59" s="5" t="s">
        <v>207</v>
      </c>
      <c r="C59" s="5" t="s">
        <v>93</v>
      </c>
      <c r="D59" s="5" t="s">
        <v>28</v>
      </c>
      <c r="E59" s="5">
        <v>300</v>
      </c>
      <c r="F59" s="5" t="s">
        <v>45</v>
      </c>
      <c r="G59" s="7">
        <v>46253</v>
      </c>
      <c r="H59" s="7">
        <v>46305</v>
      </c>
      <c r="I59" s="7">
        <v>46303</v>
      </c>
      <c r="J59" s="5" t="s">
        <v>175</v>
      </c>
      <c r="K59" s="5" t="s">
        <v>176</v>
      </c>
      <c r="L59" s="5" t="s">
        <v>170</v>
      </c>
      <c r="M59" s="5" t="s">
        <v>162</v>
      </c>
      <c r="N59" s="8">
        <v>0.28000000000000003</v>
      </c>
      <c r="O59" s="10">
        <f>IFERROR(VLOOKUP(C59,style_master!$A:$H,8,FALSE),0)</f>
        <v>27</v>
      </c>
      <c r="P59" s="10">
        <f>E59*O59</f>
        <v>8100</v>
      </c>
      <c r="Q59" s="11">
        <f>IFERROR(P59/SUMIFS(line_capacity!$N:$N,line_capacity!$A:$A,J59,line_capacity!$B:$B,K59),0)</f>
        <v>2.2640066545025221</v>
      </c>
      <c r="R59" s="10">
        <f ca="1">H59-TODAY()</f>
        <v>136</v>
      </c>
      <c r="S59" s="5" t="str">
        <f ca="1">IF(R59&lt;0,"OVERDUE",IF(Q59&gt;R59,"HIGH",IF(R59-Q59&lt;3,"MEDIUM","LOW")))</f>
        <v>LOW</v>
      </c>
    </row>
    <row r="60" spans="1:19" x14ac:dyDescent="0.2">
      <c r="A60" s="5" t="s">
        <v>254</v>
      </c>
      <c r="B60" s="5" t="s">
        <v>185</v>
      </c>
      <c r="C60" s="5" t="s">
        <v>119</v>
      </c>
      <c r="D60" s="5" t="s">
        <v>117</v>
      </c>
      <c r="E60" s="5">
        <v>120</v>
      </c>
      <c r="F60" s="5" t="s">
        <v>72</v>
      </c>
      <c r="G60" s="7">
        <v>46262</v>
      </c>
      <c r="H60" s="7">
        <v>46277</v>
      </c>
      <c r="I60" s="7">
        <v>46274</v>
      </c>
      <c r="J60" s="5" t="s">
        <v>175</v>
      </c>
      <c r="K60" s="5" t="s">
        <v>176</v>
      </c>
      <c r="L60" s="5" t="s">
        <v>161</v>
      </c>
      <c r="M60" s="5" t="s">
        <v>181</v>
      </c>
      <c r="N60" s="8">
        <v>0.46</v>
      </c>
      <c r="O60" s="10">
        <f>IFERROR(VLOOKUP(C60,style_master!$A:$H,8,FALSE),0)</f>
        <v>13</v>
      </c>
      <c r="P60" s="10">
        <f>E60*O60</f>
        <v>1560</v>
      </c>
      <c r="Q60" s="11">
        <f>IFERROR(P60/SUMIFS(line_capacity!$N:$N,line_capacity!$A:$A,J60,line_capacity!$B:$B,K60),0)</f>
        <v>0.4360309112375228</v>
      </c>
      <c r="R60" s="10">
        <f ca="1">H60-TODAY()</f>
        <v>108</v>
      </c>
      <c r="S60" s="5" t="str">
        <f ca="1">IF(R60&lt;0,"OVERDUE",IF(Q60&gt;R60,"HIGH",IF(R60-Q60&lt;3,"MEDIUM","LOW")))</f>
        <v>LOW</v>
      </c>
    </row>
    <row r="61" spans="1:19" x14ac:dyDescent="0.2">
      <c r="A61" s="5" t="s">
        <v>255</v>
      </c>
      <c r="B61" s="5" t="s">
        <v>192</v>
      </c>
      <c r="C61" s="5" t="s">
        <v>106</v>
      </c>
      <c r="D61" s="5" t="s">
        <v>30</v>
      </c>
      <c r="E61" s="5">
        <v>150</v>
      </c>
      <c r="F61" s="5" t="s">
        <v>108</v>
      </c>
      <c r="G61" s="7">
        <v>46221</v>
      </c>
      <c r="H61" s="7">
        <v>46265</v>
      </c>
      <c r="I61" s="7">
        <v>46259</v>
      </c>
      <c r="J61" s="5" t="s">
        <v>195</v>
      </c>
      <c r="K61" s="5" t="s">
        <v>196</v>
      </c>
      <c r="L61" s="5" t="s">
        <v>157</v>
      </c>
      <c r="M61" s="5" t="s">
        <v>238</v>
      </c>
      <c r="N61" s="8">
        <v>0.23</v>
      </c>
      <c r="O61" s="10">
        <f>IFERROR(VLOOKUP(C61,style_master!$A:$H,8,FALSE),0)</f>
        <v>45</v>
      </c>
      <c r="P61" s="10">
        <f>E61*O61</f>
        <v>6750</v>
      </c>
      <c r="Q61" s="11">
        <f>IFERROR(P61/SUMIFS(line_capacity!$N:$N,line_capacity!$A:$A,J61,line_capacity!$B:$B,K61),0)</f>
        <v>3.2150205761316868</v>
      </c>
      <c r="R61" s="10">
        <f ca="1">H61-TODAY()</f>
        <v>96</v>
      </c>
      <c r="S61" s="5" t="str">
        <f ca="1">IF(R61&lt;0,"OVERDUE",IF(Q61&gt;R61,"HIGH",IF(R61-Q61&lt;3,"MEDIUM","LOW")))</f>
        <v>LOW</v>
      </c>
    </row>
  </sheetData>
  <conditionalFormatting sqref="S2:S61">
    <cfRule type="expression" dxfId="4" priority="1">
      <formula>S2="HIGH"</formula>
    </cfRule>
    <cfRule type="expression" dxfId="3" priority="2">
      <formula>S2="OVERDUE"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2"/>
  <sheetViews>
    <sheetView topLeftCell="D1" zoomScaleNormal="150" zoomScaleSheetLayoutView="100" workbookViewId="0"/>
  </sheetViews>
  <sheetFormatPr defaultRowHeight="15" x14ac:dyDescent="0.2"/>
  <cols>
    <col min="1" max="1" width="13.71875" customWidth="1"/>
    <col min="2" max="2" width="16.27734375" customWidth="1"/>
    <col min="3" max="3" width="12.10546875" customWidth="1"/>
    <col min="4" max="4" width="18.16015625" customWidth="1"/>
    <col min="5" max="5" width="18.4296875" customWidth="1"/>
    <col min="6" max="6" width="17.75390625" customWidth="1"/>
    <col min="7" max="7" width="19.50390625" customWidth="1"/>
    <col min="8" max="8" width="12.9140625" customWidth="1"/>
    <col min="9" max="9" width="15.6015625" customWidth="1"/>
  </cols>
  <sheetData>
    <row r="1" spans="1:22" ht="27.95" customHeight="1" x14ac:dyDescent="0.2">
      <c r="A1" s="4" t="s">
        <v>34</v>
      </c>
      <c r="B1" s="4" t="s">
        <v>256</v>
      </c>
      <c r="C1" s="4" t="s">
        <v>257</v>
      </c>
      <c r="D1" s="4" t="s">
        <v>258</v>
      </c>
      <c r="E1" s="4" t="s">
        <v>259</v>
      </c>
      <c r="F1" s="4" t="s">
        <v>260</v>
      </c>
      <c r="G1" s="4" t="s">
        <v>261</v>
      </c>
      <c r="H1" s="4" t="s">
        <v>262</v>
      </c>
      <c r="I1" s="4" t="s">
        <v>263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2">
      <c r="A2" s="5" t="s">
        <v>20</v>
      </c>
      <c r="B2" s="5" t="s">
        <v>264</v>
      </c>
      <c r="C2" s="5" t="s">
        <v>197</v>
      </c>
      <c r="D2" s="5">
        <v>10</v>
      </c>
      <c r="E2" s="5">
        <v>14</v>
      </c>
      <c r="F2" s="5">
        <v>12</v>
      </c>
      <c r="G2" s="5">
        <v>3</v>
      </c>
      <c r="H2" s="5">
        <v>1</v>
      </c>
      <c r="I2" s="5" t="s">
        <v>265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2">
      <c r="A3" s="5" t="s">
        <v>20</v>
      </c>
      <c r="B3" s="5" t="s">
        <v>266</v>
      </c>
      <c r="C3" s="5" t="s">
        <v>197</v>
      </c>
      <c r="D3" s="5">
        <v>7</v>
      </c>
      <c r="E3" s="5">
        <v>11</v>
      </c>
      <c r="F3" s="5">
        <v>9</v>
      </c>
      <c r="G3" s="5">
        <v>2</v>
      </c>
      <c r="H3" s="5">
        <v>2</v>
      </c>
      <c r="I3" s="5" t="s">
        <v>267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2">
      <c r="A4" s="5" t="s">
        <v>20</v>
      </c>
      <c r="B4" s="5" t="s">
        <v>268</v>
      </c>
      <c r="C4" s="5" t="s">
        <v>200</v>
      </c>
      <c r="D4" s="5">
        <v>10</v>
      </c>
      <c r="E4" s="5">
        <v>16</v>
      </c>
      <c r="F4" s="5">
        <v>13</v>
      </c>
      <c r="G4" s="5">
        <v>2</v>
      </c>
      <c r="H4" s="5">
        <v>3</v>
      </c>
      <c r="I4" s="5" t="s">
        <v>267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2">
      <c r="A5" s="5" t="s">
        <v>20</v>
      </c>
      <c r="B5" s="5" t="s">
        <v>269</v>
      </c>
      <c r="C5" s="5" t="s">
        <v>200</v>
      </c>
      <c r="D5" s="5">
        <v>28</v>
      </c>
      <c r="E5" s="5">
        <v>40</v>
      </c>
      <c r="F5" s="5">
        <v>34</v>
      </c>
      <c r="G5" s="5">
        <v>5</v>
      </c>
      <c r="H5" s="5">
        <v>4</v>
      </c>
      <c r="I5" s="5" t="s">
        <v>267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">
      <c r="A6" s="5" t="s">
        <v>20</v>
      </c>
      <c r="B6" s="5" t="s">
        <v>270</v>
      </c>
      <c r="C6" s="5" t="s">
        <v>200</v>
      </c>
      <c r="D6" s="5">
        <v>14</v>
      </c>
      <c r="E6" s="5">
        <v>21</v>
      </c>
      <c r="F6" s="5">
        <v>18</v>
      </c>
      <c r="G6" s="5">
        <v>3</v>
      </c>
      <c r="H6" s="5">
        <v>5</v>
      </c>
      <c r="I6" s="5" t="s">
        <v>267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">
      <c r="A7" s="5" t="s">
        <v>20</v>
      </c>
      <c r="B7" s="5" t="s">
        <v>271</v>
      </c>
      <c r="C7" s="5" t="s">
        <v>238</v>
      </c>
      <c r="D7" s="5">
        <v>5</v>
      </c>
      <c r="E7" s="5">
        <v>8</v>
      </c>
      <c r="F7" s="5">
        <v>6</v>
      </c>
      <c r="G7" s="5">
        <v>1</v>
      </c>
      <c r="H7" s="5">
        <v>6</v>
      </c>
      <c r="I7" s="5" t="s">
        <v>267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x14ac:dyDescent="0.2">
      <c r="A8" s="5" t="s">
        <v>20</v>
      </c>
      <c r="B8" s="5" t="s">
        <v>272</v>
      </c>
      <c r="C8" s="5" t="s">
        <v>273</v>
      </c>
      <c r="D8" s="5">
        <v>4</v>
      </c>
      <c r="E8" s="5">
        <v>7</v>
      </c>
      <c r="F8" s="5">
        <v>5</v>
      </c>
      <c r="G8" s="5">
        <v>0.5</v>
      </c>
      <c r="H8" s="5">
        <v>7</v>
      </c>
      <c r="I8" s="5" t="s">
        <v>267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x14ac:dyDescent="0.2">
      <c r="A9" s="5" t="s">
        <v>20</v>
      </c>
      <c r="B9" s="5" t="s">
        <v>274</v>
      </c>
      <c r="C9" s="5" t="s">
        <v>238</v>
      </c>
      <c r="D9" s="5">
        <v>3</v>
      </c>
      <c r="E9" s="5">
        <v>5</v>
      </c>
      <c r="F9" s="5">
        <v>4</v>
      </c>
      <c r="G9" s="5">
        <v>0.5</v>
      </c>
      <c r="H9" s="5">
        <v>8</v>
      </c>
      <c r="I9" s="5" t="s">
        <v>267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x14ac:dyDescent="0.2">
      <c r="A10" s="5" t="s">
        <v>21</v>
      </c>
      <c r="B10" s="5" t="s">
        <v>264</v>
      </c>
      <c r="C10" s="5" t="s">
        <v>197</v>
      </c>
      <c r="D10" s="5">
        <v>5</v>
      </c>
      <c r="E10" s="5">
        <v>9</v>
      </c>
      <c r="F10" s="5">
        <v>7</v>
      </c>
      <c r="G10" s="5">
        <v>2</v>
      </c>
      <c r="H10" s="5">
        <v>1</v>
      </c>
      <c r="I10" s="5" t="s">
        <v>265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2">
      <c r="A11" s="5" t="s">
        <v>21</v>
      </c>
      <c r="B11" s="5" t="s">
        <v>275</v>
      </c>
      <c r="C11" s="5" t="s">
        <v>200</v>
      </c>
      <c r="D11" s="5">
        <v>5</v>
      </c>
      <c r="E11" s="5">
        <v>8</v>
      </c>
      <c r="F11" s="5">
        <v>6</v>
      </c>
      <c r="G11" s="5">
        <v>1</v>
      </c>
      <c r="H11" s="5">
        <v>2</v>
      </c>
      <c r="I11" s="5" t="s">
        <v>267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2">
      <c r="A12" s="5" t="s">
        <v>21</v>
      </c>
      <c r="B12" s="5" t="s">
        <v>269</v>
      </c>
      <c r="C12" s="5" t="s">
        <v>200</v>
      </c>
      <c r="D12" s="5">
        <v>12</v>
      </c>
      <c r="E12" s="5">
        <v>18</v>
      </c>
      <c r="F12" s="5">
        <v>15</v>
      </c>
      <c r="G12" s="5">
        <v>3</v>
      </c>
      <c r="H12" s="5">
        <v>3</v>
      </c>
      <c r="I12" s="5" t="s">
        <v>267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x14ac:dyDescent="0.2">
      <c r="A13" s="5" t="s">
        <v>21</v>
      </c>
      <c r="B13" s="5" t="s">
        <v>276</v>
      </c>
      <c r="C13" s="5" t="s">
        <v>200</v>
      </c>
      <c r="D13" s="5">
        <v>4</v>
      </c>
      <c r="E13" s="5">
        <v>7</v>
      </c>
      <c r="F13" s="5">
        <v>5</v>
      </c>
      <c r="G13" s="5">
        <v>1</v>
      </c>
      <c r="H13" s="5">
        <v>4</v>
      </c>
      <c r="I13" s="5" t="s">
        <v>267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x14ac:dyDescent="0.2">
      <c r="A14" s="5" t="s">
        <v>21</v>
      </c>
      <c r="B14" s="5" t="s">
        <v>277</v>
      </c>
      <c r="C14" s="5" t="s">
        <v>238</v>
      </c>
      <c r="D14" s="5">
        <v>3</v>
      </c>
      <c r="E14" s="5">
        <v>5</v>
      </c>
      <c r="F14" s="5">
        <v>4</v>
      </c>
      <c r="G14" s="5">
        <v>0.5</v>
      </c>
      <c r="H14" s="5">
        <v>5</v>
      </c>
      <c r="I14" s="5" t="s">
        <v>267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x14ac:dyDescent="0.2">
      <c r="A15" s="5" t="s">
        <v>21</v>
      </c>
      <c r="B15" s="5" t="s">
        <v>272</v>
      </c>
      <c r="C15" s="5" t="s">
        <v>273</v>
      </c>
      <c r="D15" s="5">
        <v>2</v>
      </c>
      <c r="E15" s="5">
        <v>4</v>
      </c>
      <c r="F15" s="5">
        <v>3</v>
      </c>
      <c r="G15" s="5">
        <v>0.5</v>
      </c>
      <c r="H15" s="5">
        <v>6</v>
      </c>
      <c r="I15" s="5" t="s">
        <v>267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x14ac:dyDescent="0.2">
      <c r="A16" s="5" t="s">
        <v>22</v>
      </c>
      <c r="B16" s="5" t="s">
        <v>264</v>
      </c>
      <c r="C16" s="5" t="s">
        <v>197</v>
      </c>
      <c r="D16" s="5">
        <v>6</v>
      </c>
      <c r="E16" s="5">
        <v>10</v>
      </c>
      <c r="F16" s="5">
        <v>8</v>
      </c>
      <c r="G16" s="5">
        <v>2</v>
      </c>
      <c r="H16" s="5">
        <v>1</v>
      </c>
      <c r="I16" s="5" t="s">
        <v>265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x14ac:dyDescent="0.2">
      <c r="A17" s="5" t="s">
        <v>22</v>
      </c>
      <c r="B17" s="5" t="s">
        <v>278</v>
      </c>
      <c r="C17" s="5" t="s">
        <v>200</v>
      </c>
      <c r="D17" s="5">
        <v>7</v>
      </c>
      <c r="E17" s="5">
        <v>11</v>
      </c>
      <c r="F17" s="5">
        <v>9</v>
      </c>
      <c r="G17" s="5">
        <v>2</v>
      </c>
      <c r="H17" s="5">
        <v>2</v>
      </c>
      <c r="I17" s="5" t="s">
        <v>267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2">
      <c r="A18" s="5" t="s">
        <v>22</v>
      </c>
      <c r="B18" s="5" t="s">
        <v>279</v>
      </c>
      <c r="C18" s="5" t="s">
        <v>200</v>
      </c>
      <c r="D18" s="5">
        <v>4</v>
      </c>
      <c r="E18" s="5">
        <v>7</v>
      </c>
      <c r="F18" s="5">
        <v>5</v>
      </c>
      <c r="G18" s="5">
        <v>1</v>
      </c>
      <c r="H18" s="5">
        <v>3</v>
      </c>
      <c r="I18" s="5" t="s">
        <v>267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2">
      <c r="A19" s="5" t="s">
        <v>22</v>
      </c>
      <c r="B19" s="5" t="s">
        <v>269</v>
      </c>
      <c r="C19" s="5" t="s">
        <v>200</v>
      </c>
      <c r="D19" s="5">
        <v>12</v>
      </c>
      <c r="E19" s="5">
        <v>18</v>
      </c>
      <c r="F19" s="5">
        <v>15</v>
      </c>
      <c r="G19" s="5">
        <v>3</v>
      </c>
      <c r="H19" s="5">
        <v>4</v>
      </c>
      <c r="I19" s="5" t="s">
        <v>267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x14ac:dyDescent="0.2">
      <c r="A20" s="5" t="s">
        <v>22</v>
      </c>
      <c r="B20" s="5" t="s">
        <v>277</v>
      </c>
      <c r="C20" s="5" t="s">
        <v>238</v>
      </c>
      <c r="D20" s="5">
        <v>4</v>
      </c>
      <c r="E20" s="5">
        <v>6</v>
      </c>
      <c r="F20" s="5">
        <v>5</v>
      </c>
      <c r="G20" s="5">
        <v>0.5</v>
      </c>
      <c r="H20" s="5">
        <v>5</v>
      </c>
      <c r="I20" s="5" t="s">
        <v>267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2">
      <c r="A21" s="5" t="s">
        <v>22</v>
      </c>
      <c r="B21" s="5" t="s">
        <v>272</v>
      </c>
      <c r="C21" s="5" t="s">
        <v>273</v>
      </c>
      <c r="D21" s="5">
        <v>2</v>
      </c>
      <c r="E21" s="5">
        <v>4</v>
      </c>
      <c r="F21" s="5">
        <v>3</v>
      </c>
      <c r="G21" s="5">
        <v>0.5</v>
      </c>
      <c r="H21" s="5">
        <v>6</v>
      </c>
      <c r="I21" s="5" t="s">
        <v>267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x14ac:dyDescent="0.2">
      <c r="A22" s="5" t="s">
        <v>23</v>
      </c>
      <c r="B22" s="5" t="s">
        <v>264</v>
      </c>
      <c r="C22" s="5" t="s">
        <v>197</v>
      </c>
      <c r="D22" s="5">
        <v>7</v>
      </c>
      <c r="E22" s="5">
        <v>12</v>
      </c>
      <c r="F22" s="5">
        <v>10</v>
      </c>
      <c r="G22" s="5">
        <v>3</v>
      </c>
      <c r="H22" s="5">
        <v>1</v>
      </c>
      <c r="I22" s="5" t="s">
        <v>265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2">
      <c r="A23" s="5" t="s">
        <v>23</v>
      </c>
      <c r="B23" s="5" t="s">
        <v>268</v>
      </c>
      <c r="C23" s="5" t="s">
        <v>200</v>
      </c>
      <c r="D23" s="5">
        <v>8</v>
      </c>
      <c r="E23" s="5">
        <v>13</v>
      </c>
      <c r="F23" s="5">
        <v>11</v>
      </c>
      <c r="G23" s="5">
        <v>2</v>
      </c>
      <c r="H23" s="5">
        <v>2</v>
      </c>
      <c r="I23" s="5" t="s">
        <v>267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x14ac:dyDescent="0.2">
      <c r="A24" s="5" t="s">
        <v>23</v>
      </c>
      <c r="B24" s="5" t="s">
        <v>280</v>
      </c>
      <c r="C24" s="5" t="s">
        <v>200</v>
      </c>
      <c r="D24" s="5">
        <v>14</v>
      </c>
      <c r="E24" s="5">
        <v>22</v>
      </c>
      <c r="F24" s="5">
        <v>18</v>
      </c>
      <c r="G24" s="5">
        <v>3</v>
      </c>
      <c r="H24" s="5">
        <v>3</v>
      </c>
      <c r="I24" s="5" t="s">
        <v>267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2">
      <c r="A25" s="5" t="s">
        <v>23</v>
      </c>
      <c r="B25" s="5" t="s">
        <v>281</v>
      </c>
      <c r="C25" s="5" t="s">
        <v>200</v>
      </c>
      <c r="D25" s="5">
        <v>10</v>
      </c>
      <c r="E25" s="5">
        <v>17</v>
      </c>
      <c r="F25" s="5">
        <v>13</v>
      </c>
      <c r="G25" s="5">
        <v>3</v>
      </c>
      <c r="H25" s="5">
        <v>4</v>
      </c>
      <c r="I25" s="5" t="s">
        <v>267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2">
      <c r="A26" s="5" t="s">
        <v>23</v>
      </c>
      <c r="B26" s="5" t="s">
        <v>277</v>
      </c>
      <c r="C26" s="5" t="s">
        <v>238</v>
      </c>
      <c r="D26" s="5">
        <v>4</v>
      </c>
      <c r="E26" s="5">
        <v>7</v>
      </c>
      <c r="F26" s="5">
        <v>5</v>
      </c>
      <c r="G26" s="5">
        <v>1</v>
      </c>
      <c r="H26" s="5">
        <v>5</v>
      </c>
      <c r="I26" s="5" t="s">
        <v>267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x14ac:dyDescent="0.2">
      <c r="A27" s="5" t="s">
        <v>23</v>
      </c>
      <c r="B27" s="5" t="s">
        <v>272</v>
      </c>
      <c r="C27" s="5" t="s">
        <v>273</v>
      </c>
      <c r="D27" s="5">
        <v>3</v>
      </c>
      <c r="E27" s="5">
        <v>5</v>
      </c>
      <c r="F27" s="5">
        <v>4</v>
      </c>
      <c r="G27" s="5">
        <v>0.5</v>
      </c>
      <c r="H27" s="5">
        <v>6</v>
      </c>
      <c r="I27" s="5" t="s">
        <v>267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x14ac:dyDescent="0.2">
      <c r="A28" s="5" t="s">
        <v>24</v>
      </c>
      <c r="B28" s="5" t="s">
        <v>264</v>
      </c>
      <c r="C28" s="5" t="s">
        <v>197</v>
      </c>
      <c r="D28" s="5">
        <v>5</v>
      </c>
      <c r="E28" s="5">
        <v>9</v>
      </c>
      <c r="F28" s="5">
        <v>7</v>
      </c>
      <c r="G28" s="5">
        <v>2</v>
      </c>
      <c r="H28" s="5">
        <v>1</v>
      </c>
      <c r="I28" s="5" t="s">
        <v>265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2">
      <c r="A29" s="5" t="s">
        <v>24</v>
      </c>
      <c r="B29" s="5" t="s">
        <v>282</v>
      </c>
      <c r="C29" s="5" t="s">
        <v>200</v>
      </c>
      <c r="D29" s="5">
        <v>8</v>
      </c>
      <c r="E29" s="5">
        <v>12</v>
      </c>
      <c r="F29" s="5">
        <v>10</v>
      </c>
      <c r="G29" s="5">
        <v>2</v>
      </c>
      <c r="H29" s="5">
        <v>2</v>
      </c>
      <c r="I29" s="5" t="s">
        <v>267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x14ac:dyDescent="0.2">
      <c r="A30" s="5" t="s">
        <v>24</v>
      </c>
      <c r="B30" s="5" t="s">
        <v>269</v>
      </c>
      <c r="C30" s="5" t="s">
        <v>200</v>
      </c>
      <c r="D30" s="5">
        <v>14</v>
      </c>
      <c r="E30" s="5">
        <v>22</v>
      </c>
      <c r="F30" s="5">
        <v>18</v>
      </c>
      <c r="G30" s="5">
        <v>3</v>
      </c>
      <c r="H30" s="5">
        <v>3</v>
      </c>
      <c r="I30" s="5" t="s">
        <v>267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x14ac:dyDescent="0.2">
      <c r="A31" s="5" t="s">
        <v>24</v>
      </c>
      <c r="B31" s="5" t="s">
        <v>283</v>
      </c>
      <c r="C31" s="5" t="s">
        <v>284</v>
      </c>
      <c r="D31" s="5">
        <v>6</v>
      </c>
      <c r="E31" s="5">
        <v>10</v>
      </c>
      <c r="F31" s="5">
        <v>8</v>
      </c>
      <c r="G31" s="5">
        <v>1</v>
      </c>
      <c r="H31" s="5">
        <v>4</v>
      </c>
      <c r="I31" s="5" t="s">
        <v>267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2">
      <c r="A32" s="5" t="s">
        <v>24</v>
      </c>
      <c r="B32" s="5" t="s">
        <v>277</v>
      </c>
      <c r="C32" s="5" t="s">
        <v>238</v>
      </c>
      <c r="D32" s="5">
        <v>3</v>
      </c>
      <c r="E32" s="5">
        <v>5</v>
      </c>
      <c r="F32" s="5">
        <v>4</v>
      </c>
      <c r="G32" s="5">
        <v>0.5</v>
      </c>
      <c r="H32" s="5">
        <v>5</v>
      </c>
      <c r="I32" s="5" t="s">
        <v>267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x14ac:dyDescent="0.2">
      <c r="A33" s="5" t="s">
        <v>24</v>
      </c>
      <c r="B33" s="5" t="s">
        <v>272</v>
      </c>
      <c r="C33" s="5" t="s">
        <v>273</v>
      </c>
      <c r="D33" s="5">
        <v>3</v>
      </c>
      <c r="E33" s="5">
        <v>5</v>
      </c>
      <c r="F33" s="5">
        <v>4</v>
      </c>
      <c r="G33" s="5">
        <v>0.5</v>
      </c>
      <c r="H33" s="5">
        <v>6</v>
      </c>
      <c r="I33" s="5" t="s">
        <v>267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x14ac:dyDescent="0.2">
      <c r="A34" s="5" t="s">
        <v>25</v>
      </c>
      <c r="B34" s="5" t="s">
        <v>264</v>
      </c>
      <c r="C34" s="5" t="s">
        <v>197</v>
      </c>
      <c r="D34" s="5">
        <v>3</v>
      </c>
      <c r="E34" s="5">
        <v>6</v>
      </c>
      <c r="F34" s="5">
        <v>4</v>
      </c>
      <c r="G34" s="5">
        <v>1</v>
      </c>
      <c r="H34" s="5">
        <v>1</v>
      </c>
      <c r="I34" s="5" t="s">
        <v>265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x14ac:dyDescent="0.2">
      <c r="A35" s="5" t="s">
        <v>25</v>
      </c>
      <c r="B35" s="5" t="s">
        <v>285</v>
      </c>
      <c r="C35" s="5" t="s">
        <v>200</v>
      </c>
      <c r="D35" s="5">
        <v>5</v>
      </c>
      <c r="E35" s="5">
        <v>8</v>
      </c>
      <c r="F35" s="5">
        <v>6</v>
      </c>
      <c r="G35" s="5">
        <v>1</v>
      </c>
      <c r="H35" s="5">
        <v>2</v>
      </c>
      <c r="I35" s="5" t="s">
        <v>267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x14ac:dyDescent="0.2">
      <c r="A36" s="5" t="s">
        <v>25</v>
      </c>
      <c r="B36" s="5" t="s">
        <v>286</v>
      </c>
      <c r="C36" s="5" t="s">
        <v>200</v>
      </c>
      <c r="D36" s="5">
        <v>3</v>
      </c>
      <c r="E36" s="5">
        <v>5</v>
      </c>
      <c r="F36" s="5">
        <v>4</v>
      </c>
      <c r="G36" s="5">
        <v>0.5</v>
      </c>
      <c r="H36" s="5">
        <v>3</v>
      </c>
      <c r="I36" s="5" t="s">
        <v>267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x14ac:dyDescent="0.2">
      <c r="A37" s="5" t="s">
        <v>25</v>
      </c>
      <c r="B37" s="5" t="s">
        <v>276</v>
      </c>
      <c r="C37" s="5" t="s">
        <v>200</v>
      </c>
      <c r="D37" s="5">
        <v>3</v>
      </c>
      <c r="E37" s="5">
        <v>5</v>
      </c>
      <c r="F37" s="5">
        <v>4</v>
      </c>
      <c r="G37" s="5">
        <v>0.5</v>
      </c>
      <c r="H37" s="5">
        <v>4</v>
      </c>
      <c r="I37" s="5" t="s">
        <v>267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x14ac:dyDescent="0.2">
      <c r="A38" s="5" t="s">
        <v>25</v>
      </c>
      <c r="B38" s="5" t="s">
        <v>287</v>
      </c>
      <c r="C38" s="5" t="s">
        <v>238</v>
      </c>
      <c r="D38" s="5">
        <v>2</v>
      </c>
      <c r="E38" s="5">
        <v>4</v>
      </c>
      <c r="F38" s="5">
        <v>3</v>
      </c>
      <c r="G38" s="5">
        <v>0.5</v>
      </c>
      <c r="H38" s="5">
        <v>5</v>
      </c>
      <c r="I38" s="5" t="s">
        <v>267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x14ac:dyDescent="0.2">
      <c r="A39" s="5" t="s">
        <v>25</v>
      </c>
      <c r="B39" s="5" t="s">
        <v>272</v>
      </c>
      <c r="C39" s="5" t="s">
        <v>273</v>
      </c>
      <c r="D39" s="5">
        <v>2</v>
      </c>
      <c r="E39" s="5">
        <v>3</v>
      </c>
      <c r="F39" s="5">
        <v>2</v>
      </c>
      <c r="G39" s="5">
        <v>0.5</v>
      </c>
      <c r="H39" s="5">
        <v>6</v>
      </c>
      <c r="I39" s="5" t="s">
        <v>267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x14ac:dyDescent="0.2">
      <c r="A40" s="5" t="s">
        <v>26</v>
      </c>
      <c r="B40" s="5" t="s">
        <v>264</v>
      </c>
      <c r="C40" s="5" t="s">
        <v>197</v>
      </c>
      <c r="D40" s="5">
        <v>6</v>
      </c>
      <c r="E40" s="5">
        <v>10</v>
      </c>
      <c r="F40" s="5">
        <v>8</v>
      </c>
      <c r="G40" s="5">
        <v>2</v>
      </c>
      <c r="H40" s="5">
        <v>1</v>
      </c>
      <c r="I40" s="5" t="s">
        <v>265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x14ac:dyDescent="0.2">
      <c r="A41" s="5" t="s">
        <v>26</v>
      </c>
      <c r="B41" s="5" t="s">
        <v>288</v>
      </c>
      <c r="C41" s="5" t="s">
        <v>200</v>
      </c>
      <c r="D41" s="5">
        <v>6</v>
      </c>
      <c r="E41" s="5">
        <v>10</v>
      </c>
      <c r="F41" s="5">
        <v>8</v>
      </c>
      <c r="G41" s="5">
        <v>2</v>
      </c>
      <c r="H41" s="5">
        <v>2</v>
      </c>
      <c r="I41" s="5" t="s">
        <v>267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x14ac:dyDescent="0.2">
      <c r="A42" s="5" t="s">
        <v>26</v>
      </c>
      <c r="B42" s="5" t="s">
        <v>289</v>
      </c>
      <c r="C42" s="5" t="s">
        <v>200</v>
      </c>
      <c r="D42" s="5">
        <v>5</v>
      </c>
      <c r="E42" s="5">
        <v>8</v>
      </c>
      <c r="F42" s="5">
        <v>6</v>
      </c>
      <c r="G42" s="5">
        <v>1</v>
      </c>
      <c r="H42" s="5">
        <v>3</v>
      </c>
      <c r="I42" s="5" t="s">
        <v>267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x14ac:dyDescent="0.2">
      <c r="A43" s="5" t="s">
        <v>26</v>
      </c>
      <c r="B43" s="5" t="s">
        <v>269</v>
      </c>
      <c r="C43" s="5" t="s">
        <v>200</v>
      </c>
      <c r="D43" s="5">
        <v>12</v>
      </c>
      <c r="E43" s="5">
        <v>18</v>
      </c>
      <c r="F43" s="5">
        <v>15</v>
      </c>
      <c r="G43" s="5">
        <v>3</v>
      </c>
      <c r="H43" s="5">
        <v>4</v>
      </c>
      <c r="I43" s="5" t="s">
        <v>267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x14ac:dyDescent="0.2">
      <c r="A44" s="5" t="s">
        <v>26</v>
      </c>
      <c r="B44" s="5" t="s">
        <v>277</v>
      </c>
      <c r="C44" s="5" t="s">
        <v>238</v>
      </c>
      <c r="D44" s="5">
        <v>3</v>
      </c>
      <c r="E44" s="5">
        <v>5</v>
      </c>
      <c r="F44" s="5">
        <v>4</v>
      </c>
      <c r="G44" s="5">
        <v>0.5</v>
      </c>
      <c r="H44" s="5">
        <v>5</v>
      </c>
      <c r="I44" s="5" t="s">
        <v>267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x14ac:dyDescent="0.2">
      <c r="A45" s="5" t="s">
        <v>26</v>
      </c>
      <c r="B45" s="5" t="s">
        <v>272</v>
      </c>
      <c r="C45" s="5" t="s">
        <v>273</v>
      </c>
      <c r="D45" s="5">
        <v>2</v>
      </c>
      <c r="E45" s="5">
        <v>4</v>
      </c>
      <c r="F45" s="5">
        <v>3</v>
      </c>
      <c r="G45" s="5">
        <v>0.5</v>
      </c>
      <c r="H45" s="5">
        <v>6</v>
      </c>
      <c r="I45" s="5" t="s">
        <v>267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x14ac:dyDescent="0.2">
      <c r="A46" s="5" t="s">
        <v>27</v>
      </c>
      <c r="B46" s="5" t="s">
        <v>264</v>
      </c>
      <c r="C46" s="5" t="s">
        <v>197</v>
      </c>
      <c r="D46" s="5">
        <v>9</v>
      </c>
      <c r="E46" s="5">
        <v>14</v>
      </c>
      <c r="F46" s="5">
        <v>11</v>
      </c>
      <c r="G46" s="5">
        <v>3</v>
      </c>
      <c r="H46" s="5">
        <v>1</v>
      </c>
      <c r="I46" s="5" t="s">
        <v>265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x14ac:dyDescent="0.2">
      <c r="A47" s="5" t="s">
        <v>27</v>
      </c>
      <c r="B47" s="5" t="s">
        <v>266</v>
      </c>
      <c r="C47" s="5" t="s">
        <v>197</v>
      </c>
      <c r="D47" s="5">
        <v>7</v>
      </c>
      <c r="E47" s="5">
        <v>11</v>
      </c>
      <c r="F47" s="5">
        <v>9</v>
      </c>
      <c r="G47" s="5">
        <v>2</v>
      </c>
      <c r="H47" s="5">
        <v>2</v>
      </c>
      <c r="I47" s="5" t="s">
        <v>267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x14ac:dyDescent="0.2">
      <c r="A48" s="5" t="s">
        <v>27</v>
      </c>
      <c r="B48" s="5" t="s">
        <v>290</v>
      </c>
      <c r="C48" s="5" t="s">
        <v>200</v>
      </c>
      <c r="D48" s="5">
        <v>16</v>
      </c>
      <c r="E48" s="5">
        <v>24</v>
      </c>
      <c r="F48" s="5">
        <v>20</v>
      </c>
      <c r="G48" s="5">
        <v>3</v>
      </c>
      <c r="H48" s="5">
        <v>3</v>
      </c>
      <c r="I48" s="5" t="s">
        <v>267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x14ac:dyDescent="0.2">
      <c r="A49" s="5" t="s">
        <v>27</v>
      </c>
      <c r="B49" s="5" t="s">
        <v>291</v>
      </c>
      <c r="C49" s="5" t="s">
        <v>200</v>
      </c>
      <c r="D49" s="5">
        <v>12</v>
      </c>
      <c r="E49" s="5">
        <v>18</v>
      </c>
      <c r="F49" s="5">
        <v>15</v>
      </c>
      <c r="G49" s="5">
        <v>3</v>
      </c>
      <c r="H49" s="5">
        <v>4</v>
      </c>
      <c r="I49" s="5" t="s">
        <v>267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x14ac:dyDescent="0.2">
      <c r="A50" s="5" t="s">
        <v>27</v>
      </c>
      <c r="B50" s="5" t="s">
        <v>270</v>
      </c>
      <c r="C50" s="5" t="s">
        <v>200</v>
      </c>
      <c r="D50" s="5">
        <v>12</v>
      </c>
      <c r="E50" s="5">
        <v>20</v>
      </c>
      <c r="F50" s="5">
        <v>16</v>
      </c>
      <c r="G50" s="5">
        <v>3</v>
      </c>
      <c r="H50" s="5">
        <v>5</v>
      </c>
      <c r="I50" s="5" t="s">
        <v>267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2">
      <c r="A51" s="5" t="s">
        <v>27</v>
      </c>
      <c r="B51" s="5" t="s">
        <v>277</v>
      </c>
      <c r="C51" s="5" t="s">
        <v>238</v>
      </c>
      <c r="D51" s="5">
        <v>6</v>
      </c>
      <c r="E51" s="5">
        <v>10</v>
      </c>
      <c r="F51" s="5">
        <v>8</v>
      </c>
      <c r="G51" s="5">
        <v>1</v>
      </c>
      <c r="H51" s="5">
        <v>6</v>
      </c>
      <c r="I51" s="5" t="s">
        <v>267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2">
      <c r="A52" s="5" t="s">
        <v>27</v>
      </c>
      <c r="B52" s="5" t="s">
        <v>272</v>
      </c>
      <c r="C52" s="5" t="s">
        <v>273</v>
      </c>
      <c r="D52" s="5">
        <v>4</v>
      </c>
      <c r="E52" s="5">
        <v>7</v>
      </c>
      <c r="F52" s="5">
        <v>5</v>
      </c>
      <c r="G52" s="5">
        <v>0.5</v>
      </c>
      <c r="H52" s="5">
        <v>7</v>
      </c>
      <c r="I52" s="5" t="s">
        <v>267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2">
      <c r="A53" s="5" t="s">
        <v>28</v>
      </c>
      <c r="B53" s="5" t="s">
        <v>264</v>
      </c>
      <c r="C53" s="5" t="s">
        <v>197</v>
      </c>
      <c r="D53" s="5">
        <v>4</v>
      </c>
      <c r="E53" s="5">
        <v>7</v>
      </c>
      <c r="F53" s="5">
        <v>5</v>
      </c>
      <c r="G53" s="5">
        <v>1</v>
      </c>
      <c r="H53" s="5">
        <v>1</v>
      </c>
      <c r="I53" s="5" t="s">
        <v>265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">
      <c r="A54" s="5" t="s">
        <v>28</v>
      </c>
      <c r="B54" s="5" t="s">
        <v>292</v>
      </c>
      <c r="C54" s="5" t="s">
        <v>200</v>
      </c>
      <c r="D54" s="5">
        <v>7</v>
      </c>
      <c r="E54" s="5">
        <v>10</v>
      </c>
      <c r="F54" s="5">
        <v>8</v>
      </c>
      <c r="G54" s="5">
        <v>1</v>
      </c>
      <c r="H54" s="5">
        <v>2</v>
      </c>
      <c r="I54" s="5" t="s">
        <v>267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">
      <c r="A55" s="5" t="s">
        <v>28</v>
      </c>
      <c r="B55" s="5" t="s">
        <v>293</v>
      </c>
      <c r="C55" s="5" t="s">
        <v>200</v>
      </c>
      <c r="D55" s="5">
        <v>5</v>
      </c>
      <c r="E55" s="5">
        <v>8</v>
      </c>
      <c r="F55" s="5">
        <v>6</v>
      </c>
      <c r="G55" s="5">
        <v>1</v>
      </c>
      <c r="H55" s="5">
        <v>3</v>
      </c>
      <c r="I55" s="5" t="s">
        <v>267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x14ac:dyDescent="0.2">
      <c r="A56" s="5" t="s">
        <v>28</v>
      </c>
      <c r="B56" s="5" t="s">
        <v>294</v>
      </c>
      <c r="C56" s="5" t="s">
        <v>200</v>
      </c>
      <c r="D56" s="5">
        <v>4</v>
      </c>
      <c r="E56" s="5">
        <v>6</v>
      </c>
      <c r="F56" s="5">
        <v>5</v>
      </c>
      <c r="G56" s="5">
        <v>0.5</v>
      </c>
      <c r="H56" s="5">
        <v>4</v>
      </c>
      <c r="I56" s="5" t="s">
        <v>267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x14ac:dyDescent="0.2">
      <c r="A57" s="5" t="s">
        <v>28</v>
      </c>
      <c r="B57" s="5" t="s">
        <v>287</v>
      </c>
      <c r="C57" s="5" t="s">
        <v>238</v>
      </c>
      <c r="D57" s="5">
        <v>2</v>
      </c>
      <c r="E57" s="5">
        <v>4</v>
      </c>
      <c r="F57" s="5">
        <v>3</v>
      </c>
      <c r="G57" s="5">
        <v>0.5</v>
      </c>
      <c r="H57" s="5">
        <v>5</v>
      </c>
      <c r="I57" s="5" t="s">
        <v>267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2">
      <c r="A58" s="5" t="s">
        <v>28</v>
      </c>
      <c r="B58" s="5" t="s">
        <v>272</v>
      </c>
      <c r="C58" s="5" t="s">
        <v>273</v>
      </c>
      <c r="D58" s="5">
        <v>2</v>
      </c>
      <c r="E58" s="5">
        <v>3</v>
      </c>
      <c r="F58" s="5">
        <v>2</v>
      </c>
      <c r="G58" s="5">
        <v>0.5</v>
      </c>
      <c r="H58" s="5">
        <v>6</v>
      </c>
      <c r="I58" s="5" t="s">
        <v>267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x14ac:dyDescent="0.2">
      <c r="A59" s="5" t="s">
        <v>29</v>
      </c>
      <c r="B59" s="5" t="s">
        <v>264</v>
      </c>
      <c r="C59" s="5" t="s">
        <v>197</v>
      </c>
      <c r="D59" s="5">
        <v>3</v>
      </c>
      <c r="E59" s="5">
        <v>5</v>
      </c>
      <c r="F59" s="5">
        <v>4</v>
      </c>
      <c r="G59" s="5">
        <v>1</v>
      </c>
      <c r="H59" s="5">
        <v>1</v>
      </c>
      <c r="I59" s="5" t="s">
        <v>265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x14ac:dyDescent="0.2">
      <c r="A60" s="5" t="s">
        <v>29</v>
      </c>
      <c r="B60" s="5" t="s">
        <v>269</v>
      </c>
      <c r="C60" s="5" t="s">
        <v>200</v>
      </c>
      <c r="D60" s="5">
        <v>7</v>
      </c>
      <c r="E60" s="5">
        <v>10</v>
      </c>
      <c r="F60" s="5">
        <v>8</v>
      </c>
      <c r="G60" s="5">
        <v>1</v>
      </c>
      <c r="H60" s="5">
        <v>2</v>
      </c>
      <c r="I60" s="5" t="s">
        <v>267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x14ac:dyDescent="0.2">
      <c r="A61" s="5" t="s">
        <v>29</v>
      </c>
      <c r="B61" s="5" t="s">
        <v>295</v>
      </c>
      <c r="C61" s="5" t="s">
        <v>200</v>
      </c>
      <c r="D61" s="5">
        <v>2</v>
      </c>
      <c r="E61" s="5">
        <v>4</v>
      </c>
      <c r="F61" s="5">
        <v>3</v>
      </c>
      <c r="G61" s="5">
        <v>0.5</v>
      </c>
      <c r="H61" s="5">
        <v>3</v>
      </c>
      <c r="I61" s="5" t="s">
        <v>267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x14ac:dyDescent="0.2">
      <c r="A62" s="5" t="s">
        <v>29</v>
      </c>
      <c r="B62" s="5" t="s">
        <v>277</v>
      </c>
      <c r="C62" s="5" t="s">
        <v>238</v>
      </c>
      <c r="D62" s="5">
        <v>2</v>
      </c>
      <c r="E62" s="5">
        <v>3</v>
      </c>
      <c r="F62" s="5">
        <v>2.5</v>
      </c>
      <c r="G62" s="5">
        <v>0.5</v>
      </c>
      <c r="H62" s="5">
        <v>4</v>
      </c>
      <c r="I62" s="5" t="s">
        <v>267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x14ac:dyDescent="0.2">
      <c r="A63" s="5" t="s">
        <v>29</v>
      </c>
      <c r="B63" s="5" t="s">
        <v>272</v>
      </c>
      <c r="C63" s="5" t="s">
        <v>273</v>
      </c>
      <c r="D63" s="5">
        <v>1</v>
      </c>
      <c r="E63" s="5">
        <v>3</v>
      </c>
      <c r="F63" s="5">
        <v>2</v>
      </c>
      <c r="G63" s="5">
        <v>0.5</v>
      </c>
      <c r="H63" s="5">
        <v>5</v>
      </c>
      <c r="I63" s="5" t="s">
        <v>267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x14ac:dyDescent="0.2">
      <c r="A64" s="5" t="s">
        <v>30</v>
      </c>
      <c r="B64" s="5" t="s">
        <v>264</v>
      </c>
      <c r="C64" s="5" t="s">
        <v>197</v>
      </c>
      <c r="D64" s="5">
        <v>7</v>
      </c>
      <c r="E64" s="5">
        <v>12</v>
      </c>
      <c r="F64" s="5">
        <v>9</v>
      </c>
      <c r="G64" s="5">
        <v>2</v>
      </c>
      <c r="H64" s="5">
        <v>1</v>
      </c>
      <c r="I64" s="5" t="s">
        <v>265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x14ac:dyDescent="0.2">
      <c r="A65" s="5" t="s">
        <v>30</v>
      </c>
      <c r="B65" s="5" t="s">
        <v>296</v>
      </c>
      <c r="C65" s="5" t="s">
        <v>200</v>
      </c>
      <c r="D65" s="5">
        <v>6</v>
      </c>
      <c r="E65" s="5">
        <v>10</v>
      </c>
      <c r="F65" s="5">
        <v>8</v>
      </c>
      <c r="G65" s="5">
        <v>1</v>
      </c>
      <c r="H65" s="5">
        <v>2</v>
      </c>
      <c r="I65" s="5" t="s">
        <v>267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2">
      <c r="A66" s="5" t="s">
        <v>30</v>
      </c>
      <c r="B66" s="5" t="s">
        <v>291</v>
      </c>
      <c r="C66" s="5" t="s">
        <v>200</v>
      </c>
      <c r="D66" s="5">
        <v>8</v>
      </c>
      <c r="E66" s="5">
        <v>13</v>
      </c>
      <c r="F66" s="5">
        <v>10</v>
      </c>
      <c r="G66" s="5">
        <v>2</v>
      </c>
      <c r="H66" s="5">
        <v>3</v>
      </c>
      <c r="I66" s="5" t="s">
        <v>267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x14ac:dyDescent="0.2">
      <c r="A67" s="5" t="s">
        <v>30</v>
      </c>
      <c r="B67" s="5" t="s">
        <v>289</v>
      </c>
      <c r="C67" s="5" t="s">
        <v>200</v>
      </c>
      <c r="D67" s="5">
        <v>4</v>
      </c>
      <c r="E67" s="5">
        <v>7</v>
      </c>
      <c r="F67" s="5">
        <v>5</v>
      </c>
      <c r="G67" s="5">
        <v>1</v>
      </c>
      <c r="H67" s="5">
        <v>4</v>
      </c>
      <c r="I67" s="5" t="s">
        <v>267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2">
      <c r="A68" s="5" t="s">
        <v>30</v>
      </c>
      <c r="B68" s="5" t="s">
        <v>277</v>
      </c>
      <c r="C68" s="5" t="s">
        <v>238</v>
      </c>
      <c r="D68" s="5">
        <v>4</v>
      </c>
      <c r="E68" s="5">
        <v>6</v>
      </c>
      <c r="F68" s="5">
        <v>5</v>
      </c>
      <c r="G68" s="5">
        <v>0.5</v>
      </c>
      <c r="H68" s="5">
        <v>5</v>
      </c>
      <c r="I68" s="5" t="s">
        <v>267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2">
      <c r="A69" s="5" t="s">
        <v>30</v>
      </c>
      <c r="B69" s="5" t="s">
        <v>272</v>
      </c>
      <c r="C69" s="5" t="s">
        <v>273</v>
      </c>
      <c r="D69" s="5">
        <v>2</v>
      </c>
      <c r="E69" s="5">
        <v>4</v>
      </c>
      <c r="F69" s="5">
        <v>3</v>
      </c>
      <c r="G69" s="5">
        <v>0.5</v>
      </c>
      <c r="H69" s="5">
        <v>6</v>
      </c>
      <c r="I69" s="5" t="s">
        <v>267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x14ac:dyDescent="0.2">
      <c r="A70" s="5" t="s">
        <v>31</v>
      </c>
      <c r="B70" s="5" t="s">
        <v>264</v>
      </c>
      <c r="C70" s="5" t="s">
        <v>197</v>
      </c>
      <c r="D70" s="5">
        <v>4</v>
      </c>
      <c r="E70" s="5">
        <v>7</v>
      </c>
      <c r="F70" s="5">
        <v>5</v>
      </c>
      <c r="G70" s="5">
        <v>1</v>
      </c>
      <c r="H70" s="5">
        <v>1</v>
      </c>
      <c r="I70" s="5" t="s">
        <v>265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x14ac:dyDescent="0.2">
      <c r="A71" s="5" t="s">
        <v>31</v>
      </c>
      <c r="B71" s="5" t="s">
        <v>297</v>
      </c>
      <c r="C71" s="5" t="s">
        <v>200</v>
      </c>
      <c r="D71" s="5">
        <v>10</v>
      </c>
      <c r="E71" s="5">
        <v>15</v>
      </c>
      <c r="F71" s="5">
        <v>12</v>
      </c>
      <c r="G71" s="5">
        <v>2</v>
      </c>
      <c r="H71" s="5">
        <v>2</v>
      </c>
      <c r="I71" s="5" t="s">
        <v>267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x14ac:dyDescent="0.2">
      <c r="A72" s="5" t="s">
        <v>31</v>
      </c>
      <c r="B72" s="5" t="s">
        <v>298</v>
      </c>
      <c r="C72" s="5" t="s">
        <v>200</v>
      </c>
      <c r="D72" s="5">
        <v>6</v>
      </c>
      <c r="E72" s="5">
        <v>10</v>
      </c>
      <c r="F72" s="5">
        <v>8</v>
      </c>
      <c r="G72" s="5">
        <v>1</v>
      </c>
      <c r="H72" s="5">
        <v>3</v>
      </c>
      <c r="I72" s="5" t="s">
        <v>267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x14ac:dyDescent="0.2">
      <c r="A73" s="5" t="s">
        <v>31</v>
      </c>
      <c r="B73" s="5" t="s">
        <v>299</v>
      </c>
      <c r="C73" s="5" t="s">
        <v>200</v>
      </c>
      <c r="D73" s="5">
        <v>3</v>
      </c>
      <c r="E73" s="5">
        <v>5</v>
      </c>
      <c r="F73" s="5">
        <v>4</v>
      </c>
      <c r="G73" s="5">
        <v>0.5</v>
      </c>
      <c r="H73" s="5">
        <v>4</v>
      </c>
      <c r="I73" s="5" t="s">
        <v>267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x14ac:dyDescent="0.2">
      <c r="A74" s="5" t="s">
        <v>31</v>
      </c>
      <c r="B74" s="5" t="s">
        <v>272</v>
      </c>
      <c r="C74" s="5" t="s">
        <v>273</v>
      </c>
      <c r="D74" s="5">
        <v>2</v>
      </c>
      <c r="E74" s="5">
        <v>3</v>
      </c>
      <c r="F74" s="5">
        <v>2.5</v>
      </c>
      <c r="G74" s="5">
        <v>0.5</v>
      </c>
      <c r="H74" s="5">
        <v>5</v>
      </c>
      <c r="I74" s="5" t="s">
        <v>267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2">
      <c r="A75" s="5" t="s">
        <v>117</v>
      </c>
      <c r="B75" s="5" t="s">
        <v>264</v>
      </c>
      <c r="C75" s="5" t="s">
        <v>197</v>
      </c>
      <c r="D75" s="5">
        <v>2</v>
      </c>
      <c r="E75" s="5">
        <v>4</v>
      </c>
      <c r="F75" s="5">
        <v>3</v>
      </c>
      <c r="G75" s="5">
        <v>0.5</v>
      </c>
      <c r="H75" s="5">
        <v>1</v>
      </c>
      <c r="I75" s="5" t="s">
        <v>265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x14ac:dyDescent="0.2">
      <c r="A76" s="5" t="s">
        <v>117</v>
      </c>
      <c r="B76" s="5" t="s">
        <v>297</v>
      </c>
      <c r="C76" s="5" t="s">
        <v>200</v>
      </c>
      <c r="D76" s="5">
        <v>5</v>
      </c>
      <c r="E76" s="5">
        <v>8</v>
      </c>
      <c r="F76" s="5">
        <v>6</v>
      </c>
      <c r="G76" s="5">
        <v>0.5</v>
      </c>
      <c r="H76" s="5">
        <v>2</v>
      </c>
      <c r="I76" s="5" t="s">
        <v>267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x14ac:dyDescent="0.2">
      <c r="A77" s="5" t="s">
        <v>117</v>
      </c>
      <c r="B77" s="5" t="s">
        <v>300</v>
      </c>
      <c r="C77" s="5" t="s">
        <v>200</v>
      </c>
      <c r="D77" s="5">
        <v>3</v>
      </c>
      <c r="E77" s="5">
        <v>5</v>
      </c>
      <c r="F77" s="5">
        <v>4</v>
      </c>
      <c r="G77" s="5">
        <v>0.5</v>
      </c>
      <c r="H77" s="5">
        <v>3</v>
      </c>
      <c r="I77" s="5" t="s">
        <v>267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x14ac:dyDescent="0.2">
      <c r="A78" s="5" t="s">
        <v>117</v>
      </c>
      <c r="B78" s="5" t="s">
        <v>272</v>
      </c>
      <c r="C78" s="5" t="s">
        <v>273</v>
      </c>
      <c r="D78" s="5">
        <v>1</v>
      </c>
      <c r="E78" s="5">
        <v>2</v>
      </c>
      <c r="F78" s="5">
        <v>1.5</v>
      </c>
      <c r="G78" s="5">
        <v>0.5</v>
      </c>
      <c r="H78" s="5">
        <v>4</v>
      </c>
      <c r="I78" s="5" t="s">
        <v>267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x14ac:dyDescent="0.2">
      <c r="A79" s="5" t="s">
        <v>123</v>
      </c>
      <c r="B79" s="5" t="s">
        <v>264</v>
      </c>
      <c r="C79" s="5" t="s">
        <v>197</v>
      </c>
      <c r="D79" s="5">
        <v>4</v>
      </c>
      <c r="E79" s="5">
        <v>7</v>
      </c>
      <c r="F79" s="5">
        <v>5</v>
      </c>
      <c r="G79" s="5">
        <v>1</v>
      </c>
      <c r="H79" s="5">
        <v>1</v>
      </c>
      <c r="I79" s="5" t="s">
        <v>265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x14ac:dyDescent="0.2">
      <c r="A80" s="5" t="s">
        <v>123</v>
      </c>
      <c r="B80" s="5" t="s">
        <v>301</v>
      </c>
      <c r="C80" s="5" t="s">
        <v>200</v>
      </c>
      <c r="D80" s="5">
        <v>8</v>
      </c>
      <c r="E80" s="5">
        <v>13</v>
      </c>
      <c r="F80" s="5">
        <v>10</v>
      </c>
      <c r="G80" s="5">
        <v>2</v>
      </c>
      <c r="H80" s="5">
        <v>2</v>
      </c>
      <c r="I80" s="5" t="s">
        <v>267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x14ac:dyDescent="0.2">
      <c r="A81" s="5" t="s">
        <v>123</v>
      </c>
      <c r="B81" s="5" t="s">
        <v>302</v>
      </c>
      <c r="C81" s="5" t="s">
        <v>200</v>
      </c>
      <c r="D81" s="5">
        <v>7</v>
      </c>
      <c r="E81" s="5">
        <v>12</v>
      </c>
      <c r="F81" s="5">
        <v>9</v>
      </c>
      <c r="G81" s="5">
        <v>1</v>
      </c>
      <c r="H81" s="5">
        <v>3</v>
      </c>
      <c r="I81" s="5" t="s">
        <v>267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x14ac:dyDescent="0.2">
      <c r="A82" s="5" t="s">
        <v>123</v>
      </c>
      <c r="B82" s="5" t="s">
        <v>303</v>
      </c>
      <c r="C82" s="5" t="s">
        <v>200</v>
      </c>
      <c r="D82" s="5">
        <v>5</v>
      </c>
      <c r="E82" s="5">
        <v>8</v>
      </c>
      <c r="F82" s="5">
        <v>6</v>
      </c>
      <c r="G82" s="5">
        <v>0.5</v>
      </c>
      <c r="H82" s="5">
        <v>4</v>
      </c>
      <c r="I82" s="5" t="s">
        <v>267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x14ac:dyDescent="0.2">
      <c r="A83" s="5" t="s">
        <v>123</v>
      </c>
      <c r="B83" s="5" t="s">
        <v>272</v>
      </c>
      <c r="C83" s="5" t="s">
        <v>273</v>
      </c>
      <c r="D83" s="5">
        <v>3</v>
      </c>
      <c r="E83" s="5">
        <v>5</v>
      </c>
      <c r="F83" s="5">
        <v>4</v>
      </c>
      <c r="G83" s="5">
        <v>0.5</v>
      </c>
      <c r="H83" s="5">
        <v>5</v>
      </c>
      <c r="I83" s="5" t="s">
        <v>267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x14ac:dyDescent="0.2">
      <c r="A84" s="5" t="s">
        <v>129</v>
      </c>
      <c r="B84" s="5" t="s">
        <v>264</v>
      </c>
      <c r="C84" s="5" t="s">
        <v>197</v>
      </c>
      <c r="D84" s="5">
        <v>3</v>
      </c>
      <c r="E84" s="5">
        <v>5</v>
      </c>
      <c r="F84" s="5">
        <v>4</v>
      </c>
      <c r="G84" s="5">
        <v>1</v>
      </c>
      <c r="H84" s="5">
        <v>1</v>
      </c>
      <c r="I84" s="5" t="s">
        <v>265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x14ac:dyDescent="0.2">
      <c r="A85" s="5" t="s">
        <v>129</v>
      </c>
      <c r="B85" s="5" t="s">
        <v>297</v>
      </c>
      <c r="C85" s="5" t="s">
        <v>200</v>
      </c>
      <c r="D85" s="5">
        <v>6</v>
      </c>
      <c r="E85" s="5">
        <v>10</v>
      </c>
      <c r="F85" s="5">
        <v>8</v>
      </c>
      <c r="G85" s="5">
        <v>1</v>
      </c>
      <c r="H85" s="5">
        <v>2</v>
      </c>
      <c r="I85" s="5" t="s">
        <v>267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x14ac:dyDescent="0.2">
      <c r="A86" s="5" t="s">
        <v>129</v>
      </c>
      <c r="B86" s="5" t="s">
        <v>304</v>
      </c>
      <c r="C86" s="5" t="s">
        <v>200</v>
      </c>
      <c r="D86" s="5">
        <v>3</v>
      </c>
      <c r="E86" s="5">
        <v>5</v>
      </c>
      <c r="F86" s="5">
        <v>4</v>
      </c>
      <c r="G86" s="5">
        <v>0.5</v>
      </c>
      <c r="H86" s="5">
        <v>3</v>
      </c>
      <c r="I86" s="5" t="s">
        <v>267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x14ac:dyDescent="0.2">
      <c r="A87" s="5" t="s">
        <v>129</v>
      </c>
      <c r="B87" s="5" t="s">
        <v>272</v>
      </c>
      <c r="C87" s="5" t="s">
        <v>273</v>
      </c>
      <c r="D87" s="5">
        <v>1</v>
      </c>
      <c r="E87" s="5">
        <v>3</v>
      </c>
      <c r="F87" s="5">
        <v>2</v>
      </c>
      <c r="G87" s="5">
        <v>0.5</v>
      </c>
      <c r="H87" s="5">
        <v>4</v>
      </c>
      <c r="I87" s="5" t="s">
        <v>267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x14ac:dyDescent="0.2">
      <c r="A88" s="5" t="s">
        <v>134</v>
      </c>
      <c r="B88" s="5" t="s">
        <v>264</v>
      </c>
      <c r="C88" s="5" t="s">
        <v>197</v>
      </c>
      <c r="D88" s="5">
        <v>5</v>
      </c>
      <c r="E88" s="5">
        <v>8</v>
      </c>
      <c r="F88" s="5">
        <v>6</v>
      </c>
      <c r="G88" s="5">
        <v>1</v>
      </c>
      <c r="H88" s="5">
        <v>1</v>
      </c>
      <c r="I88" s="5" t="s">
        <v>265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x14ac:dyDescent="0.2">
      <c r="A89" s="5" t="s">
        <v>134</v>
      </c>
      <c r="B89" s="5" t="s">
        <v>280</v>
      </c>
      <c r="C89" s="5" t="s">
        <v>200</v>
      </c>
      <c r="D89" s="5">
        <v>9</v>
      </c>
      <c r="E89" s="5">
        <v>14</v>
      </c>
      <c r="F89" s="5">
        <v>11</v>
      </c>
      <c r="G89" s="5">
        <v>2</v>
      </c>
      <c r="H89" s="5">
        <v>2</v>
      </c>
      <c r="I89" s="5" t="s">
        <v>267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x14ac:dyDescent="0.2">
      <c r="A90" s="5" t="s">
        <v>134</v>
      </c>
      <c r="B90" s="5" t="s">
        <v>305</v>
      </c>
      <c r="C90" s="5" t="s">
        <v>200</v>
      </c>
      <c r="D90" s="5">
        <v>5</v>
      </c>
      <c r="E90" s="5">
        <v>8</v>
      </c>
      <c r="F90" s="5">
        <v>6</v>
      </c>
      <c r="G90" s="5">
        <v>1</v>
      </c>
      <c r="H90" s="5">
        <v>3</v>
      </c>
      <c r="I90" s="5" t="s">
        <v>267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2">
      <c r="A91" s="5" t="s">
        <v>134</v>
      </c>
      <c r="B91" s="5" t="s">
        <v>277</v>
      </c>
      <c r="C91" s="5" t="s">
        <v>238</v>
      </c>
      <c r="D91" s="5">
        <v>2</v>
      </c>
      <c r="E91" s="5">
        <v>4</v>
      </c>
      <c r="F91" s="5">
        <v>3</v>
      </c>
      <c r="G91" s="5">
        <v>0.5</v>
      </c>
      <c r="H91" s="5">
        <v>4</v>
      </c>
      <c r="I91" s="5" t="s">
        <v>267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x14ac:dyDescent="0.2">
      <c r="A92" s="5" t="s">
        <v>134</v>
      </c>
      <c r="B92" s="5" t="s">
        <v>272</v>
      </c>
      <c r="C92" s="5" t="s">
        <v>273</v>
      </c>
      <c r="D92" s="5">
        <v>2</v>
      </c>
      <c r="E92" s="5">
        <v>4</v>
      </c>
      <c r="F92" s="5">
        <v>3</v>
      </c>
      <c r="G92" s="5">
        <v>0.5</v>
      </c>
      <c r="H92" s="5">
        <v>5</v>
      </c>
      <c r="I92" s="5" t="s">
        <v>267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"/>
  <sheetViews>
    <sheetView zoomScaleNormal="150" zoomScaleSheetLayoutView="100" workbookViewId="0"/>
  </sheetViews>
  <sheetFormatPr defaultRowHeight="15" x14ac:dyDescent="0.2"/>
  <cols>
    <col min="1" max="1" width="7.6640625" customWidth="1"/>
    <col min="2" max="2" width="27.98046875" customWidth="1"/>
    <col min="3" max="3" width="12.9140625" customWidth="1"/>
    <col min="4" max="4" width="7.12890625" customWidth="1"/>
    <col min="5" max="5" width="19.37109375" customWidth="1"/>
    <col min="6" max="6" width="22.46484375" customWidth="1"/>
    <col min="7" max="7" width="23" customWidth="1"/>
    <col min="8" max="8" width="17.21875" customWidth="1"/>
    <col min="9" max="9" width="16.41015625" customWidth="1"/>
    <col min="10" max="10" width="18.4296875" customWidth="1"/>
    <col min="11" max="11" width="17.484375" customWidth="1"/>
    <col min="12" max="12" width="10.35546875" customWidth="1"/>
  </cols>
  <sheetData>
    <row r="1" spans="1:19" ht="27.95" customHeight="1" x14ac:dyDescent="0.2">
      <c r="A1" s="4" t="s">
        <v>306</v>
      </c>
      <c r="B1" s="4" t="s">
        <v>307</v>
      </c>
      <c r="C1" s="4" t="s">
        <v>308</v>
      </c>
      <c r="D1" s="4" t="s">
        <v>309</v>
      </c>
      <c r="E1" s="4" t="s">
        <v>310</v>
      </c>
      <c r="F1" s="4" t="s">
        <v>311</v>
      </c>
      <c r="G1" s="4" t="s">
        <v>312</v>
      </c>
      <c r="H1" s="4" t="s">
        <v>313</v>
      </c>
      <c r="I1" s="4" t="s">
        <v>314</v>
      </c>
      <c r="J1" s="4" t="s">
        <v>315</v>
      </c>
      <c r="K1" s="4" t="s">
        <v>316</v>
      </c>
      <c r="L1" s="4" t="s">
        <v>317</v>
      </c>
      <c r="M1" s="4"/>
      <c r="N1" s="4"/>
      <c r="O1" s="4"/>
      <c r="P1" s="4"/>
      <c r="Q1" s="4"/>
      <c r="R1" s="4"/>
      <c r="S1" s="4"/>
    </row>
    <row r="2" spans="1:19" x14ac:dyDescent="0.2">
      <c r="A2" s="5" t="s">
        <v>179</v>
      </c>
      <c r="B2" s="5" t="s">
        <v>318</v>
      </c>
      <c r="C2" s="5" t="s">
        <v>319</v>
      </c>
      <c r="D2" s="5" t="s">
        <v>320</v>
      </c>
      <c r="E2" s="5">
        <v>55</v>
      </c>
      <c r="F2" s="5">
        <v>8</v>
      </c>
      <c r="G2" s="5">
        <v>5</v>
      </c>
      <c r="H2" s="8">
        <v>0.84</v>
      </c>
      <c r="I2" s="8">
        <v>0.92</v>
      </c>
      <c r="J2" s="5">
        <v>48</v>
      </c>
      <c r="K2" s="5" t="s">
        <v>321</v>
      </c>
      <c r="L2" s="5" t="s">
        <v>322</v>
      </c>
      <c r="M2" s="5"/>
      <c r="N2" s="5"/>
      <c r="O2" s="5"/>
      <c r="P2" s="5"/>
      <c r="Q2" s="5"/>
      <c r="R2" s="5"/>
      <c r="S2" s="5"/>
    </row>
    <row r="3" spans="1:19" x14ac:dyDescent="0.2">
      <c r="A3" s="5" t="s">
        <v>195</v>
      </c>
      <c r="B3" s="5" t="s">
        <v>323</v>
      </c>
      <c r="C3" s="5" t="s">
        <v>324</v>
      </c>
      <c r="D3" s="5" t="s">
        <v>325</v>
      </c>
      <c r="E3" s="5">
        <v>80</v>
      </c>
      <c r="F3" s="5">
        <v>8</v>
      </c>
      <c r="G3" s="5">
        <v>5</v>
      </c>
      <c r="H3" s="8">
        <v>0.81</v>
      </c>
      <c r="I3" s="8">
        <v>0.9</v>
      </c>
      <c r="J3" s="5">
        <v>48</v>
      </c>
      <c r="K3" s="5" t="s">
        <v>326</v>
      </c>
      <c r="L3" s="5" t="s">
        <v>327</v>
      </c>
      <c r="M3" s="5"/>
      <c r="N3" s="5"/>
      <c r="O3" s="5"/>
      <c r="P3" s="5"/>
      <c r="Q3" s="5"/>
      <c r="R3" s="5"/>
      <c r="S3" s="5"/>
    </row>
    <row r="4" spans="1:19" x14ac:dyDescent="0.2">
      <c r="A4" s="5" t="s">
        <v>155</v>
      </c>
      <c r="B4" s="5" t="s">
        <v>328</v>
      </c>
      <c r="C4" s="5" t="s">
        <v>329</v>
      </c>
      <c r="D4" s="5" t="s">
        <v>330</v>
      </c>
      <c r="E4" s="5">
        <v>70</v>
      </c>
      <c r="F4" s="5">
        <v>8</v>
      </c>
      <c r="G4" s="5">
        <v>5</v>
      </c>
      <c r="H4" s="8">
        <v>0.82</v>
      </c>
      <c r="I4" s="8">
        <v>0.9</v>
      </c>
      <c r="J4" s="5">
        <v>48</v>
      </c>
      <c r="K4" s="5" t="s">
        <v>321</v>
      </c>
      <c r="L4" s="5" t="s">
        <v>322</v>
      </c>
      <c r="M4" s="5"/>
      <c r="N4" s="5"/>
      <c r="O4" s="5"/>
      <c r="P4" s="5"/>
      <c r="Q4" s="5"/>
      <c r="R4" s="5"/>
      <c r="S4" s="5"/>
    </row>
    <row r="5" spans="1:19" x14ac:dyDescent="0.2">
      <c r="A5" s="5" t="s">
        <v>165</v>
      </c>
      <c r="B5" s="5" t="s">
        <v>331</v>
      </c>
      <c r="C5" s="5" t="s">
        <v>332</v>
      </c>
      <c r="D5" s="5" t="s">
        <v>333</v>
      </c>
      <c r="E5" s="5">
        <v>95</v>
      </c>
      <c r="F5" s="5">
        <v>8</v>
      </c>
      <c r="G5" s="5">
        <v>5</v>
      </c>
      <c r="H5" s="8">
        <v>0.78</v>
      </c>
      <c r="I5" s="8">
        <v>0.89</v>
      </c>
      <c r="J5" s="5">
        <v>48</v>
      </c>
      <c r="K5" s="5" t="s">
        <v>321</v>
      </c>
      <c r="L5" s="5" t="s">
        <v>327</v>
      </c>
      <c r="M5" s="5"/>
      <c r="N5" s="5"/>
      <c r="O5" s="5"/>
      <c r="P5" s="5"/>
      <c r="Q5" s="5"/>
      <c r="R5" s="5"/>
      <c r="S5" s="5"/>
    </row>
    <row r="6" spans="1:19" x14ac:dyDescent="0.2">
      <c r="A6" s="5" t="s">
        <v>212</v>
      </c>
      <c r="B6" s="5" t="s">
        <v>334</v>
      </c>
      <c r="C6" s="5" t="s">
        <v>335</v>
      </c>
      <c r="D6" s="5" t="s">
        <v>336</v>
      </c>
      <c r="E6" s="5">
        <v>42</v>
      </c>
      <c r="F6" s="5">
        <v>8</v>
      </c>
      <c r="G6" s="5">
        <v>5</v>
      </c>
      <c r="H6" s="8">
        <v>0.79</v>
      </c>
      <c r="I6" s="8">
        <v>0.88</v>
      </c>
      <c r="J6" s="5">
        <v>45</v>
      </c>
      <c r="K6" s="5" t="s">
        <v>321</v>
      </c>
      <c r="L6" s="5" t="s">
        <v>322</v>
      </c>
      <c r="M6" s="5"/>
      <c r="N6" s="5"/>
      <c r="O6" s="5"/>
      <c r="P6" s="5"/>
      <c r="Q6" s="5"/>
      <c r="R6" s="5"/>
      <c r="S6" s="5"/>
    </row>
    <row r="7" spans="1:19" x14ac:dyDescent="0.2">
      <c r="A7" s="5" t="s">
        <v>202</v>
      </c>
      <c r="B7" s="5" t="s">
        <v>337</v>
      </c>
      <c r="C7" s="5" t="s">
        <v>338</v>
      </c>
      <c r="D7" s="5" t="s">
        <v>339</v>
      </c>
      <c r="E7" s="5">
        <v>110</v>
      </c>
      <c r="F7" s="5">
        <v>8</v>
      </c>
      <c r="G7" s="5">
        <v>5</v>
      </c>
      <c r="H7" s="8">
        <v>0.76</v>
      </c>
      <c r="I7" s="8">
        <v>0.87</v>
      </c>
      <c r="J7" s="5">
        <v>48</v>
      </c>
      <c r="K7" s="5" t="s">
        <v>326</v>
      </c>
      <c r="L7" s="5" t="s">
        <v>327</v>
      </c>
      <c r="M7" s="5"/>
      <c r="N7" s="5"/>
      <c r="O7" s="5"/>
      <c r="P7" s="5"/>
      <c r="Q7" s="5"/>
      <c r="R7" s="5"/>
      <c r="S7" s="5"/>
    </row>
    <row r="8" spans="1:19" x14ac:dyDescent="0.2">
      <c r="A8" s="5" t="s">
        <v>186</v>
      </c>
      <c r="B8" s="5" t="s">
        <v>340</v>
      </c>
      <c r="C8" s="5" t="s">
        <v>341</v>
      </c>
      <c r="D8" s="5" t="s">
        <v>341</v>
      </c>
      <c r="E8" s="5">
        <v>180</v>
      </c>
      <c r="F8" s="5">
        <v>8</v>
      </c>
      <c r="G8" s="5">
        <v>5</v>
      </c>
      <c r="H8" s="8">
        <v>0.8</v>
      </c>
      <c r="I8" s="8">
        <v>0.91</v>
      </c>
      <c r="J8" s="5">
        <v>48</v>
      </c>
      <c r="K8" s="5" t="s">
        <v>326</v>
      </c>
      <c r="L8" s="5" t="s">
        <v>327</v>
      </c>
      <c r="M8" s="5"/>
      <c r="N8" s="5"/>
      <c r="O8" s="5"/>
      <c r="P8" s="5"/>
      <c r="Q8" s="5"/>
      <c r="R8" s="5"/>
      <c r="S8" s="5"/>
    </row>
    <row r="9" spans="1:19" x14ac:dyDescent="0.2">
      <c r="A9" s="5" t="s">
        <v>175</v>
      </c>
      <c r="B9" s="5" t="s">
        <v>342</v>
      </c>
      <c r="C9" s="5" t="s">
        <v>343</v>
      </c>
      <c r="D9" s="5" t="s">
        <v>344</v>
      </c>
      <c r="E9" s="5">
        <v>140</v>
      </c>
      <c r="F9" s="5">
        <v>8</v>
      </c>
      <c r="G9" s="5">
        <v>5</v>
      </c>
      <c r="H9" s="8">
        <v>0.77</v>
      </c>
      <c r="I9" s="8">
        <v>0.88</v>
      </c>
      <c r="J9" s="5">
        <v>48</v>
      </c>
      <c r="K9" s="5" t="s">
        <v>326</v>
      </c>
      <c r="L9" s="5" t="s">
        <v>327</v>
      </c>
      <c r="M9" s="5"/>
      <c r="N9" s="5"/>
      <c r="O9" s="5"/>
      <c r="P9" s="5"/>
      <c r="Q9" s="5"/>
      <c r="R9" s="5"/>
      <c r="S9" s="5"/>
    </row>
    <row r="10" spans="1:19" x14ac:dyDescent="0.2">
      <c r="A10" s="5" t="s">
        <v>189</v>
      </c>
      <c r="B10" s="5" t="s">
        <v>345</v>
      </c>
      <c r="C10" s="5" t="s">
        <v>346</v>
      </c>
      <c r="D10" s="5" t="s">
        <v>346</v>
      </c>
      <c r="E10" s="5">
        <v>260</v>
      </c>
      <c r="F10" s="5">
        <v>8</v>
      </c>
      <c r="G10" s="5">
        <v>6</v>
      </c>
      <c r="H10" s="8">
        <v>0.82</v>
      </c>
      <c r="I10" s="8">
        <v>0.9</v>
      </c>
      <c r="J10" s="5">
        <v>54</v>
      </c>
      <c r="K10" s="5" t="s">
        <v>326</v>
      </c>
      <c r="L10" s="5" t="s">
        <v>347</v>
      </c>
      <c r="M10" s="5"/>
      <c r="N10" s="5"/>
      <c r="O10" s="5"/>
      <c r="P10" s="5"/>
      <c r="Q10" s="5"/>
      <c r="R10" s="5"/>
      <c r="S10" s="5"/>
    </row>
    <row r="11" spans="1:19" x14ac:dyDescent="0.2">
      <c r="A11" s="5" t="s">
        <v>209</v>
      </c>
      <c r="B11" s="5" t="s">
        <v>348</v>
      </c>
      <c r="C11" s="5" t="s">
        <v>349</v>
      </c>
      <c r="D11" s="5" t="s">
        <v>349</v>
      </c>
      <c r="E11" s="5">
        <v>210</v>
      </c>
      <c r="F11" s="5">
        <v>8</v>
      </c>
      <c r="G11" s="5">
        <v>5</v>
      </c>
      <c r="H11" s="8">
        <v>0.79</v>
      </c>
      <c r="I11" s="8">
        <v>0.89</v>
      </c>
      <c r="J11" s="5">
        <v>48</v>
      </c>
      <c r="K11" s="5" t="s">
        <v>326</v>
      </c>
      <c r="L11" s="5" t="s">
        <v>327</v>
      </c>
      <c r="M11" s="5"/>
      <c r="N11" s="5"/>
      <c r="O11" s="5"/>
      <c r="P11" s="5"/>
      <c r="Q11" s="5"/>
      <c r="R11" s="5"/>
      <c r="S11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9"/>
  <sheetViews>
    <sheetView zoomScaleNormal="150" zoomScaleSheetLayoutView="100" workbookViewId="0">
      <selection activeCell="L51" sqref="L51"/>
    </sheetView>
  </sheetViews>
  <sheetFormatPr defaultRowHeight="15" x14ac:dyDescent="0.2"/>
  <cols>
    <col min="1" max="1" width="7.6640625" customWidth="1"/>
    <col min="2" max="2" width="8.203125" customWidth="1"/>
    <col min="3" max="3" width="12.10546875" customWidth="1"/>
    <col min="4" max="4" width="16.54296875" customWidth="1"/>
    <col min="5" max="5" width="10.4921875" customWidth="1"/>
    <col min="6" max="6" width="10.35546875" customWidth="1"/>
    <col min="7" max="7" width="11.8359375" customWidth="1"/>
    <col min="8" max="8" width="15.46875" customWidth="1"/>
    <col min="9" max="9" width="10.35546875" customWidth="1"/>
    <col min="10" max="10" width="8.47265625" customWidth="1"/>
    <col min="11" max="11" width="17.484375" customWidth="1"/>
    <col min="12" max="12" width="21.7890625" customWidth="1"/>
    <col min="13" max="13" width="16.8125" customWidth="1"/>
    <col min="14" max="14" width="25.69140625" customWidth="1"/>
  </cols>
  <sheetData>
    <row r="1" spans="1:25" ht="27.95" customHeight="1" x14ac:dyDescent="0.2">
      <c r="A1" s="4" t="s">
        <v>306</v>
      </c>
      <c r="B1" s="4" t="s">
        <v>350</v>
      </c>
      <c r="C1" s="4" t="s">
        <v>257</v>
      </c>
      <c r="D1" s="4" t="s">
        <v>351</v>
      </c>
      <c r="E1" s="4" t="s">
        <v>352</v>
      </c>
      <c r="F1" s="4" t="s">
        <v>353</v>
      </c>
      <c r="G1" s="4" t="s">
        <v>354</v>
      </c>
      <c r="H1" s="4" t="s">
        <v>355</v>
      </c>
      <c r="I1" s="4" t="s">
        <v>356</v>
      </c>
      <c r="J1" s="4" t="s">
        <v>357</v>
      </c>
      <c r="K1" s="4" t="s">
        <v>316</v>
      </c>
      <c r="L1" s="4" t="s">
        <v>358</v>
      </c>
      <c r="M1" s="4" t="s">
        <v>359</v>
      </c>
      <c r="N1" s="4" t="s">
        <v>360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5" t="s">
        <v>179</v>
      </c>
      <c r="B2" s="5" t="s">
        <v>361</v>
      </c>
      <c r="C2" s="5" t="s">
        <v>197</v>
      </c>
      <c r="D2" s="5" t="s">
        <v>26</v>
      </c>
      <c r="E2" s="5">
        <v>2</v>
      </c>
      <c r="F2" s="5">
        <v>1</v>
      </c>
      <c r="G2" s="5">
        <v>8</v>
      </c>
      <c r="H2" s="5">
        <v>5</v>
      </c>
      <c r="I2" s="8">
        <v>0.84</v>
      </c>
      <c r="J2" s="8">
        <v>0.92</v>
      </c>
      <c r="K2" s="5" t="s">
        <v>321</v>
      </c>
      <c r="L2" s="11">
        <f>G2*H2</f>
        <v>40</v>
      </c>
      <c r="M2" s="11">
        <f>E2*G2*60</f>
        <v>960</v>
      </c>
      <c r="N2" s="11">
        <f>M2*I2*J2</f>
        <v>741.88800000000003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 s="5" t="s">
        <v>179</v>
      </c>
      <c r="B3" s="5" t="s">
        <v>180</v>
      </c>
      <c r="C3" s="5" t="s">
        <v>200</v>
      </c>
      <c r="D3" s="5" t="s">
        <v>31</v>
      </c>
      <c r="E3" s="5">
        <v>5</v>
      </c>
      <c r="F3" s="5">
        <v>5</v>
      </c>
      <c r="G3" s="5">
        <v>8</v>
      </c>
      <c r="H3" s="5">
        <v>5</v>
      </c>
      <c r="I3" s="8">
        <v>0.84</v>
      </c>
      <c r="J3" s="8">
        <v>0.92</v>
      </c>
      <c r="K3" s="5" t="s">
        <v>321</v>
      </c>
      <c r="L3" s="11">
        <f>G3*H3</f>
        <v>40</v>
      </c>
      <c r="M3" s="11">
        <f>E3*G3*60</f>
        <v>2400</v>
      </c>
      <c r="N3" s="11">
        <f>M3*I3*J3</f>
        <v>1854.72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">
      <c r="A4" s="5" t="s">
        <v>179</v>
      </c>
      <c r="B4" s="5" t="s">
        <v>362</v>
      </c>
      <c r="C4" s="5" t="s">
        <v>238</v>
      </c>
      <c r="D4" s="5" t="s">
        <v>31</v>
      </c>
      <c r="E4" s="5">
        <v>2</v>
      </c>
      <c r="F4" s="5">
        <v>2</v>
      </c>
      <c r="G4" s="5">
        <v>8</v>
      </c>
      <c r="H4" s="5">
        <v>5</v>
      </c>
      <c r="I4" s="8">
        <v>0.84</v>
      </c>
      <c r="J4" s="8">
        <v>0.92</v>
      </c>
      <c r="K4" s="5" t="s">
        <v>321</v>
      </c>
      <c r="L4" s="11">
        <f>G4*H4</f>
        <v>40</v>
      </c>
      <c r="M4" s="11">
        <f>E4*G4*60</f>
        <v>960</v>
      </c>
      <c r="N4" s="11">
        <f>M4*I4*J4</f>
        <v>741.88800000000003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">
      <c r="A5" s="5" t="s">
        <v>179</v>
      </c>
      <c r="B5" s="5" t="s">
        <v>363</v>
      </c>
      <c r="C5" s="5" t="s">
        <v>273</v>
      </c>
      <c r="D5" s="5" t="s">
        <v>25</v>
      </c>
      <c r="E5" s="5">
        <v>4</v>
      </c>
      <c r="F5" s="5">
        <v>0</v>
      </c>
      <c r="G5" s="5">
        <v>8</v>
      </c>
      <c r="H5" s="5">
        <v>5</v>
      </c>
      <c r="I5" s="8">
        <v>0.84</v>
      </c>
      <c r="J5" s="8">
        <v>0.92</v>
      </c>
      <c r="K5" s="5" t="s">
        <v>321</v>
      </c>
      <c r="L5" s="11">
        <f>G5*H5</f>
        <v>40</v>
      </c>
      <c r="M5" s="11">
        <f>E5*G5*60</f>
        <v>1920</v>
      </c>
      <c r="N5" s="11">
        <f>M5*I5*J5</f>
        <v>1483.7760000000001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5" t="s">
        <v>179</v>
      </c>
      <c r="B6" s="5" t="s">
        <v>364</v>
      </c>
      <c r="C6" s="5" t="s">
        <v>365</v>
      </c>
      <c r="D6" s="5" t="s">
        <v>29</v>
      </c>
      <c r="E6" s="5">
        <v>5</v>
      </c>
      <c r="F6" s="5">
        <v>3</v>
      </c>
      <c r="G6" s="5">
        <v>8</v>
      </c>
      <c r="H6" s="5">
        <v>5</v>
      </c>
      <c r="I6" s="8">
        <v>0.84</v>
      </c>
      <c r="J6" s="8">
        <v>0.92</v>
      </c>
      <c r="K6" s="5" t="s">
        <v>321</v>
      </c>
      <c r="L6" s="11">
        <f>G6*H6</f>
        <v>40</v>
      </c>
      <c r="M6" s="11">
        <f>E6*G6*60</f>
        <v>2400</v>
      </c>
      <c r="N6" s="11">
        <f>M6*I6*J6</f>
        <v>1854.72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">
      <c r="A7" s="5" t="s">
        <v>195</v>
      </c>
      <c r="B7" s="5" t="s">
        <v>366</v>
      </c>
      <c r="C7" s="5" t="s">
        <v>197</v>
      </c>
      <c r="D7" s="5" t="s">
        <v>29</v>
      </c>
      <c r="E7" s="5">
        <v>2</v>
      </c>
      <c r="F7" s="5">
        <v>1</v>
      </c>
      <c r="G7" s="5">
        <v>8</v>
      </c>
      <c r="H7" s="5">
        <v>5</v>
      </c>
      <c r="I7" s="8">
        <v>0.81</v>
      </c>
      <c r="J7" s="8">
        <v>0.9</v>
      </c>
      <c r="K7" s="5" t="s">
        <v>326</v>
      </c>
      <c r="L7" s="11">
        <f>G7*H7</f>
        <v>40</v>
      </c>
      <c r="M7" s="11">
        <f>E7*G7*60</f>
        <v>960</v>
      </c>
      <c r="N7" s="11">
        <f>M7*I7*J7</f>
        <v>699.84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">
      <c r="A8" s="5" t="s">
        <v>195</v>
      </c>
      <c r="B8" s="5" t="s">
        <v>196</v>
      </c>
      <c r="C8" s="5" t="s">
        <v>200</v>
      </c>
      <c r="D8" s="5" t="s">
        <v>28</v>
      </c>
      <c r="E8" s="5">
        <v>6</v>
      </c>
      <c r="F8" s="5">
        <v>6</v>
      </c>
      <c r="G8" s="5">
        <v>8</v>
      </c>
      <c r="H8" s="5">
        <v>5</v>
      </c>
      <c r="I8" s="8">
        <v>0.81</v>
      </c>
      <c r="J8" s="8">
        <v>0.9</v>
      </c>
      <c r="K8" s="5" t="s">
        <v>326</v>
      </c>
      <c r="L8" s="11">
        <f>G8*H8</f>
        <v>40</v>
      </c>
      <c r="M8" s="11">
        <f>E8*G8*60</f>
        <v>2880</v>
      </c>
      <c r="N8" s="11">
        <f>M8*I8*J8</f>
        <v>2099.5200000000004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">
      <c r="A9" s="5" t="s">
        <v>195</v>
      </c>
      <c r="B9" s="5" t="s">
        <v>367</v>
      </c>
      <c r="C9" s="5" t="s">
        <v>238</v>
      </c>
      <c r="D9" s="5" t="s">
        <v>24</v>
      </c>
      <c r="E9" s="5">
        <v>2</v>
      </c>
      <c r="F9" s="5">
        <v>2</v>
      </c>
      <c r="G9" s="5">
        <v>8</v>
      </c>
      <c r="H9" s="5">
        <v>5</v>
      </c>
      <c r="I9" s="8">
        <v>0.81</v>
      </c>
      <c r="J9" s="8">
        <v>0.9</v>
      </c>
      <c r="K9" s="5" t="s">
        <v>326</v>
      </c>
      <c r="L9" s="11">
        <f>G9*H9</f>
        <v>40</v>
      </c>
      <c r="M9" s="11">
        <f>E9*G9*60</f>
        <v>960</v>
      </c>
      <c r="N9" s="11">
        <f>M9*I9*J9</f>
        <v>699.84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">
      <c r="A10" s="5" t="s">
        <v>195</v>
      </c>
      <c r="B10" s="5" t="s">
        <v>368</v>
      </c>
      <c r="C10" s="5" t="s">
        <v>273</v>
      </c>
      <c r="D10" s="5" t="s">
        <v>29</v>
      </c>
      <c r="E10" s="5">
        <v>4</v>
      </c>
      <c r="F10" s="5">
        <v>0</v>
      </c>
      <c r="G10" s="5">
        <v>8</v>
      </c>
      <c r="H10" s="5">
        <v>5</v>
      </c>
      <c r="I10" s="8">
        <v>0.81</v>
      </c>
      <c r="J10" s="8">
        <v>0.9</v>
      </c>
      <c r="K10" s="5" t="s">
        <v>326</v>
      </c>
      <c r="L10" s="11">
        <f>G10*H10</f>
        <v>40</v>
      </c>
      <c r="M10" s="11">
        <f>E10*G10*60</f>
        <v>1920</v>
      </c>
      <c r="N10" s="11">
        <f>M10*I10*J10</f>
        <v>1399.68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">
      <c r="A11" s="5" t="s">
        <v>155</v>
      </c>
      <c r="B11" s="5" t="s">
        <v>369</v>
      </c>
      <c r="C11" s="5" t="s">
        <v>197</v>
      </c>
      <c r="D11" s="5" t="s">
        <v>30</v>
      </c>
      <c r="E11" s="5">
        <v>3</v>
      </c>
      <c r="F11" s="5">
        <v>1</v>
      </c>
      <c r="G11" s="5">
        <v>8</v>
      </c>
      <c r="H11" s="5">
        <v>5</v>
      </c>
      <c r="I11" s="8">
        <v>0.82</v>
      </c>
      <c r="J11" s="8">
        <v>0.9</v>
      </c>
      <c r="K11" s="5" t="s">
        <v>321</v>
      </c>
      <c r="L11" s="11">
        <f>G11*H11</f>
        <v>40</v>
      </c>
      <c r="M11" s="11">
        <f>E11*G11*60</f>
        <v>1440</v>
      </c>
      <c r="N11" s="11">
        <f>M11*I11*J11</f>
        <v>1062.72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">
      <c r="A12" s="5" t="s">
        <v>155</v>
      </c>
      <c r="B12" s="5" t="s">
        <v>156</v>
      </c>
      <c r="C12" s="5" t="s">
        <v>200</v>
      </c>
      <c r="D12" s="5" t="s">
        <v>28</v>
      </c>
      <c r="E12" s="5">
        <v>5</v>
      </c>
      <c r="F12" s="5">
        <v>3</v>
      </c>
      <c r="G12" s="5">
        <v>8</v>
      </c>
      <c r="H12" s="5">
        <v>5</v>
      </c>
      <c r="I12" s="8">
        <v>0.82</v>
      </c>
      <c r="J12" s="8">
        <v>0.9</v>
      </c>
      <c r="K12" s="5" t="s">
        <v>321</v>
      </c>
      <c r="L12" s="11">
        <f>G12*H12</f>
        <v>40</v>
      </c>
      <c r="M12" s="11">
        <f>E12*G12*60</f>
        <v>2400</v>
      </c>
      <c r="N12" s="11">
        <f>M12*I12*J12</f>
        <v>1771.1999999999998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">
      <c r="A13" s="5" t="s">
        <v>155</v>
      </c>
      <c r="B13" s="5" t="s">
        <v>370</v>
      </c>
      <c r="C13" s="5" t="s">
        <v>238</v>
      </c>
      <c r="D13" s="5" t="s">
        <v>21</v>
      </c>
      <c r="E13" s="5">
        <v>5</v>
      </c>
      <c r="F13" s="5">
        <v>4</v>
      </c>
      <c r="G13" s="5">
        <v>8</v>
      </c>
      <c r="H13" s="5">
        <v>5</v>
      </c>
      <c r="I13" s="8">
        <v>0.82</v>
      </c>
      <c r="J13" s="8">
        <v>0.9</v>
      </c>
      <c r="K13" s="5" t="s">
        <v>321</v>
      </c>
      <c r="L13" s="11">
        <f>G13*H13</f>
        <v>40</v>
      </c>
      <c r="M13" s="11">
        <f>E13*G13*60</f>
        <v>2400</v>
      </c>
      <c r="N13" s="11">
        <f>M13*I13*J13</f>
        <v>1771.1999999999998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">
      <c r="A14" s="5" t="s">
        <v>155</v>
      </c>
      <c r="B14" s="5" t="s">
        <v>371</v>
      </c>
      <c r="C14" s="5" t="s">
        <v>273</v>
      </c>
      <c r="D14" s="5" t="s">
        <v>123</v>
      </c>
      <c r="E14" s="5">
        <v>2</v>
      </c>
      <c r="F14" s="5">
        <v>0</v>
      </c>
      <c r="G14" s="5">
        <v>8</v>
      </c>
      <c r="H14" s="5">
        <v>5</v>
      </c>
      <c r="I14" s="8">
        <v>0.82</v>
      </c>
      <c r="J14" s="8">
        <v>0.9</v>
      </c>
      <c r="K14" s="5" t="s">
        <v>321</v>
      </c>
      <c r="L14" s="11">
        <f>G14*H14</f>
        <v>40</v>
      </c>
      <c r="M14" s="11">
        <f>E14*G14*60</f>
        <v>960</v>
      </c>
      <c r="N14" s="11">
        <f>M14*I14*J14</f>
        <v>708.4799999999999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">
      <c r="A15" s="5" t="s">
        <v>155</v>
      </c>
      <c r="B15" s="5" t="s">
        <v>372</v>
      </c>
      <c r="C15" s="5" t="s">
        <v>365</v>
      </c>
      <c r="D15" s="5" t="s">
        <v>20</v>
      </c>
      <c r="E15" s="5">
        <v>4</v>
      </c>
      <c r="F15" s="5">
        <v>4</v>
      </c>
      <c r="G15" s="5">
        <v>8</v>
      </c>
      <c r="H15" s="5">
        <v>5</v>
      </c>
      <c r="I15" s="8">
        <v>0.82</v>
      </c>
      <c r="J15" s="8">
        <v>0.9</v>
      </c>
      <c r="K15" s="5" t="s">
        <v>321</v>
      </c>
      <c r="L15" s="11">
        <f>G15*H15</f>
        <v>40</v>
      </c>
      <c r="M15" s="11">
        <f>E15*G15*60</f>
        <v>1920</v>
      </c>
      <c r="N15" s="11">
        <f>M15*I15*J15</f>
        <v>1416.9599999999998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">
      <c r="A16" s="5" t="s">
        <v>165</v>
      </c>
      <c r="B16" s="5" t="s">
        <v>373</v>
      </c>
      <c r="C16" s="5" t="s">
        <v>197</v>
      </c>
      <c r="D16" s="5" t="s">
        <v>28</v>
      </c>
      <c r="E16" s="5">
        <v>4</v>
      </c>
      <c r="F16" s="5">
        <v>4</v>
      </c>
      <c r="G16" s="5">
        <v>8</v>
      </c>
      <c r="H16" s="5">
        <v>5</v>
      </c>
      <c r="I16" s="8">
        <v>0.78</v>
      </c>
      <c r="J16" s="8">
        <v>0.89</v>
      </c>
      <c r="K16" s="5" t="s">
        <v>321</v>
      </c>
      <c r="L16" s="11">
        <f>G16*H16</f>
        <v>40</v>
      </c>
      <c r="M16" s="11">
        <f>E16*G16*60</f>
        <v>1920</v>
      </c>
      <c r="N16" s="11">
        <f>M16*I16*J16</f>
        <v>1332.864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">
      <c r="A17" s="5" t="s">
        <v>165</v>
      </c>
      <c r="B17" s="5" t="s">
        <v>166</v>
      </c>
      <c r="C17" s="5" t="s">
        <v>200</v>
      </c>
      <c r="D17" s="5" t="s">
        <v>129</v>
      </c>
      <c r="E17" s="5">
        <v>7</v>
      </c>
      <c r="F17" s="5">
        <v>5</v>
      </c>
      <c r="G17" s="5">
        <v>8</v>
      </c>
      <c r="H17" s="5">
        <v>5</v>
      </c>
      <c r="I17" s="8">
        <v>0.78</v>
      </c>
      <c r="J17" s="8">
        <v>0.89</v>
      </c>
      <c r="K17" s="5" t="s">
        <v>321</v>
      </c>
      <c r="L17" s="11">
        <f>G17*H17</f>
        <v>40</v>
      </c>
      <c r="M17" s="11">
        <f>E17*G17*60</f>
        <v>3360</v>
      </c>
      <c r="N17" s="11">
        <f>M17*I17*J17</f>
        <v>2332.5120000000002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5" t="s">
        <v>165</v>
      </c>
      <c r="B18" s="5" t="s">
        <v>374</v>
      </c>
      <c r="C18" s="5" t="s">
        <v>238</v>
      </c>
      <c r="D18" s="5" t="s">
        <v>20</v>
      </c>
      <c r="E18" s="5">
        <v>5</v>
      </c>
      <c r="F18" s="5">
        <v>3</v>
      </c>
      <c r="G18" s="5">
        <v>8</v>
      </c>
      <c r="H18" s="5">
        <v>5</v>
      </c>
      <c r="I18" s="8">
        <v>0.78</v>
      </c>
      <c r="J18" s="8">
        <v>0.89</v>
      </c>
      <c r="K18" s="5" t="s">
        <v>321</v>
      </c>
      <c r="L18" s="11">
        <f>G18*H18</f>
        <v>40</v>
      </c>
      <c r="M18" s="11">
        <f>E18*G18*60</f>
        <v>2400</v>
      </c>
      <c r="N18" s="11">
        <f>M18*I18*J18</f>
        <v>1666.08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">
      <c r="A19" s="5" t="s">
        <v>165</v>
      </c>
      <c r="B19" s="5" t="s">
        <v>375</v>
      </c>
      <c r="C19" s="5" t="s">
        <v>273</v>
      </c>
      <c r="D19" s="5" t="s">
        <v>22</v>
      </c>
      <c r="E19" s="5">
        <v>2</v>
      </c>
      <c r="F19" s="5">
        <v>0</v>
      </c>
      <c r="G19" s="5">
        <v>8</v>
      </c>
      <c r="H19" s="5">
        <v>5</v>
      </c>
      <c r="I19" s="8">
        <v>0.78</v>
      </c>
      <c r="J19" s="8">
        <v>0.89</v>
      </c>
      <c r="K19" s="5" t="s">
        <v>321</v>
      </c>
      <c r="L19" s="11">
        <f>G19*H19</f>
        <v>40</v>
      </c>
      <c r="M19" s="11">
        <f>E19*G19*60</f>
        <v>960</v>
      </c>
      <c r="N19" s="11">
        <f>M19*I19*J19</f>
        <v>666.43200000000002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">
      <c r="A20" s="5" t="s">
        <v>165</v>
      </c>
      <c r="B20" s="5" t="s">
        <v>376</v>
      </c>
      <c r="C20" s="5" t="s">
        <v>284</v>
      </c>
      <c r="D20" s="5" t="s">
        <v>21</v>
      </c>
      <c r="E20" s="5">
        <v>3</v>
      </c>
      <c r="F20" s="5">
        <v>1</v>
      </c>
      <c r="G20" s="5">
        <v>8</v>
      </c>
      <c r="H20" s="5">
        <v>5</v>
      </c>
      <c r="I20" s="8">
        <v>0.78</v>
      </c>
      <c r="J20" s="8">
        <v>0.89</v>
      </c>
      <c r="K20" s="5" t="s">
        <v>321</v>
      </c>
      <c r="L20" s="11">
        <f>G20*H20</f>
        <v>40</v>
      </c>
      <c r="M20" s="11">
        <f>E20*G20*60</f>
        <v>1440</v>
      </c>
      <c r="N20" s="11">
        <f>M20*I20*J20</f>
        <v>999.64800000000002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 s="5" t="s">
        <v>212</v>
      </c>
      <c r="B21" s="5" t="s">
        <v>377</v>
      </c>
      <c r="C21" s="5" t="s">
        <v>197</v>
      </c>
      <c r="D21" s="5" t="s">
        <v>24</v>
      </c>
      <c r="E21" s="5">
        <v>4</v>
      </c>
      <c r="F21" s="5">
        <v>2</v>
      </c>
      <c r="G21" s="5">
        <v>8</v>
      </c>
      <c r="H21" s="5">
        <v>5</v>
      </c>
      <c r="I21" s="8">
        <v>0.79</v>
      </c>
      <c r="J21" s="8">
        <v>0.88</v>
      </c>
      <c r="K21" s="5" t="s">
        <v>321</v>
      </c>
      <c r="L21" s="11">
        <f>G21*H21</f>
        <v>40</v>
      </c>
      <c r="M21" s="11">
        <f>E21*G21*60</f>
        <v>1920</v>
      </c>
      <c r="N21" s="11">
        <f>M21*I21*J21</f>
        <v>1334.7840000000001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">
      <c r="A22" s="5" t="s">
        <v>212</v>
      </c>
      <c r="B22" s="5" t="s">
        <v>213</v>
      </c>
      <c r="C22" s="5" t="s">
        <v>200</v>
      </c>
      <c r="D22" s="5" t="s">
        <v>21</v>
      </c>
      <c r="E22" s="5">
        <v>6</v>
      </c>
      <c r="F22" s="5">
        <v>6</v>
      </c>
      <c r="G22" s="5">
        <v>8</v>
      </c>
      <c r="H22" s="5">
        <v>5</v>
      </c>
      <c r="I22" s="8">
        <v>0.79</v>
      </c>
      <c r="J22" s="8">
        <v>0.88</v>
      </c>
      <c r="K22" s="5" t="s">
        <v>321</v>
      </c>
      <c r="L22" s="11">
        <f>G22*H22</f>
        <v>40</v>
      </c>
      <c r="M22" s="11">
        <f>E22*G22*60</f>
        <v>2880</v>
      </c>
      <c r="N22" s="11">
        <f>M22*I22*J22</f>
        <v>2002.1760000000002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">
      <c r="A23" s="5" t="s">
        <v>212</v>
      </c>
      <c r="B23" s="5" t="s">
        <v>378</v>
      </c>
      <c r="C23" s="5" t="s">
        <v>238</v>
      </c>
      <c r="D23" s="5" t="s">
        <v>21</v>
      </c>
      <c r="E23" s="5">
        <v>4</v>
      </c>
      <c r="F23" s="5">
        <v>3</v>
      </c>
      <c r="G23" s="5">
        <v>8</v>
      </c>
      <c r="H23" s="5">
        <v>5</v>
      </c>
      <c r="I23" s="8">
        <v>0.79</v>
      </c>
      <c r="J23" s="8">
        <v>0.88</v>
      </c>
      <c r="K23" s="5" t="s">
        <v>321</v>
      </c>
      <c r="L23" s="11">
        <f>G23*H23</f>
        <v>40</v>
      </c>
      <c r="M23" s="11">
        <f>E23*G23*60</f>
        <v>1920</v>
      </c>
      <c r="N23" s="11">
        <f>M23*I23*J23</f>
        <v>1334.7840000000001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">
      <c r="A24" s="5" t="s">
        <v>212</v>
      </c>
      <c r="B24" s="5" t="s">
        <v>379</v>
      </c>
      <c r="C24" s="5" t="s">
        <v>273</v>
      </c>
      <c r="D24" s="5" t="s">
        <v>26</v>
      </c>
      <c r="E24" s="5">
        <v>4</v>
      </c>
      <c r="F24" s="5">
        <v>0</v>
      </c>
      <c r="G24" s="5">
        <v>8</v>
      </c>
      <c r="H24" s="5">
        <v>5</v>
      </c>
      <c r="I24" s="8">
        <v>0.79</v>
      </c>
      <c r="J24" s="8">
        <v>0.88</v>
      </c>
      <c r="K24" s="5" t="s">
        <v>321</v>
      </c>
      <c r="L24" s="11">
        <f>G24*H24</f>
        <v>40</v>
      </c>
      <c r="M24" s="11">
        <f>E24*G24*60</f>
        <v>1920</v>
      </c>
      <c r="N24" s="11">
        <f>M24*I24*J24</f>
        <v>1334.7840000000001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">
      <c r="A25" s="5" t="s">
        <v>212</v>
      </c>
      <c r="B25" s="5" t="s">
        <v>380</v>
      </c>
      <c r="C25" s="5" t="s">
        <v>365</v>
      </c>
      <c r="D25" s="5" t="s">
        <v>23</v>
      </c>
      <c r="E25" s="5">
        <v>3</v>
      </c>
      <c r="F25" s="5">
        <v>1</v>
      </c>
      <c r="G25" s="5">
        <v>8</v>
      </c>
      <c r="H25" s="5">
        <v>5</v>
      </c>
      <c r="I25" s="8">
        <v>0.79</v>
      </c>
      <c r="J25" s="8">
        <v>0.88</v>
      </c>
      <c r="K25" s="5" t="s">
        <v>321</v>
      </c>
      <c r="L25" s="11">
        <f>G25*H25</f>
        <v>40</v>
      </c>
      <c r="M25" s="11">
        <f>E25*G25*60</f>
        <v>1440</v>
      </c>
      <c r="N25" s="11">
        <f>M25*I25*J25</f>
        <v>1001.0880000000001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">
      <c r="A26" s="5" t="s">
        <v>202</v>
      </c>
      <c r="B26" s="5" t="s">
        <v>381</v>
      </c>
      <c r="C26" s="5" t="s">
        <v>197</v>
      </c>
      <c r="D26" s="5" t="s">
        <v>123</v>
      </c>
      <c r="E26" s="5">
        <v>5</v>
      </c>
      <c r="F26" s="5">
        <v>3</v>
      </c>
      <c r="G26" s="5">
        <v>8</v>
      </c>
      <c r="H26" s="5">
        <v>5</v>
      </c>
      <c r="I26" s="8">
        <v>0.76</v>
      </c>
      <c r="J26" s="8">
        <v>0.87</v>
      </c>
      <c r="K26" s="5" t="s">
        <v>321</v>
      </c>
      <c r="L26" s="11">
        <f>G26*H26</f>
        <v>40</v>
      </c>
      <c r="M26" s="11">
        <f>E26*G26*60</f>
        <v>2400</v>
      </c>
      <c r="N26" s="11">
        <f>M26*I26*J26</f>
        <v>1586.8799999999999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">
      <c r="A27" s="5" t="s">
        <v>202</v>
      </c>
      <c r="B27" s="5" t="s">
        <v>203</v>
      </c>
      <c r="C27" s="5" t="s">
        <v>200</v>
      </c>
      <c r="D27" s="5" t="s">
        <v>25</v>
      </c>
      <c r="E27" s="5">
        <v>8</v>
      </c>
      <c r="F27" s="5">
        <v>8</v>
      </c>
      <c r="G27" s="5">
        <v>8</v>
      </c>
      <c r="H27" s="5">
        <v>5</v>
      </c>
      <c r="I27" s="8">
        <v>0.76</v>
      </c>
      <c r="J27" s="8">
        <v>0.87</v>
      </c>
      <c r="K27" s="5" t="s">
        <v>321</v>
      </c>
      <c r="L27" s="11">
        <f>G27*H27</f>
        <v>40</v>
      </c>
      <c r="M27" s="11">
        <f>E27*G27*60</f>
        <v>3840</v>
      </c>
      <c r="N27" s="11">
        <f>M27*I27*J27</f>
        <v>2539.0080000000003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">
      <c r="A28" s="5" t="s">
        <v>202</v>
      </c>
      <c r="B28" s="5" t="s">
        <v>382</v>
      </c>
      <c r="C28" s="5" t="s">
        <v>238</v>
      </c>
      <c r="D28" s="5" t="s">
        <v>20</v>
      </c>
      <c r="E28" s="5">
        <v>4</v>
      </c>
      <c r="F28" s="5">
        <v>3</v>
      </c>
      <c r="G28" s="5">
        <v>8</v>
      </c>
      <c r="H28" s="5">
        <v>5</v>
      </c>
      <c r="I28" s="8">
        <v>0.76</v>
      </c>
      <c r="J28" s="8">
        <v>0.87</v>
      </c>
      <c r="K28" s="5" t="s">
        <v>321</v>
      </c>
      <c r="L28" s="11">
        <f>G28*H28</f>
        <v>40</v>
      </c>
      <c r="M28" s="11">
        <f>E28*G28*60</f>
        <v>1920</v>
      </c>
      <c r="N28" s="11">
        <f>M28*I28*J28</f>
        <v>1269.5040000000001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">
      <c r="A29" s="5" t="s">
        <v>202</v>
      </c>
      <c r="B29" s="5" t="s">
        <v>383</v>
      </c>
      <c r="C29" s="5" t="s">
        <v>273</v>
      </c>
      <c r="D29" s="5" t="s">
        <v>30</v>
      </c>
      <c r="E29" s="5">
        <v>3</v>
      </c>
      <c r="F29" s="5">
        <v>0</v>
      </c>
      <c r="G29" s="5">
        <v>8</v>
      </c>
      <c r="H29" s="5">
        <v>5</v>
      </c>
      <c r="I29" s="8">
        <v>0.76</v>
      </c>
      <c r="J29" s="8">
        <v>0.87</v>
      </c>
      <c r="K29" s="5" t="s">
        <v>321</v>
      </c>
      <c r="L29" s="11">
        <f>G29*H29</f>
        <v>40</v>
      </c>
      <c r="M29" s="11">
        <f>E29*G29*60</f>
        <v>1440</v>
      </c>
      <c r="N29" s="11">
        <f>M29*I29*J29</f>
        <v>952.12800000000004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">
      <c r="A30" s="5" t="s">
        <v>186</v>
      </c>
      <c r="B30" s="5" t="s">
        <v>384</v>
      </c>
      <c r="C30" s="5" t="s">
        <v>197</v>
      </c>
      <c r="D30" s="5" t="s">
        <v>27</v>
      </c>
      <c r="E30" s="5">
        <v>8</v>
      </c>
      <c r="F30" s="5">
        <v>6</v>
      </c>
      <c r="G30" s="5">
        <v>8</v>
      </c>
      <c r="H30" s="5">
        <v>5</v>
      </c>
      <c r="I30" s="8">
        <v>0.8</v>
      </c>
      <c r="J30" s="8">
        <v>0.91</v>
      </c>
      <c r="K30" s="5" t="s">
        <v>321</v>
      </c>
      <c r="L30" s="11">
        <f>G30*H30</f>
        <v>40</v>
      </c>
      <c r="M30" s="11">
        <f>E30*G30*60</f>
        <v>3840</v>
      </c>
      <c r="N30" s="11">
        <f>M30*I30*J30</f>
        <v>2795.52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">
      <c r="A31" s="5" t="s">
        <v>186</v>
      </c>
      <c r="B31" s="5" t="s">
        <v>187</v>
      </c>
      <c r="C31" s="5" t="s">
        <v>200</v>
      </c>
      <c r="D31" s="5" t="s">
        <v>23</v>
      </c>
      <c r="E31" s="5">
        <v>15</v>
      </c>
      <c r="F31" s="5">
        <v>15</v>
      </c>
      <c r="G31" s="5">
        <v>8</v>
      </c>
      <c r="H31" s="5">
        <v>5</v>
      </c>
      <c r="I31" s="8">
        <v>0.8</v>
      </c>
      <c r="J31" s="8">
        <v>0.91</v>
      </c>
      <c r="K31" s="5" t="s">
        <v>321</v>
      </c>
      <c r="L31" s="11">
        <f>G31*H31</f>
        <v>40</v>
      </c>
      <c r="M31" s="11">
        <f>E31*G31*60</f>
        <v>7200</v>
      </c>
      <c r="N31" s="11">
        <f>M31*I31*J31</f>
        <v>5241.6000000000004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 s="5" t="s">
        <v>186</v>
      </c>
      <c r="B32" s="5" t="s">
        <v>385</v>
      </c>
      <c r="C32" s="5" t="s">
        <v>238</v>
      </c>
      <c r="D32" s="5" t="s">
        <v>134</v>
      </c>
      <c r="E32" s="5">
        <v>8</v>
      </c>
      <c r="F32" s="5">
        <v>8</v>
      </c>
      <c r="G32" s="5">
        <v>8</v>
      </c>
      <c r="H32" s="5">
        <v>5</v>
      </c>
      <c r="I32" s="8">
        <v>0.8</v>
      </c>
      <c r="J32" s="8">
        <v>0.91</v>
      </c>
      <c r="K32" s="5" t="s">
        <v>321</v>
      </c>
      <c r="L32" s="11">
        <f>G32*H32</f>
        <v>40</v>
      </c>
      <c r="M32" s="11">
        <f>E32*G32*60</f>
        <v>3840</v>
      </c>
      <c r="N32" s="11">
        <f>M32*I32*J32</f>
        <v>2795.52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">
      <c r="A33" s="5" t="s">
        <v>186</v>
      </c>
      <c r="B33" s="5" t="s">
        <v>386</v>
      </c>
      <c r="C33" s="5" t="s">
        <v>273</v>
      </c>
      <c r="D33" s="5" t="s">
        <v>26</v>
      </c>
      <c r="E33" s="5">
        <v>4</v>
      </c>
      <c r="F33" s="5">
        <v>0</v>
      </c>
      <c r="G33" s="5">
        <v>8</v>
      </c>
      <c r="H33" s="5">
        <v>5</v>
      </c>
      <c r="I33" s="8">
        <v>0.8</v>
      </c>
      <c r="J33" s="8">
        <v>0.91</v>
      </c>
      <c r="K33" s="5" t="s">
        <v>321</v>
      </c>
      <c r="L33" s="11">
        <f>G33*H33</f>
        <v>40</v>
      </c>
      <c r="M33" s="11">
        <f>E33*G33*60</f>
        <v>1920</v>
      </c>
      <c r="N33" s="11">
        <f>M33*I33*J33</f>
        <v>1397.76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">
      <c r="A34" s="5" t="s">
        <v>186</v>
      </c>
      <c r="B34" s="5" t="s">
        <v>387</v>
      </c>
      <c r="C34" s="5" t="s">
        <v>284</v>
      </c>
      <c r="D34" s="5" t="s">
        <v>29</v>
      </c>
      <c r="E34" s="5">
        <v>6</v>
      </c>
      <c r="F34" s="5">
        <v>5</v>
      </c>
      <c r="G34" s="5">
        <v>8</v>
      </c>
      <c r="H34" s="5">
        <v>5</v>
      </c>
      <c r="I34" s="8">
        <v>0.8</v>
      </c>
      <c r="J34" s="8">
        <v>0.91</v>
      </c>
      <c r="K34" s="5" t="s">
        <v>321</v>
      </c>
      <c r="L34" s="11">
        <f>G34*H34</f>
        <v>40</v>
      </c>
      <c r="M34" s="11">
        <f>E34*G34*60</f>
        <v>2880</v>
      </c>
      <c r="N34" s="11">
        <f>M34*I34*J34</f>
        <v>2096.64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">
      <c r="A35" s="5" t="s">
        <v>175</v>
      </c>
      <c r="B35" s="5" t="s">
        <v>388</v>
      </c>
      <c r="C35" s="5" t="s">
        <v>197</v>
      </c>
      <c r="D35" s="5" t="s">
        <v>20</v>
      </c>
      <c r="E35" s="5">
        <v>5</v>
      </c>
      <c r="F35" s="5">
        <v>5</v>
      </c>
      <c r="G35" s="5">
        <v>8</v>
      </c>
      <c r="H35" s="5">
        <v>5</v>
      </c>
      <c r="I35" s="8">
        <v>0.77</v>
      </c>
      <c r="J35" s="8">
        <v>0.88</v>
      </c>
      <c r="K35" s="5" t="s">
        <v>321</v>
      </c>
      <c r="L35" s="11">
        <f>G35*H35</f>
        <v>40</v>
      </c>
      <c r="M35" s="11">
        <f>E35*G35*60</f>
        <v>2400</v>
      </c>
      <c r="N35" s="11">
        <f>M35*I35*J35</f>
        <v>1626.24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">
      <c r="A36" s="5" t="s">
        <v>175</v>
      </c>
      <c r="B36" s="5" t="s">
        <v>176</v>
      </c>
      <c r="C36" s="5" t="s">
        <v>200</v>
      </c>
      <c r="D36" s="5" t="s">
        <v>30</v>
      </c>
      <c r="E36" s="5">
        <v>11</v>
      </c>
      <c r="F36" s="5">
        <v>10</v>
      </c>
      <c r="G36" s="5">
        <v>8</v>
      </c>
      <c r="H36" s="5">
        <v>5</v>
      </c>
      <c r="I36" s="8">
        <v>0.77</v>
      </c>
      <c r="J36" s="8">
        <v>0.88</v>
      </c>
      <c r="K36" s="5" t="s">
        <v>321</v>
      </c>
      <c r="L36" s="11">
        <f>G36*H36</f>
        <v>40</v>
      </c>
      <c r="M36" s="11">
        <f>E36*G36*60</f>
        <v>5280</v>
      </c>
      <c r="N36" s="11">
        <f>M36*I36*J36</f>
        <v>3577.7280000000001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">
      <c r="A37" s="5" t="s">
        <v>175</v>
      </c>
      <c r="B37" s="5" t="s">
        <v>389</v>
      </c>
      <c r="C37" s="5" t="s">
        <v>238</v>
      </c>
      <c r="D37" s="5" t="s">
        <v>28</v>
      </c>
      <c r="E37" s="5">
        <v>6</v>
      </c>
      <c r="F37" s="5">
        <v>6</v>
      </c>
      <c r="G37" s="5">
        <v>8</v>
      </c>
      <c r="H37" s="5">
        <v>5</v>
      </c>
      <c r="I37" s="8">
        <v>0.77</v>
      </c>
      <c r="J37" s="8">
        <v>0.88</v>
      </c>
      <c r="K37" s="5" t="s">
        <v>321</v>
      </c>
      <c r="L37" s="11">
        <f>G37*H37</f>
        <v>40</v>
      </c>
      <c r="M37" s="11">
        <f>E37*G37*60</f>
        <v>2880</v>
      </c>
      <c r="N37" s="11">
        <f>M37*I37*J37</f>
        <v>1951.4879999999998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">
      <c r="A38" s="5" t="s">
        <v>175</v>
      </c>
      <c r="B38" s="5" t="s">
        <v>390</v>
      </c>
      <c r="C38" s="5" t="s">
        <v>273</v>
      </c>
      <c r="D38" s="5" t="s">
        <v>117</v>
      </c>
      <c r="E38" s="5">
        <v>5</v>
      </c>
      <c r="F38" s="5">
        <v>0</v>
      </c>
      <c r="G38" s="5">
        <v>8</v>
      </c>
      <c r="H38" s="5">
        <v>5</v>
      </c>
      <c r="I38" s="8">
        <v>0.77</v>
      </c>
      <c r="J38" s="8">
        <v>0.88</v>
      </c>
      <c r="K38" s="5" t="s">
        <v>321</v>
      </c>
      <c r="L38" s="11">
        <f>G38*H38</f>
        <v>40</v>
      </c>
      <c r="M38" s="11">
        <f>E38*G38*60</f>
        <v>2400</v>
      </c>
      <c r="N38" s="11">
        <f>M38*I38*J38</f>
        <v>1626.24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">
      <c r="A39" s="5" t="s">
        <v>189</v>
      </c>
      <c r="B39" s="5" t="s">
        <v>391</v>
      </c>
      <c r="C39" s="5" t="s">
        <v>197</v>
      </c>
      <c r="D39" s="5" t="s">
        <v>23</v>
      </c>
      <c r="E39" s="5">
        <v>10</v>
      </c>
      <c r="F39" s="5">
        <v>10</v>
      </c>
      <c r="G39" s="5">
        <v>8</v>
      </c>
      <c r="H39" s="5">
        <v>6</v>
      </c>
      <c r="I39" s="8">
        <v>0.82</v>
      </c>
      <c r="J39" s="8">
        <v>0.9</v>
      </c>
      <c r="K39" s="5" t="s">
        <v>321</v>
      </c>
      <c r="L39" s="11">
        <f>G39*H39</f>
        <v>48</v>
      </c>
      <c r="M39" s="11">
        <f>E39*G39*60</f>
        <v>4800</v>
      </c>
      <c r="N39" s="11">
        <f>M39*I39*J39</f>
        <v>3542.3999999999996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">
      <c r="A40" s="5" t="s">
        <v>189</v>
      </c>
      <c r="B40" s="5" t="s">
        <v>190</v>
      </c>
      <c r="C40" s="5" t="s">
        <v>200</v>
      </c>
      <c r="D40" s="5" t="s">
        <v>28</v>
      </c>
      <c r="E40" s="5">
        <v>21</v>
      </c>
      <c r="F40" s="5">
        <v>21</v>
      </c>
      <c r="G40" s="5">
        <v>8</v>
      </c>
      <c r="H40" s="5">
        <v>6</v>
      </c>
      <c r="I40" s="8">
        <v>0.82</v>
      </c>
      <c r="J40" s="8">
        <v>0.9</v>
      </c>
      <c r="K40" s="5" t="s">
        <v>321</v>
      </c>
      <c r="L40" s="11">
        <f>G40*H40</f>
        <v>48</v>
      </c>
      <c r="M40" s="11">
        <f>E40*G40*60</f>
        <v>10080</v>
      </c>
      <c r="N40" s="11">
        <f>M40*I40*J40</f>
        <v>7439.0400000000009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">
      <c r="A41" s="5" t="s">
        <v>189</v>
      </c>
      <c r="B41" s="5" t="s">
        <v>392</v>
      </c>
      <c r="C41" s="5" t="s">
        <v>238</v>
      </c>
      <c r="D41" s="5" t="s">
        <v>123</v>
      </c>
      <c r="E41" s="5">
        <v>8</v>
      </c>
      <c r="F41" s="5">
        <v>8</v>
      </c>
      <c r="G41" s="5">
        <v>8</v>
      </c>
      <c r="H41" s="5">
        <v>6</v>
      </c>
      <c r="I41" s="8">
        <v>0.82</v>
      </c>
      <c r="J41" s="8">
        <v>0.9</v>
      </c>
      <c r="K41" s="5" t="s">
        <v>321</v>
      </c>
      <c r="L41" s="11">
        <f>G41*H41</f>
        <v>48</v>
      </c>
      <c r="M41" s="11">
        <f>E41*G41*60</f>
        <v>3840</v>
      </c>
      <c r="N41" s="11">
        <f>M41*I41*J41</f>
        <v>2833.9199999999996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">
      <c r="A42" s="5" t="s">
        <v>189</v>
      </c>
      <c r="B42" s="5" t="s">
        <v>393</v>
      </c>
      <c r="C42" s="5" t="s">
        <v>273</v>
      </c>
      <c r="D42" s="5" t="s">
        <v>30</v>
      </c>
      <c r="E42" s="5">
        <v>7</v>
      </c>
      <c r="F42" s="5">
        <v>0</v>
      </c>
      <c r="G42" s="5">
        <v>8</v>
      </c>
      <c r="H42" s="5">
        <v>6</v>
      </c>
      <c r="I42" s="8">
        <v>0.82</v>
      </c>
      <c r="J42" s="8">
        <v>0.9</v>
      </c>
      <c r="K42" s="5" t="s">
        <v>321</v>
      </c>
      <c r="L42" s="11">
        <f>G42*H42</f>
        <v>48</v>
      </c>
      <c r="M42" s="11">
        <f>E42*G42*60</f>
        <v>3360</v>
      </c>
      <c r="N42" s="11">
        <f>M42*I42*J42</f>
        <v>2479.6799999999998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">
      <c r="A43" s="5" t="s">
        <v>189</v>
      </c>
      <c r="B43" s="5" t="s">
        <v>394</v>
      </c>
      <c r="C43" s="5" t="s">
        <v>284</v>
      </c>
      <c r="D43" s="5" t="s">
        <v>23</v>
      </c>
      <c r="E43" s="5">
        <v>8</v>
      </c>
      <c r="F43" s="5">
        <v>6</v>
      </c>
      <c r="G43" s="5">
        <v>8</v>
      </c>
      <c r="H43" s="5">
        <v>6</v>
      </c>
      <c r="I43" s="8">
        <v>0.82</v>
      </c>
      <c r="J43" s="8">
        <v>0.9</v>
      </c>
      <c r="K43" s="5" t="s">
        <v>321</v>
      </c>
      <c r="L43" s="11">
        <f>G43*H43</f>
        <v>48</v>
      </c>
      <c r="M43" s="11">
        <f>E43*G43*60</f>
        <v>3840</v>
      </c>
      <c r="N43" s="11">
        <f>M43*I43*J43</f>
        <v>2833.9199999999996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">
      <c r="A44" s="5" t="s">
        <v>209</v>
      </c>
      <c r="B44" s="5" t="s">
        <v>395</v>
      </c>
      <c r="C44" s="5" t="s">
        <v>197</v>
      </c>
      <c r="D44" s="5" t="s">
        <v>26</v>
      </c>
      <c r="E44" s="5">
        <v>9</v>
      </c>
      <c r="F44" s="5">
        <v>7</v>
      </c>
      <c r="G44" s="5">
        <v>8</v>
      </c>
      <c r="H44" s="5">
        <v>5</v>
      </c>
      <c r="I44" s="8">
        <v>0.79</v>
      </c>
      <c r="J44" s="8">
        <v>0.89</v>
      </c>
      <c r="K44" s="5" t="s">
        <v>321</v>
      </c>
      <c r="L44" s="11">
        <f>G44*H44</f>
        <v>40</v>
      </c>
      <c r="M44" s="11">
        <f>E44*G44*60</f>
        <v>4320</v>
      </c>
      <c r="N44" s="11">
        <f>M44*I44*J44</f>
        <v>3037.3920000000003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">
      <c r="A45" s="5" t="s">
        <v>209</v>
      </c>
      <c r="B45" s="5" t="s">
        <v>210</v>
      </c>
      <c r="C45" s="5" t="s">
        <v>200</v>
      </c>
      <c r="D45" s="5" t="s">
        <v>123</v>
      </c>
      <c r="E45" s="5">
        <v>17</v>
      </c>
      <c r="F45" s="5">
        <v>17</v>
      </c>
      <c r="G45" s="5">
        <v>8</v>
      </c>
      <c r="H45" s="5">
        <v>5</v>
      </c>
      <c r="I45" s="8">
        <v>0.79</v>
      </c>
      <c r="J45" s="8">
        <v>0.89</v>
      </c>
      <c r="K45" s="5" t="s">
        <v>321</v>
      </c>
      <c r="L45" s="11">
        <f>G45*H45</f>
        <v>40</v>
      </c>
      <c r="M45" s="11">
        <f>E45*G45*60</f>
        <v>8160</v>
      </c>
      <c r="N45" s="11">
        <f>M45*I45*J45</f>
        <v>5737.2960000000003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">
      <c r="A46" s="5" t="s">
        <v>209</v>
      </c>
      <c r="B46" s="5" t="s">
        <v>396</v>
      </c>
      <c r="C46" s="5" t="s">
        <v>238</v>
      </c>
      <c r="D46" s="5" t="s">
        <v>26</v>
      </c>
      <c r="E46" s="5">
        <v>6</v>
      </c>
      <c r="F46" s="5">
        <v>4</v>
      </c>
      <c r="G46" s="5">
        <v>8</v>
      </c>
      <c r="H46" s="5">
        <v>5</v>
      </c>
      <c r="I46" s="8">
        <v>0.79</v>
      </c>
      <c r="J46" s="8">
        <v>0.89</v>
      </c>
      <c r="K46" s="5" t="s">
        <v>321</v>
      </c>
      <c r="L46" s="11">
        <f>G46*H46</f>
        <v>40</v>
      </c>
      <c r="M46" s="11">
        <f>E46*G46*60</f>
        <v>2880</v>
      </c>
      <c r="N46" s="11">
        <f>M46*I46*J46</f>
        <v>2024.9280000000003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">
      <c r="A47" s="5" t="s">
        <v>209</v>
      </c>
      <c r="B47" s="5" t="s">
        <v>397</v>
      </c>
      <c r="C47" s="5" t="s">
        <v>273</v>
      </c>
      <c r="D47" s="5" t="s">
        <v>123</v>
      </c>
      <c r="E47" s="5">
        <v>6</v>
      </c>
      <c r="F47" s="5">
        <v>0</v>
      </c>
      <c r="G47" s="5">
        <v>8</v>
      </c>
      <c r="H47" s="5">
        <v>5</v>
      </c>
      <c r="I47" s="8">
        <v>0.79</v>
      </c>
      <c r="J47" s="8">
        <v>0.89</v>
      </c>
      <c r="K47" s="5" t="s">
        <v>321</v>
      </c>
      <c r="L47" s="11">
        <f>G47*H47</f>
        <v>40</v>
      </c>
      <c r="M47" s="11">
        <f>E47*G47*60</f>
        <v>2880</v>
      </c>
      <c r="N47" s="11">
        <f>M47*I47*J47</f>
        <v>2024.9280000000003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">
      <c r="A48" s="6"/>
      <c r="B48" s="6"/>
      <c r="C48" s="6"/>
      <c r="D48" s="6"/>
      <c r="E48" s="6"/>
      <c r="F48" s="6"/>
      <c r="G48" s="6"/>
      <c r="H48" s="6"/>
      <c r="I48" s="9"/>
      <c r="J48" s="9"/>
      <c r="K48" s="5"/>
      <c r="L48" s="12"/>
      <c r="M48" s="12"/>
      <c r="N48" s="12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x14ac:dyDescent="0.2">
      <c r="A49" s="6"/>
      <c r="B49" s="6"/>
      <c r="C49" s="6"/>
      <c r="D49" s="6"/>
      <c r="E49" s="6"/>
      <c r="F49" s="6"/>
      <c r="G49" s="6"/>
      <c r="H49" s="6"/>
      <c r="I49" s="9"/>
      <c r="J49" s="9"/>
      <c r="K49" s="5"/>
      <c r="L49" s="12"/>
      <c r="M49" s="12"/>
      <c r="N49" s="12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74"/>
  <sheetViews>
    <sheetView topLeftCell="B6" zoomScaleNormal="150" zoomScaleSheetLayoutView="100" workbookViewId="0"/>
  </sheetViews>
  <sheetFormatPr defaultRowHeight="15" x14ac:dyDescent="0.2"/>
  <cols>
    <col min="1" max="1" width="7.6640625" customWidth="1"/>
    <col min="2" max="2" width="16.27734375" customWidth="1"/>
    <col min="3" max="3" width="12.10546875" customWidth="1"/>
    <col min="4" max="4" width="13.98828125" customWidth="1"/>
    <col min="5" max="5" width="17.21875" customWidth="1"/>
    <col min="6" max="6" width="15.19921875" customWidth="1"/>
    <col min="7" max="7" width="25.15234375" customWidth="1"/>
    <col min="8" max="8" width="10.35546875" customWidth="1"/>
    <col min="9" max="9" width="8.47265625" customWidth="1"/>
    <col min="10" max="10" width="16.0078125" customWidth="1"/>
  </cols>
  <sheetData>
    <row r="1" spans="1:25" ht="27.95" customHeight="1" x14ac:dyDescent="0.2">
      <c r="A1" s="4" t="s">
        <v>306</v>
      </c>
      <c r="B1" s="4" t="s">
        <v>256</v>
      </c>
      <c r="C1" s="4" t="s">
        <v>257</v>
      </c>
      <c r="D1" s="4" t="s">
        <v>398</v>
      </c>
      <c r="E1" s="4" t="s">
        <v>399</v>
      </c>
      <c r="F1" s="4" t="s">
        <v>400</v>
      </c>
      <c r="G1" s="4" t="s">
        <v>401</v>
      </c>
      <c r="H1" s="4" t="s">
        <v>356</v>
      </c>
      <c r="I1" s="4" t="s">
        <v>357</v>
      </c>
      <c r="J1" s="4" t="s">
        <v>402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5" t="s">
        <v>179</v>
      </c>
      <c r="B2" s="5" t="s">
        <v>266</v>
      </c>
      <c r="C2" s="5" t="s">
        <v>197</v>
      </c>
      <c r="D2" s="5">
        <v>2</v>
      </c>
      <c r="E2" s="5">
        <v>2</v>
      </c>
      <c r="F2" s="5">
        <v>2</v>
      </c>
      <c r="G2" s="11">
        <f>E2*8*60*H2*I2</f>
        <v>741.88800000000003</v>
      </c>
      <c r="H2" s="8">
        <v>0.84</v>
      </c>
      <c r="I2" s="8">
        <v>0.92</v>
      </c>
      <c r="J2" s="5" t="str">
        <f>IF(G2&lt;720,"Potential bottleneck","OK")</f>
        <v>OK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 s="5" t="s">
        <v>179</v>
      </c>
      <c r="B3" s="5" t="s">
        <v>298</v>
      </c>
      <c r="C3" s="5" t="s">
        <v>200</v>
      </c>
      <c r="D3" s="5">
        <v>4</v>
      </c>
      <c r="E3" s="5">
        <v>3</v>
      </c>
      <c r="F3" s="5">
        <v>2</v>
      </c>
      <c r="G3" s="11">
        <f>E3*8*60*H3*I3</f>
        <v>1112.8319999999999</v>
      </c>
      <c r="H3" s="8">
        <v>0.84</v>
      </c>
      <c r="I3" s="8">
        <v>0.92</v>
      </c>
      <c r="J3" s="5" t="str">
        <f>IF(G3&lt;720,"Potential bottleneck","OK")</f>
        <v>OK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">
      <c r="A4" s="5" t="s">
        <v>179</v>
      </c>
      <c r="B4" s="5" t="s">
        <v>270</v>
      </c>
      <c r="C4" s="5" t="s">
        <v>200</v>
      </c>
      <c r="D4" s="5">
        <v>3</v>
      </c>
      <c r="E4" s="5">
        <v>3</v>
      </c>
      <c r="F4" s="5">
        <v>2</v>
      </c>
      <c r="G4" s="11">
        <f>E4*8*60*H4*I4</f>
        <v>1112.8319999999999</v>
      </c>
      <c r="H4" s="8">
        <v>0.84</v>
      </c>
      <c r="I4" s="8">
        <v>0.92</v>
      </c>
      <c r="J4" s="5" t="str">
        <f>IF(G4&lt;720,"Potential bottleneck","OK")</f>
        <v>OK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">
      <c r="A5" s="5" t="s">
        <v>179</v>
      </c>
      <c r="B5" s="5" t="s">
        <v>275</v>
      </c>
      <c r="C5" s="5" t="s">
        <v>200</v>
      </c>
      <c r="D5" s="5">
        <v>6</v>
      </c>
      <c r="E5" s="5">
        <v>4</v>
      </c>
      <c r="F5" s="5">
        <v>3</v>
      </c>
      <c r="G5" s="11">
        <f>E5*8*60*H5*I5</f>
        <v>1483.7760000000001</v>
      </c>
      <c r="H5" s="8">
        <v>0.84</v>
      </c>
      <c r="I5" s="8">
        <v>0.92</v>
      </c>
      <c r="J5" s="5" t="str">
        <f>IF(G5&lt;720,"Potential bottleneck","OK")</f>
        <v>OK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5" t="s">
        <v>179</v>
      </c>
      <c r="B6" s="5" t="s">
        <v>279</v>
      </c>
      <c r="C6" s="5" t="s">
        <v>200</v>
      </c>
      <c r="D6" s="5">
        <v>3</v>
      </c>
      <c r="E6" s="5">
        <v>3</v>
      </c>
      <c r="F6" s="5">
        <v>2</v>
      </c>
      <c r="G6" s="11">
        <f>E6*8*60*H6*I6</f>
        <v>1112.8319999999999</v>
      </c>
      <c r="H6" s="8">
        <v>0.84</v>
      </c>
      <c r="I6" s="8">
        <v>0.92</v>
      </c>
      <c r="J6" s="5" t="str">
        <f>IF(G6&lt;720,"Potential bottleneck","OK")</f>
        <v>OK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">
      <c r="A7" s="5" t="s">
        <v>179</v>
      </c>
      <c r="B7" s="5" t="s">
        <v>297</v>
      </c>
      <c r="C7" s="5" t="s">
        <v>200</v>
      </c>
      <c r="D7" s="5">
        <v>6</v>
      </c>
      <c r="E7" s="5">
        <v>5</v>
      </c>
      <c r="F7" s="5">
        <v>4</v>
      </c>
      <c r="G7" s="11">
        <f>E7*8*60*H7*I7</f>
        <v>1854.72</v>
      </c>
      <c r="H7" s="8">
        <v>0.84</v>
      </c>
      <c r="I7" s="8">
        <v>0.92</v>
      </c>
      <c r="J7" s="5" t="str">
        <f>IF(G7&lt;720,"Potential bottleneck","OK")</f>
        <v>OK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">
      <c r="A8" s="5" t="s">
        <v>179</v>
      </c>
      <c r="B8" s="5" t="s">
        <v>292</v>
      </c>
      <c r="C8" s="5" t="s">
        <v>200</v>
      </c>
      <c r="D8" s="5">
        <v>4</v>
      </c>
      <c r="E8" s="5">
        <v>3</v>
      </c>
      <c r="F8" s="5">
        <v>3</v>
      </c>
      <c r="G8" s="11">
        <f>E8*8*60*H8*I8</f>
        <v>1112.8319999999999</v>
      </c>
      <c r="H8" s="8">
        <v>0.84</v>
      </c>
      <c r="I8" s="8">
        <v>0.92</v>
      </c>
      <c r="J8" s="5" t="str">
        <f>IF(G8&lt;720,"Potential bottleneck","OK")</f>
        <v>OK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">
      <c r="A9" s="5" t="s">
        <v>179</v>
      </c>
      <c r="B9" s="5" t="s">
        <v>299</v>
      </c>
      <c r="C9" s="5" t="s">
        <v>200</v>
      </c>
      <c r="D9" s="5">
        <v>2</v>
      </c>
      <c r="E9" s="5">
        <v>1</v>
      </c>
      <c r="F9" s="5">
        <v>1</v>
      </c>
      <c r="G9" s="11">
        <f>E9*8*60*H9*I9</f>
        <v>370.94400000000002</v>
      </c>
      <c r="H9" s="8">
        <v>0.84</v>
      </c>
      <c r="I9" s="8">
        <v>0.92</v>
      </c>
      <c r="J9" s="5" t="str">
        <f>IF(G9&lt;720,"Potential bottleneck","OK")</f>
        <v>Potential bottleneck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">
      <c r="A10" s="5" t="s">
        <v>179</v>
      </c>
      <c r="B10" s="5" t="s">
        <v>293</v>
      </c>
      <c r="C10" s="5" t="s">
        <v>200</v>
      </c>
      <c r="D10" s="5">
        <v>3</v>
      </c>
      <c r="E10" s="5">
        <v>3</v>
      </c>
      <c r="F10" s="5">
        <v>2</v>
      </c>
      <c r="G10" s="11">
        <f>E10*8*60*H10*I10</f>
        <v>1112.8319999999999</v>
      </c>
      <c r="H10" s="8">
        <v>0.84</v>
      </c>
      <c r="I10" s="8">
        <v>0.92</v>
      </c>
      <c r="J10" s="5" t="str">
        <f>IF(G10&lt;720,"Potential bottleneck","OK")</f>
        <v>OK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">
      <c r="A11" s="5" t="s">
        <v>179</v>
      </c>
      <c r="B11" s="5" t="s">
        <v>289</v>
      </c>
      <c r="C11" s="5" t="s">
        <v>200</v>
      </c>
      <c r="D11" s="5">
        <v>2</v>
      </c>
      <c r="E11" s="5">
        <v>2</v>
      </c>
      <c r="F11" s="5">
        <v>1</v>
      </c>
      <c r="G11" s="11">
        <f>E11*8*60*H11*I11</f>
        <v>741.88800000000003</v>
      </c>
      <c r="H11" s="8">
        <v>0.84</v>
      </c>
      <c r="I11" s="8">
        <v>0.92</v>
      </c>
      <c r="J11" s="5" t="str">
        <f>IF(G11&lt;720,"Potential bottleneck","OK")</f>
        <v>OK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">
      <c r="A12" s="5" t="s">
        <v>179</v>
      </c>
      <c r="B12" s="5" t="s">
        <v>286</v>
      </c>
      <c r="C12" s="5" t="s">
        <v>200</v>
      </c>
      <c r="D12" s="5">
        <v>5</v>
      </c>
      <c r="E12" s="5">
        <v>3</v>
      </c>
      <c r="F12" s="5">
        <v>2</v>
      </c>
      <c r="G12" s="11">
        <f>E12*8*60*H12*I12</f>
        <v>1112.8319999999999</v>
      </c>
      <c r="H12" s="8">
        <v>0.84</v>
      </c>
      <c r="I12" s="8">
        <v>0.92</v>
      </c>
      <c r="J12" s="5" t="str">
        <f>IF(G12&lt;720,"Potential bottleneck","OK")</f>
        <v>OK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">
      <c r="A13" s="5" t="s">
        <v>179</v>
      </c>
      <c r="B13" s="5" t="s">
        <v>278</v>
      </c>
      <c r="C13" s="5" t="s">
        <v>200</v>
      </c>
      <c r="D13" s="5">
        <v>4</v>
      </c>
      <c r="E13" s="5">
        <v>2</v>
      </c>
      <c r="F13" s="5">
        <v>2</v>
      </c>
      <c r="G13" s="11">
        <f>E13*8*60*H13*I13</f>
        <v>741.88800000000003</v>
      </c>
      <c r="H13" s="8">
        <v>0.84</v>
      </c>
      <c r="I13" s="8">
        <v>0.92</v>
      </c>
      <c r="J13" s="5" t="str">
        <f>IF(G13&lt;720,"Potential bottleneck","OK")</f>
        <v>OK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">
      <c r="A14" s="5" t="s">
        <v>179</v>
      </c>
      <c r="B14" s="5" t="s">
        <v>269</v>
      </c>
      <c r="C14" s="5" t="s">
        <v>200</v>
      </c>
      <c r="D14" s="5">
        <v>8</v>
      </c>
      <c r="E14" s="5">
        <v>8</v>
      </c>
      <c r="F14" s="5">
        <v>7</v>
      </c>
      <c r="G14" s="11">
        <f>E14*8*60*H14*I14</f>
        <v>2967.5520000000001</v>
      </c>
      <c r="H14" s="8">
        <v>0.84</v>
      </c>
      <c r="I14" s="8">
        <v>0.92</v>
      </c>
      <c r="J14" s="5" t="str">
        <f>IF(G14&lt;720,"Potential bottleneck","OK")</f>
        <v>OK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">
      <c r="A15" s="5" t="s">
        <v>179</v>
      </c>
      <c r="B15" s="5" t="s">
        <v>280</v>
      </c>
      <c r="C15" s="5" t="s">
        <v>200</v>
      </c>
      <c r="D15" s="5">
        <v>3</v>
      </c>
      <c r="E15" s="5">
        <v>2</v>
      </c>
      <c r="F15" s="5">
        <v>1</v>
      </c>
      <c r="G15" s="11">
        <f>E15*8*60*H15*I15</f>
        <v>741.88800000000003</v>
      </c>
      <c r="H15" s="8">
        <v>0.84</v>
      </c>
      <c r="I15" s="8">
        <v>0.92</v>
      </c>
      <c r="J15" s="5" t="str">
        <f>IF(G15&lt;720,"Potential bottleneck","OK")</f>
        <v>OK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">
      <c r="A16" s="5" t="s">
        <v>179</v>
      </c>
      <c r="B16" s="5" t="s">
        <v>281</v>
      </c>
      <c r="C16" s="5" t="s">
        <v>200</v>
      </c>
      <c r="D16" s="5">
        <v>8</v>
      </c>
      <c r="E16" s="5">
        <v>7</v>
      </c>
      <c r="F16" s="5">
        <v>6</v>
      </c>
      <c r="G16" s="11">
        <f>E16*8*60*H16*I16</f>
        <v>2596.6080000000002</v>
      </c>
      <c r="H16" s="8">
        <v>0.84</v>
      </c>
      <c r="I16" s="8">
        <v>0.92</v>
      </c>
      <c r="J16" s="5" t="str">
        <f>IF(G16&lt;720,"Potential bottleneck","OK")</f>
        <v>OK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">
      <c r="A17" s="5" t="s">
        <v>179</v>
      </c>
      <c r="B17" s="5" t="s">
        <v>272</v>
      </c>
      <c r="C17" s="5" t="s">
        <v>273</v>
      </c>
      <c r="D17" s="5">
        <v>1</v>
      </c>
      <c r="E17" s="5">
        <v>1</v>
      </c>
      <c r="F17" s="5">
        <v>0</v>
      </c>
      <c r="G17" s="11">
        <f>E17*8*60*H17*I17</f>
        <v>370.94400000000002</v>
      </c>
      <c r="H17" s="8">
        <v>0.84</v>
      </c>
      <c r="I17" s="8">
        <v>0.92</v>
      </c>
      <c r="J17" s="5" t="str">
        <f>IF(G17&lt;720,"Potential bottleneck","OK")</f>
        <v>Potential bottleneck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 s="5" t="s">
        <v>179</v>
      </c>
      <c r="B18" s="5" t="s">
        <v>301</v>
      </c>
      <c r="C18" s="5" t="s">
        <v>200</v>
      </c>
      <c r="D18" s="5">
        <v>2</v>
      </c>
      <c r="E18" s="5">
        <v>1</v>
      </c>
      <c r="F18" s="5">
        <v>1</v>
      </c>
      <c r="G18" s="11">
        <f>E18*8*60*H18*I18</f>
        <v>370.94400000000002</v>
      </c>
      <c r="H18" s="8">
        <v>0.84</v>
      </c>
      <c r="I18" s="8">
        <v>0.92</v>
      </c>
      <c r="J18" s="5" t="str">
        <f>IF(G18&lt;720,"Potential bottleneck","OK")</f>
        <v>Potential bottleneck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">
      <c r="A19" s="5" t="s">
        <v>179</v>
      </c>
      <c r="B19" s="5" t="s">
        <v>290</v>
      </c>
      <c r="C19" s="5" t="s">
        <v>200</v>
      </c>
      <c r="D19" s="5">
        <v>4</v>
      </c>
      <c r="E19" s="5">
        <v>2</v>
      </c>
      <c r="F19" s="5">
        <v>1</v>
      </c>
      <c r="G19" s="11">
        <f>E19*8*60*H19*I19</f>
        <v>741.88800000000003</v>
      </c>
      <c r="H19" s="8">
        <v>0.84</v>
      </c>
      <c r="I19" s="8">
        <v>0.92</v>
      </c>
      <c r="J19" s="5" t="str">
        <f>IF(G19&lt;720,"Potential bottleneck","OK")</f>
        <v>OK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">
      <c r="A20" s="5" t="s">
        <v>179</v>
      </c>
      <c r="B20" s="5" t="s">
        <v>296</v>
      </c>
      <c r="C20" s="5" t="s">
        <v>200</v>
      </c>
      <c r="D20" s="5">
        <v>2</v>
      </c>
      <c r="E20" s="5">
        <v>1</v>
      </c>
      <c r="F20" s="5">
        <v>1</v>
      </c>
      <c r="G20" s="11">
        <f>E20*8*60*H20*I20</f>
        <v>370.94400000000002</v>
      </c>
      <c r="H20" s="8">
        <v>0.84</v>
      </c>
      <c r="I20" s="8">
        <v>0.92</v>
      </c>
      <c r="J20" s="5" t="str">
        <f>IF(G20&lt;720,"Potential bottleneck","OK")</f>
        <v>Potential bottleneck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 s="5" t="s">
        <v>179</v>
      </c>
      <c r="B21" s="5" t="s">
        <v>282</v>
      </c>
      <c r="C21" s="5" t="s">
        <v>200</v>
      </c>
      <c r="D21" s="5">
        <v>8</v>
      </c>
      <c r="E21" s="5">
        <v>6</v>
      </c>
      <c r="F21" s="5">
        <v>5</v>
      </c>
      <c r="G21" s="11">
        <f>E21*8*60*H21*I21</f>
        <v>2225.6639999999998</v>
      </c>
      <c r="H21" s="8">
        <v>0.84</v>
      </c>
      <c r="I21" s="8">
        <v>0.92</v>
      </c>
      <c r="J21" s="5" t="str">
        <f>IF(G21&lt;720,"Potential bottleneck","OK")</f>
        <v>OK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">
      <c r="A22" s="5" t="s">
        <v>179</v>
      </c>
      <c r="B22" s="5" t="s">
        <v>300</v>
      </c>
      <c r="C22" s="5" t="s">
        <v>200</v>
      </c>
      <c r="D22" s="5">
        <v>8</v>
      </c>
      <c r="E22" s="5">
        <v>6</v>
      </c>
      <c r="F22" s="5">
        <v>6</v>
      </c>
      <c r="G22" s="11">
        <f>E22*8*60*H22*I22</f>
        <v>2225.6639999999998</v>
      </c>
      <c r="H22" s="8">
        <v>0.84</v>
      </c>
      <c r="I22" s="8">
        <v>0.92</v>
      </c>
      <c r="J22" s="5" t="str">
        <f>IF(G22&lt;720,"Potential bottleneck","OK")</f>
        <v>OK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">
      <c r="A23" s="5" t="s">
        <v>179</v>
      </c>
      <c r="B23" s="5" t="s">
        <v>302</v>
      </c>
      <c r="C23" s="5" t="s">
        <v>200</v>
      </c>
      <c r="D23" s="5">
        <v>3</v>
      </c>
      <c r="E23" s="5">
        <v>3</v>
      </c>
      <c r="F23" s="5">
        <v>2</v>
      </c>
      <c r="G23" s="11">
        <f>E23*8*60*H23*I23</f>
        <v>1112.8319999999999</v>
      </c>
      <c r="H23" s="8">
        <v>0.84</v>
      </c>
      <c r="I23" s="8">
        <v>0.92</v>
      </c>
      <c r="J23" s="5" t="str">
        <f>IF(G23&lt;720,"Potential bottleneck","OK")</f>
        <v>OK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">
      <c r="A24" s="5" t="s">
        <v>179</v>
      </c>
      <c r="B24" s="5" t="s">
        <v>295</v>
      </c>
      <c r="C24" s="5" t="s">
        <v>200</v>
      </c>
      <c r="D24" s="5">
        <v>4</v>
      </c>
      <c r="E24" s="5">
        <v>3</v>
      </c>
      <c r="F24" s="5">
        <v>2</v>
      </c>
      <c r="G24" s="11">
        <f>E24*8*60*H24*I24</f>
        <v>1112.8319999999999</v>
      </c>
      <c r="H24" s="8">
        <v>0.84</v>
      </c>
      <c r="I24" s="8">
        <v>0.92</v>
      </c>
      <c r="J24" s="5" t="str">
        <f>IF(G24&lt;720,"Potential bottleneck","OK")</f>
        <v>OK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">
      <c r="A25" s="5" t="s">
        <v>179</v>
      </c>
      <c r="B25" s="5" t="s">
        <v>304</v>
      </c>
      <c r="C25" s="5" t="s">
        <v>200</v>
      </c>
      <c r="D25" s="5">
        <v>8</v>
      </c>
      <c r="E25" s="5">
        <v>8</v>
      </c>
      <c r="F25" s="5">
        <v>8</v>
      </c>
      <c r="G25" s="11">
        <f>E25*8*60*H25*I25</f>
        <v>2967.5520000000001</v>
      </c>
      <c r="H25" s="8">
        <v>0.84</v>
      </c>
      <c r="I25" s="8">
        <v>0.92</v>
      </c>
      <c r="J25" s="5" t="str">
        <f>IF(G25&lt;720,"Potential bottleneck","OK")</f>
        <v>OK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">
      <c r="A26" s="5" t="s">
        <v>179</v>
      </c>
      <c r="B26" s="5" t="s">
        <v>303</v>
      </c>
      <c r="C26" s="5" t="s">
        <v>200</v>
      </c>
      <c r="D26" s="5">
        <v>6</v>
      </c>
      <c r="E26" s="5">
        <v>4</v>
      </c>
      <c r="F26" s="5">
        <v>3</v>
      </c>
      <c r="G26" s="11">
        <f>E26*8*60*H26*I26</f>
        <v>1483.7760000000001</v>
      </c>
      <c r="H26" s="8">
        <v>0.84</v>
      </c>
      <c r="I26" s="8">
        <v>0.92</v>
      </c>
      <c r="J26" s="5" t="str">
        <f>IF(G26&lt;720,"Potential bottleneck","OK")</f>
        <v>OK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">
      <c r="A27" s="5" t="s">
        <v>179</v>
      </c>
      <c r="B27" s="5" t="s">
        <v>268</v>
      </c>
      <c r="C27" s="5" t="s">
        <v>200</v>
      </c>
      <c r="D27" s="5">
        <v>6</v>
      </c>
      <c r="E27" s="5">
        <v>6</v>
      </c>
      <c r="F27" s="5">
        <v>6</v>
      </c>
      <c r="G27" s="11">
        <f>E27*8*60*H27*I27</f>
        <v>2225.6639999999998</v>
      </c>
      <c r="H27" s="8">
        <v>0.84</v>
      </c>
      <c r="I27" s="8">
        <v>0.92</v>
      </c>
      <c r="J27" s="5" t="str">
        <f>IF(G27&lt;720,"Potential bottleneck","OK")</f>
        <v>OK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">
      <c r="A28" s="5" t="s">
        <v>179</v>
      </c>
      <c r="B28" s="5" t="s">
        <v>291</v>
      </c>
      <c r="C28" s="5" t="s">
        <v>200</v>
      </c>
      <c r="D28" s="5">
        <v>2</v>
      </c>
      <c r="E28" s="5">
        <v>2</v>
      </c>
      <c r="F28" s="5">
        <v>1</v>
      </c>
      <c r="G28" s="11">
        <f>E28*8*60*H28*I28</f>
        <v>741.88800000000003</v>
      </c>
      <c r="H28" s="8">
        <v>0.84</v>
      </c>
      <c r="I28" s="8">
        <v>0.92</v>
      </c>
      <c r="J28" s="5" t="str">
        <f>IF(G28&lt;720,"Potential bottleneck","OK")</f>
        <v>OK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">
      <c r="A29" s="5" t="s">
        <v>179</v>
      </c>
      <c r="B29" s="5" t="s">
        <v>276</v>
      </c>
      <c r="C29" s="5" t="s">
        <v>200</v>
      </c>
      <c r="D29" s="5">
        <v>8</v>
      </c>
      <c r="E29" s="5">
        <v>7</v>
      </c>
      <c r="F29" s="5">
        <v>6</v>
      </c>
      <c r="G29" s="11">
        <f>E29*8*60*H29*I29</f>
        <v>2596.6080000000002</v>
      </c>
      <c r="H29" s="8">
        <v>0.84</v>
      </c>
      <c r="I29" s="8">
        <v>0.92</v>
      </c>
      <c r="J29" s="5" t="str">
        <f>IF(G29&lt;720,"Potential bottleneck","OK")</f>
        <v>OK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">
      <c r="A30" s="5" t="s">
        <v>179</v>
      </c>
      <c r="B30" s="5" t="s">
        <v>305</v>
      </c>
      <c r="C30" s="5" t="s">
        <v>200</v>
      </c>
      <c r="D30" s="5">
        <v>3</v>
      </c>
      <c r="E30" s="5">
        <v>1</v>
      </c>
      <c r="F30" s="5">
        <v>1</v>
      </c>
      <c r="G30" s="11">
        <f>E30*8*60*H30*I30</f>
        <v>370.94400000000002</v>
      </c>
      <c r="H30" s="8">
        <v>0.84</v>
      </c>
      <c r="I30" s="8">
        <v>0.92</v>
      </c>
      <c r="J30" s="5" t="str">
        <f>IF(G30&lt;720,"Potential bottleneck","OK")</f>
        <v>Potential bottleneck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">
      <c r="A31" s="5" t="s">
        <v>179</v>
      </c>
      <c r="B31" s="5" t="s">
        <v>274</v>
      </c>
      <c r="C31" s="5" t="s">
        <v>238</v>
      </c>
      <c r="D31" s="5">
        <v>3</v>
      </c>
      <c r="E31" s="5">
        <v>1</v>
      </c>
      <c r="F31" s="5">
        <v>1</v>
      </c>
      <c r="G31" s="11">
        <f>E31*8*60*H31*I31</f>
        <v>370.94400000000002</v>
      </c>
      <c r="H31" s="8">
        <v>0.84</v>
      </c>
      <c r="I31" s="8">
        <v>0.92</v>
      </c>
      <c r="J31" s="5" t="str">
        <f>IF(G31&lt;720,"Potential bottleneck","OK")</f>
        <v>Potential bottleneck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 s="5" t="s">
        <v>179</v>
      </c>
      <c r="B32" s="5" t="s">
        <v>294</v>
      </c>
      <c r="C32" s="5" t="s">
        <v>200</v>
      </c>
      <c r="D32" s="5">
        <v>3</v>
      </c>
      <c r="E32" s="5">
        <v>2</v>
      </c>
      <c r="F32" s="5">
        <v>1</v>
      </c>
      <c r="G32" s="11">
        <f>E32*8*60*H32*I32</f>
        <v>741.88800000000003</v>
      </c>
      <c r="H32" s="8">
        <v>0.84</v>
      </c>
      <c r="I32" s="8">
        <v>0.92</v>
      </c>
      <c r="J32" s="5" t="str">
        <f>IF(G32&lt;720,"Potential bottleneck","OK")</f>
        <v>OK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">
      <c r="A33" s="5" t="s">
        <v>179</v>
      </c>
      <c r="B33" s="5" t="s">
        <v>285</v>
      </c>
      <c r="C33" s="5" t="s">
        <v>200</v>
      </c>
      <c r="D33" s="5">
        <v>6</v>
      </c>
      <c r="E33" s="5">
        <v>5</v>
      </c>
      <c r="F33" s="5">
        <v>4</v>
      </c>
      <c r="G33" s="11">
        <f>E33*8*60*H33*I33</f>
        <v>1854.72</v>
      </c>
      <c r="H33" s="8">
        <v>0.84</v>
      </c>
      <c r="I33" s="8">
        <v>0.92</v>
      </c>
      <c r="J33" s="5" t="str">
        <f>IF(G33&lt;720,"Potential bottleneck","OK")</f>
        <v>OK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">
      <c r="A34" s="5" t="s">
        <v>179</v>
      </c>
      <c r="B34" s="5" t="s">
        <v>277</v>
      </c>
      <c r="C34" s="5" t="s">
        <v>238</v>
      </c>
      <c r="D34" s="5">
        <v>3</v>
      </c>
      <c r="E34" s="5">
        <v>2</v>
      </c>
      <c r="F34" s="5">
        <v>2</v>
      </c>
      <c r="G34" s="11">
        <f>E34*8*60*H34*I34</f>
        <v>741.88800000000003</v>
      </c>
      <c r="H34" s="8">
        <v>0.84</v>
      </c>
      <c r="I34" s="8">
        <v>0.92</v>
      </c>
      <c r="J34" s="5" t="str">
        <f>IF(G34&lt;720,"Potential bottleneck","OK")</f>
        <v>OK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">
      <c r="A35" s="5" t="s">
        <v>179</v>
      </c>
      <c r="B35" s="5" t="s">
        <v>271</v>
      </c>
      <c r="C35" s="5" t="s">
        <v>238</v>
      </c>
      <c r="D35" s="5">
        <v>3</v>
      </c>
      <c r="E35" s="5">
        <v>2</v>
      </c>
      <c r="F35" s="5">
        <v>2</v>
      </c>
      <c r="G35" s="11">
        <f>E35*8*60*H35*I35</f>
        <v>741.88800000000003</v>
      </c>
      <c r="H35" s="8">
        <v>0.84</v>
      </c>
      <c r="I35" s="8">
        <v>0.92</v>
      </c>
      <c r="J35" s="5" t="str">
        <f>IF(G35&lt;720,"Potential bottleneck","OK")</f>
        <v>OK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">
      <c r="A36" s="5" t="s">
        <v>179</v>
      </c>
      <c r="B36" s="5" t="s">
        <v>287</v>
      </c>
      <c r="C36" s="5" t="s">
        <v>238</v>
      </c>
      <c r="D36" s="5">
        <v>4</v>
      </c>
      <c r="E36" s="5">
        <v>2</v>
      </c>
      <c r="F36" s="5">
        <v>1</v>
      </c>
      <c r="G36" s="11">
        <f>E36*8*60*H36*I36</f>
        <v>741.88800000000003</v>
      </c>
      <c r="H36" s="8">
        <v>0.84</v>
      </c>
      <c r="I36" s="8">
        <v>0.92</v>
      </c>
      <c r="J36" s="5" t="str">
        <f>IF(G36&lt;720,"Potential bottleneck","OK")</f>
        <v>OK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">
      <c r="A37" s="5" t="s">
        <v>179</v>
      </c>
      <c r="B37" s="5" t="s">
        <v>264</v>
      </c>
      <c r="C37" s="5" t="s">
        <v>197</v>
      </c>
      <c r="D37" s="5">
        <v>1</v>
      </c>
      <c r="E37" s="5">
        <v>1</v>
      </c>
      <c r="F37" s="5">
        <v>1</v>
      </c>
      <c r="G37" s="11">
        <f>E37*8*60*H37*I37</f>
        <v>370.94400000000002</v>
      </c>
      <c r="H37" s="8">
        <v>0.84</v>
      </c>
      <c r="I37" s="8">
        <v>0.92</v>
      </c>
      <c r="J37" s="5" t="str">
        <f>IF(G37&lt;720,"Potential bottleneck","OK")</f>
        <v>Potential bottleneck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">
      <c r="A38" s="5" t="s">
        <v>179</v>
      </c>
      <c r="B38" s="5" t="s">
        <v>288</v>
      </c>
      <c r="C38" s="5" t="s">
        <v>200</v>
      </c>
      <c r="D38" s="5">
        <v>4</v>
      </c>
      <c r="E38" s="5">
        <v>2</v>
      </c>
      <c r="F38" s="5">
        <v>2</v>
      </c>
      <c r="G38" s="11">
        <f>E38*8*60*H38*I38</f>
        <v>741.88800000000003</v>
      </c>
      <c r="H38" s="8">
        <v>0.84</v>
      </c>
      <c r="I38" s="8">
        <v>0.92</v>
      </c>
      <c r="J38" s="5" t="str">
        <f>IF(G38&lt;720,"Potential bottleneck","OK")</f>
        <v>OK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">
      <c r="A39" s="5" t="s">
        <v>195</v>
      </c>
      <c r="B39" s="5" t="s">
        <v>266</v>
      </c>
      <c r="C39" s="5" t="s">
        <v>197</v>
      </c>
      <c r="D39" s="5">
        <v>1</v>
      </c>
      <c r="E39" s="5">
        <v>1</v>
      </c>
      <c r="F39" s="5">
        <v>1</v>
      </c>
      <c r="G39" s="11">
        <f>E39*8*60*H39*I39</f>
        <v>349.92</v>
      </c>
      <c r="H39" s="8">
        <v>0.81</v>
      </c>
      <c r="I39" s="8">
        <v>0.9</v>
      </c>
      <c r="J39" s="5" t="str">
        <f>IF(G39&lt;720,"Potential bottleneck","OK")</f>
        <v>Potential bottleneck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">
      <c r="A40" s="5" t="s">
        <v>195</v>
      </c>
      <c r="B40" s="5" t="s">
        <v>298</v>
      </c>
      <c r="C40" s="5" t="s">
        <v>200</v>
      </c>
      <c r="D40" s="5">
        <v>3</v>
      </c>
      <c r="E40" s="5">
        <v>1</v>
      </c>
      <c r="F40" s="5">
        <v>1</v>
      </c>
      <c r="G40" s="11">
        <f>E40*8*60*H40*I40</f>
        <v>349.92</v>
      </c>
      <c r="H40" s="8">
        <v>0.81</v>
      </c>
      <c r="I40" s="8">
        <v>0.9</v>
      </c>
      <c r="J40" s="5" t="str">
        <f>IF(G40&lt;720,"Potential bottleneck","OK")</f>
        <v>Potential bottleneck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">
      <c r="A41" s="5" t="s">
        <v>195</v>
      </c>
      <c r="B41" s="5" t="s">
        <v>270</v>
      </c>
      <c r="C41" s="5" t="s">
        <v>200</v>
      </c>
      <c r="D41" s="5">
        <v>3</v>
      </c>
      <c r="E41" s="5">
        <v>1</v>
      </c>
      <c r="F41" s="5">
        <v>1</v>
      </c>
      <c r="G41" s="11">
        <f>E41*8*60*H41*I41</f>
        <v>349.92</v>
      </c>
      <c r="H41" s="8">
        <v>0.81</v>
      </c>
      <c r="I41" s="8">
        <v>0.9</v>
      </c>
      <c r="J41" s="5" t="str">
        <f>IF(G41&lt;720,"Potential bottleneck","OK")</f>
        <v>Potential bottleneck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">
      <c r="A42" s="5" t="s">
        <v>195</v>
      </c>
      <c r="B42" s="5" t="s">
        <v>275</v>
      </c>
      <c r="C42" s="5" t="s">
        <v>200</v>
      </c>
      <c r="D42" s="5">
        <v>2</v>
      </c>
      <c r="E42" s="5">
        <v>1</v>
      </c>
      <c r="F42" s="5">
        <v>1</v>
      </c>
      <c r="G42" s="11">
        <f>E42*8*60*H42*I42</f>
        <v>349.92</v>
      </c>
      <c r="H42" s="8">
        <v>0.81</v>
      </c>
      <c r="I42" s="8">
        <v>0.9</v>
      </c>
      <c r="J42" s="5" t="str">
        <f>IF(G42&lt;720,"Potential bottleneck","OK")</f>
        <v>Potential bottleneck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">
      <c r="A43" s="5" t="s">
        <v>195</v>
      </c>
      <c r="B43" s="5" t="s">
        <v>279</v>
      </c>
      <c r="C43" s="5" t="s">
        <v>200</v>
      </c>
      <c r="D43" s="5">
        <v>3</v>
      </c>
      <c r="E43" s="5">
        <v>3</v>
      </c>
      <c r="F43" s="5">
        <v>2</v>
      </c>
      <c r="G43" s="11">
        <f>E43*8*60*H43*I43</f>
        <v>1049.7600000000002</v>
      </c>
      <c r="H43" s="8">
        <v>0.81</v>
      </c>
      <c r="I43" s="8">
        <v>0.9</v>
      </c>
      <c r="J43" s="5" t="str">
        <f>IF(G43&lt;720,"Potential bottleneck","OK")</f>
        <v>OK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">
      <c r="A44" s="5" t="s">
        <v>195</v>
      </c>
      <c r="B44" s="5" t="s">
        <v>297</v>
      </c>
      <c r="C44" s="5" t="s">
        <v>200</v>
      </c>
      <c r="D44" s="5">
        <v>4</v>
      </c>
      <c r="E44" s="5">
        <v>3</v>
      </c>
      <c r="F44" s="5">
        <v>3</v>
      </c>
      <c r="G44" s="11">
        <f>E44*8*60*H44*I44</f>
        <v>1049.7600000000002</v>
      </c>
      <c r="H44" s="8">
        <v>0.81</v>
      </c>
      <c r="I44" s="8">
        <v>0.9</v>
      </c>
      <c r="J44" s="5" t="str">
        <f>IF(G44&lt;720,"Potential bottleneck","OK")</f>
        <v>OK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">
      <c r="A45" s="5" t="s">
        <v>195</v>
      </c>
      <c r="B45" s="5" t="s">
        <v>292</v>
      </c>
      <c r="C45" s="5" t="s">
        <v>200</v>
      </c>
      <c r="D45" s="5">
        <v>5</v>
      </c>
      <c r="E45" s="5">
        <v>3</v>
      </c>
      <c r="F45" s="5">
        <v>3</v>
      </c>
      <c r="G45" s="11">
        <f>E45*8*60*H45*I45</f>
        <v>1049.7600000000002</v>
      </c>
      <c r="H45" s="8">
        <v>0.81</v>
      </c>
      <c r="I45" s="8">
        <v>0.9</v>
      </c>
      <c r="J45" s="5" t="str">
        <f>IF(G45&lt;720,"Potential bottleneck","OK")</f>
        <v>OK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">
      <c r="A46" s="5" t="s">
        <v>195</v>
      </c>
      <c r="B46" s="5" t="s">
        <v>299</v>
      </c>
      <c r="C46" s="5" t="s">
        <v>200</v>
      </c>
      <c r="D46" s="5">
        <v>5</v>
      </c>
      <c r="E46" s="5">
        <v>3</v>
      </c>
      <c r="F46" s="5">
        <v>2</v>
      </c>
      <c r="G46" s="11">
        <f>E46*8*60*H46*I46</f>
        <v>1049.7600000000002</v>
      </c>
      <c r="H46" s="8">
        <v>0.81</v>
      </c>
      <c r="I46" s="8">
        <v>0.9</v>
      </c>
      <c r="J46" s="5" t="str">
        <f>IF(G46&lt;720,"Potential bottleneck","OK")</f>
        <v>OK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">
      <c r="A47" s="5" t="s">
        <v>195</v>
      </c>
      <c r="B47" s="5" t="s">
        <v>293</v>
      </c>
      <c r="C47" s="5" t="s">
        <v>200</v>
      </c>
      <c r="D47" s="5">
        <v>8</v>
      </c>
      <c r="E47" s="5">
        <v>6</v>
      </c>
      <c r="F47" s="5">
        <v>6</v>
      </c>
      <c r="G47" s="11">
        <f>E47*8*60*H47*I47</f>
        <v>2099.5200000000004</v>
      </c>
      <c r="H47" s="8">
        <v>0.81</v>
      </c>
      <c r="I47" s="8">
        <v>0.9</v>
      </c>
      <c r="J47" s="5" t="str">
        <f>IF(G47&lt;720,"Potential bottleneck","OK")</f>
        <v>OK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">
      <c r="A48" s="5" t="s">
        <v>195</v>
      </c>
      <c r="B48" s="5" t="s">
        <v>289</v>
      </c>
      <c r="C48" s="5" t="s">
        <v>200</v>
      </c>
      <c r="D48" s="5">
        <v>7</v>
      </c>
      <c r="E48" s="5">
        <v>7</v>
      </c>
      <c r="F48" s="5">
        <v>7</v>
      </c>
      <c r="G48" s="11">
        <f>E48*8*60*H48*I48</f>
        <v>2449.4400000000005</v>
      </c>
      <c r="H48" s="8">
        <v>0.81</v>
      </c>
      <c r="I48" s="8">
        <v>0.9</v>
      </c>
      <c r="J48" s="5" t="str">
        <f>IF(G48&lt;720,"Potential bottleneck","OK")</f>
        <v>OK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">
      <c r="A49" s="5" t="s">
        <v>195</v>
      </c>
      <c r="B49" s="5" t="s">
        <v>286</v>
      </c>
      <c r="C49" s="5" t="s">
        <v>200</v>
      </c>
      <c r="D49" s="5">
        <v>6</v>
      </c>
      <c r="E49" s="5">
        <v>5</v>
      </c>
      <c r="F49" s="5">
        <v>4</v>
      </c>
      <c r="G49" s="11">
        <f>E49*8*60*H49*I49</f>
        <v>1749.6000000000001</v>
      </c>
      <c r="H49" s="8">
        <v>0.81</v>
      </c>
      <c r="I49" s="8">
        <v>0.9</v>
      </c>
      <c r="J49" s="5" t="str">
        <f>IF(G49&lt;720,"Potential bottleneck","OK")</f>
        <v>OK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">
      <c r="A50" s="5" t="s">
        <v>195</v>
      </c>
      <c r="B50" s="5" t="s">
        <v>278</v>
      </c>
      <c r="C50" s="5" t="s">
        <v>200</v>
      </c>
      <c r="D50" s="5">
        <v>6</v>
      </c>
      <c r="E50" s="5">
        <v>5</v>
      </c>
      <c r="F50" s="5">
        <v>4</v>
      </c>
      <c r="G50" s="11">
        <f>E50*8*60*H50*I50</f>
        <v>1749.6000000000001</v>
      </c>
      <c r="H50" s="8">
        <v>0.81</v>
      </c>
      <c r="I50" s="8">
        <v>0.9</v>
      </c>
      <c r="J50" s="5" t="str">
        <f>IF(G50&lt;720,"Potential bottleneck","OK")</f>
        <v>OK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">
      <c r="A51" s="5" t="s">
        <v>195</v>
      </c>
      <c r="B51" s="5" t="s">
        <v>269</v>
      </c>
      <c r="C51" s="5" t="s">
        <v>200</v>
      </c>
      <c r="D51" s="5">
        <v>3</v>
      </c>
      <c r="E51" s="5">
        <v>2</v>
      </c>
      <c r="F51" s="5">
        <v>1</v>
      </c>
      <c r="G51" s="11">
        <f>E51*8*60*H51*I51</f>
        <v>699.84</v>
      </c>
      <c r="H51" s="8">
        <v>0.81</v>
      </c>
      <c r="I51" s="8">
        <v>0.9</v>
      </c>
      <c r="J51" s="5" t="str">
        <f>IF(G51&lt;720,"Potential bottleneck","OK")</f>
        <v>Potential bottleneck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2">
      <c r="A52" s="5" t="s">
        <v>195</v>
      </c>
      <c r="B52" s="5" t="s">
        <v>280</v>
      </c>
      <c r="C52" s="5" t="s">
        <v>200</v>
      </c>
      <c r="D52" s="5">
        <v>6</v>
      </c>
      <c r="E52" s="5">
        <v>5</v>
      </c>
      <c r="F52" s="5">
        <v>4</v>
      </c>
      <c r="G52" s="11">
        <f>E52*8*60*H52*I52</f>
        <v>1749.6000000000001</v>
      </c>
      <c r="H52" s="8">
        <v>0.81</v>
      </c>
      <c r="I52" s="8">
        <v>0.9</v>
      </c>
      <c r="J52" s="5" t="str">
        <f>IF(G52&lt;720,"Potential bottleneck","OK")</f>
        <v>OK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">
      <c r="A53" s="5" t="s">
        <v>195</v>
      </c>
      <c r="B53" s="5" t="s">
        <v>281</v>
      </c>
      <c r="C53" s="5" t="s">
        <v>200</v>
      </c>
      <c r="D53" s="5">
        <v>6</v>
      </c>
      <c r="E53" s="5">
        <v>5</v>
      </c>
      <c r="F53" s="5">
        <v>5</v>
      </c>
      <c r="G53" s="11">
        <f>E53*8*60*H53*I53</f>
        <v>1749.6000000000001</v>
      </c>
      <c r="H53" s="8">
        <v>0.81</v>
      </c>
      <c r="I53" s="8">
        <v>0.9</v>
      </c>
      <c r="J53" s="5" t="str">
        <f>IF(G53&lt;720,"Potential bottleneck","OK")</f>
        <v>OK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">
      <c r="A54" s="5" t="s">
        <v>195</v>
      </c>
      <c r="B54" s="5" t="s">
        <v>272</v>
      </c>
      <c r="C54" s="5" t="s">
        <v>273</v>
      </c>
      <c r="D54" s="5">
        <v>2</v>
      </c>
      <c r="E54" s="5">
        <v>1</v>
      </c>
      <c r="F54" s="5">
        <v>0</v>
      </c>
      <c r="G54" s="11">
        <f>E54*8*60*H54*I54</f>
        <v>349.92</v>
      </c>
      <c r="H54" s="8">
        <v>0.81</v>
      </c>
      <c r="I54" s="8">
        <v>0.9</v>
      </c>
      <c r="J54" s="5" t="str">
        <f>IF(G54&lt;720,"Potential bottleneck","OK")</f>
        <v>Potential bottleneck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">
      <c r="A55" s="5" t="s">
        <v>195</v>
      </c>
      <c r="B55" s="5" t="s">
        <v>301</v>
      </c>
      <c r="C55" s="5" t="s">
        <v>200</v>
      </c>
      <c r="D55" s="5">
        <v>6</v>
      </c>
      <c r="E55" s="5">
        <v>5</v>
      </c>
      <c r="F55" s="5">
        <v>5</v>
      </c>
      <c r="G55" s="11">
        <f>E55*8*60*H55*I55</f>
        <v>1749.6000000000001</v>
      </c>
      <c r="H55" s="8">
        <v>0.81</v>
      </c>
      <c r="I55" s="8">
        <v>0.9</v>
      </c>
      <c r="J55" s="5" t="str">
        <f>IF(G55&lt;720,"Potential bottleneck","OK")</f>
        <v>OK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2">
      <c r="A56" s="5" t="s">
        <v>195</v>
      </c>
      <c r="B56" s="5" t="s">
        <v>290</v>
      </c>
      <c r="C56" s="5" t="s">
        <v>200</v>
      </c>
      <c r="D56" s="5">
        <v>4</v>
      </c>
      <c r="E56" s="5">
        <v>3</v>
      </c>
      <c r="F56" s="5">
        <v>3</v>
      </c>
      <c r="G56" s="11">
        <f>E56*8*60*H56*I56</f>
        <v>1049.7600000000002</v>
      </c>
      <c r="H56" s="8">
        <v>0.81</v>
      </c>
      <c r="I56" s="8">
        <v>0.9</v>
      </c>
      <c r="J56" s="5" t="str">
        <f>IF(G56&lt;720,"Potential bottleneck","OK")</f>
        <v>OK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">
      <c r="A57" s="5" t="s">
        <v>195</v>
      </c>
      <c r="B57" s="5" t="s">
        <v>296</v>
      </c>
      <c r="C57" s="5" t="s">
        <v>200</v>
      </c>
      <c r="D57" s="5">
        <v>7</v>
      </c>
      <c r="E57" s="5">
        <v>5</v>
      </c>
      <c r="F57" s="5">
        <v>4</v>
      </c>
      <c r="G57" s="11">
        <f>E57*8*60*H57*I57</f>
        <v>1749.6000000000001</v>
      </c>
      <c r="H57" s="8">
        <v>0.81</v>
      </c>
      <c r="I57" s="8">
        <v>0.9</v>
      </c>
      <c r="J57" s="5" t="str">
        <f>IF(G57&lt;720,"Potential bottleneck","OK")</f>
        <v>OK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">
      <c r="A58" s="5" t="s">
        <v>195</v>
      </c>
      <c r="B58" s="5" t="s">
        <v>282</v>
      </c>
      <c r="C58" s="5" t="s">
        <v>200</v>
      </c>
      <c r="D58" s="5">
        <v>4</v>
      </c>
      <c r="E58" s="5">
        <v>3</v>
      </c>
      <c r="F58" s="5">
        <v>2</v>
      </c>
      <c r="G58" s="11">
        <f>E58*8*60*H58*I58</f>
        <v>1049.7600000000002</v>
      </c>
      <c r="H58" s="8">
        <v>0.81</v>
      </c>
      <c r="I58" s="8">
        <v>0.9</v>
      </c>
      <c r="J58" s="5" t="str">
        <f>IF(G58&lt;720,"Potential bottleneck","OK")</f>
        <v>OK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">
      <c r="A59" s="5" t="s">
        <v>195</v>
      </c>
      <c r="B59" s="5" t="s">
        <v>300</v>
      </c>
      <c r="C59" s="5" t="s">
        <v>200</v>
      </c>
      <c r="D59" s="5">
        <v>6</v>
      </c>
      <c r="E59" s="5">
        <v>4</v>
      </c>
      <c r="F59" s="5">
        <v>3</v>
      </c>
      <c r="G59" s="11">
        <f>E59*8*60*H59*I59</f>
        <v>1399.68</v>
      </c>
      <c r="H59" s="8">
        <v>0.81</v>
      </c>
      <c r="I59" s="8">
        <v>0.9</v>
      </c>
      <c r="J59" s="5" t="str">
        <f>IF(G59&lt;720,"Potential bottleneck","OK")</f>
        <v>OK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">
      <c r="A60" s="5" t="s">
        <v>195</v>
      </c>
      <c r="B60" s="5" t="s">
        <v>302</v>
      </c>
      <c r="C60" s="5" t="s">
        <v>200</v>
      </c>
      <c r="D60" s="5">
        <v>4</v>
      </c>
      <c r="E60" s="5">
        <v>4</v>
      </c>
      <c r="F60" s="5">
        <v>3</v>
      </c>
      <c r="G60" s="11">
        <f>E60*8*60*H60*I60</f>
        <v>1399.68</v>
      </c>
      <c r="H60" s="8">
        <v>0.81</v>
      </c>
      <c r="I60" s="8">
        <v>0.9</v>
      </c>
      <c r="J60" s="5" t="str">
        <f>IF(G60&lt;720,"Potential bottleneck","OK")</f>
        <v>OK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">
      <c r="A61" s="5" t="s">
        <v>195</v>
      </c>
      <c r="B61" s="5" t="s">
        <v>295</v>
      </c>
      <c r="C61" s="5" t="s">
        <v>200</v>
      </c>
      <c r="D61" s="5">
        <v>5</v>
      </c>
      <c r="E61" s="5">
        <v>4</v>
      </c>
      <c r="F61" s="5">
        <v>4</v>
      </c>
      <c r="G61" s="11">
        <f>E61*8*60*H61*I61</f>
        <v>1399.68</v>
      </c>
      <c r="H61" s="8">
        <v>0.81</v>
      </c>
      <c r="I61" s="8">
        <v>0.9</v>
      </c>
      <c r="J61" s="5" t="str">
        <f>IF(G61&lt;720,"Potential bottleneck","OK")</f>
        <v>OK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">
      <c r="A62" s="5" t="s">
        <v>195</v>
      </c>
      <c r="B62" s="5" t="s">
        <v>304</v>
      </c>
      <c r="C62" s="5" t="s">
        <v>200</v>
      </c>
      <c r="D62" s="5">
        <v>4</v>
      </c>
      <c r="E62" s="5">
        <v>4</v>
      </c>
      <c r="F62" s="5">
        <v>3</v>
      </c>
      <c r="G62" s="11">
        <f>E62*8*60*H62*I62</f>
        <v>1399.68</v>
      </c>
      <c r="H62" s="8">
        <v>0.81</v>
      </c>
      <c r="I62" s="8">
        <v>0.9</v>
      </c>
      <c r="J62" s="5" t="str">
        <f>IF(G62&lt;720,"Potential bottleneck","OK")</f>
        <v>OK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">
      <c r="A63" s="5" t="s">
        <v>195</v>
      </c>
      <c r="B63" s="5" t="s">
        <v>303</v>
      </c>
      <c r="C63" s="5" t="s">
        <v>200</v>
      </c>
      <c r="D63" s="5">
        <v>7</v>
      </c>
      <c r="E63" s="5">
        <v>7</v>
      </c>
      <c r="F63" s="5">
        <v>6</v>
      </c>
      <c r="G63" s="11">
        <f>E63*8*60*H63*I63</f>
        <v>2449.4400000000005</v>
      </c>
      <c r="H63" s="8">
        <v>0.81</v>
      </c>
      <c r="I63" s="8">
        <v>0.9</v>
      </c>
      <c r="J63" s="5" t="str">
        <f>IF(G63&lt;720,"Potential bottleneck","OK")</f>
        <v>OK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">
      <c r="A64" s="5" t="s">
        <v>195</v>
      </c>
      <c r="B64" s="5" t="s">
        <v>268</v>
      </c>
      <c r="C64" s="5" t="s">
        <v>200</v>
      </c>
      <c r="D64" s="5">
        <v>5</v>
      </c>
      <c r="E64" s="5">
        <v>3</v>
      </c>
      <c r="F64" s="5">
        <v>2</v>
      </c>
      <c r="G64" s="11">
        <f>E64*8*60*H64*I64</f>
        <v>1049.7600000000002</v>
      </c>
      <c r="H64" s="8">
        <v>0.81</v>
      </c>
      <c r="I64" s="8">
        <v>0.9</v>
      </c>
      <c r="J64" s="5" t="str">
        <f>IF(G64&lt;720,"Potential bottleneck","OK")</f>
        <v>OK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">
      <c r="A65" s="5" t="s">
        <v>195</v>
      </c>
      <c r="B65" s="5" t="s">
        <v>291</v>
      </c>
      <c r="C65" s="5" t="s">
        <v>200</v>
      </c>
      <c r="D65" s="5">
        <v>7</v>
      </c>
      <c r="E65" s="5">
        <v>6</v>
      </c>
      <c r="F65" s="5">
        <v>6</v>
      </c>
      <c r="G65" s="11">
        <f>E65*8*60*H65*I65</f>
        <v>2099.5200000000004</v>
      </c>
      <c r="H65" s="8">
        <v>0.81</v>
      </c>
      <c r="I65" s="8">
        <v>0.9</v>
      </c>
      <c r="J65" s="5" t="str">
        <f>IF(G65&lt;720,"Potential bottleneck","OK")</f>
        <v>OK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">
      <c r="A66" s="5" t="s">
        <v>195</v>
      </c>
      <c r="B66" s="5" t="s">
        <v>276</v>
      </c>
      <c r="C66" s="5" t="s">
        <v>200</v>
      </c>
      <c r="D66" s="5">
        <v>3</v>
      </c>
      <c r="E66" s="5">
        <v>1</v>
      </c>
      <c r="F66" s="5">
        <v>1</v>
      </c>
      <c r="G66" s="11">
        <f>E66*8*60*H66*I66</f>
        <v>349.92</v>
      </c>
      <c r="H66" s="8">
        <v>0.81</v>
      </c>
      <c r="I66" s="8">
        <v>0.9</v>
      </c>
      <c r="J66" s="5" t="str">
        <f>IF(G66&lt;720,"Potential bottleneck","OK")</f>
        <v>Potential bottleneck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">
      <c r="A67" s="5" t="s">
        <v>195</v>
      </c>
      <c r="B67" s="5" t="s">
        <v>305</v>
      </c>
      <c r="C67" s="5" t="s">
        <v>200</v>
      </c>
      <c r="D67" s="5">
        <v>6</v>
      </c>
      <c r="E67" s="5">
        <v>4</v>
      </c>
      <c r="F67" s="5">
        <v>3</v>
      </c>
      <c r="G67" s="11">
        <f>E67*8*60*H67*I67</f>
        <v>1399.68</v>
      </c>
      <c r="H67" s="8">
        <v>0.81</v>
      </c>
      <c r="I67" s="8">
        <v>0.9</v>
      </c>
      <c r="J67" s="5" t="str">
        <f>IF(G67&lt;720,"Potential bottleneck","OK")</f>
        <v>OK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">
      <c r="A68" s="5" t="s">
        <v>195</v>
      </c>
      <c r="B68" s="5" t="s">
        <v>274</v>
      </c>
      <c r="C68" s="5" t="s">
        <v>238</v>
      </c>
      <c r="D68" s="5">
        <v>2</v>
      </c>
      <c r="E68" s="5">
        <v>2</v>
      </c>
      <c r="F68" s="5">
        <v>2</v>
      </c>
      <c r="G68" s="11">
        <f>E68*8*60*H68*I68</f>
        <v>699.84</v>
      </c>
      <c r="H68" s="8">
        <v>0.81</v>
      </c>
      <c r="I68" s="8">
        <v>0.9</v>
      </c>
      <c r="J68" s="5" t="str">
        <f>IF(G68&lt;720,"Potential bottleneck","OK")</f>
        <v>Potential bottleneck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">
      <c r="A69" s="5" t="s">
        <v>195</v>
      </c>
      <c r="B69" s="5" t="s">
        <v>294</v>
      </c>
      <c r="C69" s="5" t="s">
        <v>200</v>
      </c>
      <c r="D69" s="5">
        <v>3</v>
      </c>
      <c r="E69" s="5">
        <v>3</v>
      </c>
      <c r="F69" s="5">
        <v>3</v>
      </c>
      <c r="G69" s="11">
        <f>E69*8*60*H69*I69</f>
        <v>1049.7600000000002</v>
      </c>
      <c r="H69" s="8">
        <v>0.81</v>
      </c>
      <c r="I69" s="8">
        <v>0.9</v>
      </c>
      <c r="J69" s="5" t="str">
        <f>IF(G69&lt;720,"Potential bottleneck","OK")</f>
        <v>OK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">
      <c r="A70" s="5" t="s">
        <v>195</v>
      </c>
      <c r="B70" s="5" t="s">
        <v>285</v>
      </c>
      <c r="C70" s="5" t="s">
        <v>200</v>
      </c>
      <c r="D70" s="5">
        <v>7</v>
      </c>
      <c r="E70" s="5">
        <v>7</v>
      </c>
      <c r="F70" s="5">
        <v>7</v>
      </c>
      <c r="G70" s="11">
        <f>E70*8*60*H70*I70</f>
        <v>2449.4400000000005</v>
      </c>
      <c r="H70" s="8">
        <v>0.81</v>
      </c>
      <c r="I70" s="8">
        <v>0.9</v>
      </c>
      <c r="J70" s="5" t="str">
        <f>IF(G70&lt;720,"Potential bottleneck","OK")</f>
        <v>OK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">
      <c r="A71" s="5" t="s">
        <v>195</v>
      </c>
      <c r="B71" s="5" t="s">
        <v>277</v>
      </c>
      <c r="C71" s="5" t="s">
        <v>238</v>
      </c>
      <c r="D71" s="5">
        <v>1</v>
      </c>
      <c r="E71" s="5">
        <v>1</v>
      </c>
      <c r="F71" s="5">
        <v>1</v>
      </c>
      <c r="G71" s="11">
        <f>E71*8*60*H71*I71</f>
        <v>349.92</v>
      </c>
      <c r="H71" s="8">
        <v>0.81</v>
      </c>
      <c r="I71" s="8">
        <v>0.9</v>
      </c>
      <c r="J71" s="5" t="str">
        <f>IF(G71&lt;720,"Potential bottleneck","OK")</f>
        <v>Potential bottleneck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">
      <c r="A72" s="5" t="s">
        <v>195</v>
      </c>
      <c r="B72" s="5" t="s">
        <v>271</v>
      </c>
      <c r="C72" s="5" t="s">
        <v>238</v>
      </c>
      <c r="D72" s="5">
        <v>4</v>
      </c>
      <c r="E72" s="5">
        <v>4</v>
      </c>
      <c r="F72" s="5">
        <v>4</v>
      </c>
      <c r="G72" s="11">
        <f>E72*8*60*H72*I72</f>
        <v>1399.68</v>
      </c>
      <c r="H72" s="8">
        <v>0.81</v>
      </c>
      <c r="I72" s="8">
        <v>0.9</v>
      </c>
      <c r="J72" s="5" t="str">
        <f>IF(G72&lt;720,"Potential bottleneck","OK")</f>
        <v>OK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">
      <c r="A73" s="5" t="s">
        <v>195</v>
      </c>
      <c r="B73" s="5" t="s">
        <v>287</v>
      </c>
      <c r="C73" s="5" t="s">
        <v>238</v>
      </c>
      <c r="D73" s="5">
        <v>1</v>
      </c>
      <c r="E73" s="5">
        <v>1</v>
      </c>
      <c r="F73" s="5">
        <v>1</v>
      </c>
      <c r="G73" s="11">
        <f>E73*8*60*H73*I73</f>
        <v>349.92</v>
      </c>
      <c r="H73" s="8">
        <v>0.81</v>
      </c>
      <c r="I73" s="8">
        <v>0.9</v>
      </c>
      <c r="J73" s="5" t="str">
        <f>IF(G73&lt;720,"Potential bottleneck","OK")</f>
        <v>Potential bottleneck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">
      <c r="A74" s="5" t="s">
        <v>195</v>
      </c>
      <c r="B74" s="5" t="s">
        <v>264</v>
      </c>
      <c r="C74" s="5" t="s">
        <v>197</v>
      </c>
      <c r="D74" s="5">
        <v>4</v>
      </c>
      <c r="E74" s="5">
        <v>2</v>
      </c>
      <c r="F74" s="5">
        <v>1</v>
      </c>
      <c r="G74" s="11">
        <f>E74*8*60*H74*I74</f>
        <v>699.84</v>
      </c>
      <c r="H74" s="8">
        <v>0.81</v>
      </c>
      <c r="I74" s="8">
        <v>0.9</v>
      </c>
      <c r="J74" s="5" t="str">
        <f>IF(G74&lt;720,"Potential bottleneck","OK")</f>
        <v>Potential bottleneck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">
      <c r="A75" s="5" t="s">
        <v>195</v>
      </c>
      <c r="B75" s="5" t="s">
        <v>288</v>
      </c>
      <c r="C75" s="5" t="s">
        <v>200</v>
      </c>
      <c r="D75" s="5">
        <v>5</v>
      </c>
      <c r="E75" s="5">
        <v>3</v>
      </c>
      <c r="F75" s="5">
        <v>3</v>
      </c>
      <c r="G75" s="11">
        <f>E75*8*60*H75*I75</f>
        <v>1049.7600000000002</v>
      </c>
      <c r="H75" s="8">
        <v>0.81</v>
      </c>
      <c r="I75" s="8">
        <v>0.9</v>
      </c>
      <c r="J75" s="5" t="str">
        <f>IF(G75&lt;720,"Potential bottleneck","OK")</f>
        <v>OK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">
      <c r="A76" s="5" t="s">
        <v>155</v>
      </c>
      <c r="B76" s="5" t="s">
        <v>266</v>
      </c>
      <c r="C76" s="5" t="s">
        <v>197</v>
      </c>
      <c r="D76" s="5">
        <v>3</v>
      </c>
      <c r="E76" s="5">
        <v>2</v>
      </c>
      <c r="F76" s="5">
        <v>1</v>
      </c>
      <c r="G76" s="11">
        <f>E76*8*60*H76*I76</f>
        <v>708.4799999999999</v>
      </c>
      <c r="H76" s="8">
        <v>0.82</v>
      </c>
      <c r="I76" s="8">
        <v>0.9</v>
      </c>
      <c r="J76" s="5" t="str">
        <f>IF(G76&lt;720,"Potential bottleneck","OK")</f>
        <v>Potential bottleneck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">
      <c r="A77" s="5" t="s">
        <v>155</v>
      </c>
      <c r="B77" s="5" t="s">
        <v>298</v>
      </c>
      <c r="C77" s="5" t="s">
        <v>200</v>
      </c>
      <c r="D77" s="5">
        <v>7</v>
      </c>
      <c r="E77" s="5">
        <v>7</v>
      </c>
      <c r="F77" s="5">
        <v>7</v>
      </c>
      <c r="G77" s="11">
        <f>E77*8*60*H77*I77</f>
        <v>2479.6799999999998</v>
      </c>
      <c r="H77" s="8">
        <v>0.82</v>
      </c>
      <c r="I77" s="8">
        <v>0.9</v>
      </c>
      <c r="J77" s="5" t="str">
        <f>IF(G77&lt;720,"Potential bottleneck","OK")</f>
        <v>OK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">
      <c r="A78" s="5" t="s">
        <v>155</v>
      </c>
      <c r="B78" s="5" t="s">
        <v>270</v>
      </c>
      <c r="C78" s="5" t="s">
        <v>200</v>
      </c>
      <c r="D78" s="5">
        <v>7</v>
      </c>
      <c r="E78" s="5">
        <v>5</v>
      </c>
      <c r="F78" s="5">
        <v>5</v>
      </c>
      <c r="G78" s="11">
        <f>E78*8*60*H78*I78</f>
        <v>1771.1999999999998</v>
      </c>
      <c r="H78" s="8">
        <v>0.82</v>
      </c>
      <c r="I78" s="8">
        <v>0.9</v>
      </c>
      <c r="J78" s="5" t="str">
        <f>IF(G78&lt;720,"Potential bottleneck","OK")</f>
        <v>OK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">
      <c r="A79" s="5" t="s">
        <v>155</v>
      </c>
      <c r="B79" s="5" t="s">
        <v>275</v>
      </c>
      <c r="C79" s="5" t="s">
        <v>200</v>
      </c>
      <c r="D79" s="5">
        <v>6</v>
      </c>
      <c r="E79" s="5">
        <v>4</v>
      </c>
      <c r="F79" s="5">
        <v>4</v>
      </c>
      <c r="G79" s="11">
        <f>E79*8*60*H79*I79</f>
        <v>1416.9599999999998</v>
      </c>
      <c r="H79" s="8">
        <v>0.82</v>
      </c>
      <c r="I79" s="8">
        <v>0.9</v>
      </c>
      <c r="J79" s="5" t="str">
        <f>IF(G79&lt;720,"Potential bottleneck","OK")</f>
        <v>OK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">
      <c r="A80" s="5" t="s">
        <v>155</v>
      </c>
      <c r="B80" s="5" t="s">
        <v>279</v>
      </c>
      <c r="C80" s="5" t="s">
        <v>200</v>
      </c>
      <c r="D80" s="5">
        <v>3</v>
      </c>
      <c r="E80" s="5">
        <v>2</v>
      </c>
      <c r="F80" s="5">
        <v>2</v>
      </c>
      <c r="G80" s="11">
        <f>E80*8*60*H80*I80</f>
        <v>708.4799999999999</v>
      </c>
      <c r="H80" s="8">
        <v>0.82</v>
      </c>
      <c r="I80" s="8">
        <v>0.9</v>
      </c>
      <c r="J80" s="5" t="str">
        <f>IF(G80&lt;720,"Potential bottleneck","OK")</f>
        <v>Potential bottleneck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">
      <c r="A81" s="5" t="s">
        <v>155</v>
      </c>
      <c r="B81" s="5" t="s">
        <v>297</v>
      </c>
      <c r="C81" s="5" t="s">
        <v>200</v>
      </c>
      <c r="D81" s="5">
        <v>2</v>
      </c>
      <c r="E81" s="5">
        <v>1</v>
      </c>
      <c r="F81" s="5">
        <v>1</v>
      </c>
      <c r="G81" s="11">
        <f>E81*8*60*H81*I81</f>
        <v>354.23999999999995</v>
      </c>
      <c r="H81" s="8">
        <v>0.82</v>
      </c>
      <c r="I81" s="8">
        <v>0.9</v>
      </c>
      <c r="J81" s="5" t="str">
        <f>IF(G81&lt;720,"Potential bottleneck","OK")</f>
        <v>Potential bottleneck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">
      <c r="A82" s="5" t="s">
        <v>155</v>
      </c>
      <c r="B82" s="5" t="s">
        <v>292</v>
      </c>
      <c r="C82" s="5" t="s">
        <v>200</v>
      </c>
      <c r="D82" s="5">
        <v>3</v>
      </c>
      <c r="E82" s="5">
        <v>1</v>
      </c>
      <c r="F82" s="5">
        <v>1</v>
      </c>
      <c r="G82" s="11">
        <f>E82*8*60*H82*I82</f>
        <v>354.23999999999995</v>
      </c>
      <c r="H82" s="8">
        <v>0.82</v>
      </c>
      <c r="I82" s="8">
        <v>0.9</v>
      </c>
      <c r="J82" s="5" t="str">
        <f>IF(G82&lt;720,"Potential bottleneck","OK")</f>
        <v>Potential bottleneck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">
      <c r="A83" s="5" t="s">
        <v>155</v>
      </c>
      <c r="B83" s="5" t="s">
        <v>299</v>
      </c>
      <c r="C83" s="5" t="s">
        <v>200</v>
      </c>
      <c r="D83" s="5">
        <v>2</v>
      </c>
      <c r="E83" s="5">
        <v>2</v>
      </c>
      <c r="F83" s="5">
        <v>1</v>
      </c>
      <c r="G83" s="11">
        <f>E83*8*60*H83*I83</f>
        <v>708.4799999999999</v>
      </c>
      <c r="H83" s="8">
        <v>0.82</v>
      </c>
      <c r="I83" s="8">
        <v>0.9</v>
      </c>
      <c r="J83" s="5" t="str">
        <f>IF(G83&lt;720,"Potential bottleneck","OK")</f>
        <v>Potential bottleneck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">
      <c r="A84" s="5" t="s">
        <v>155</v>
      </c>
      <c r="B84" s="5" t="s">
        <v>293</v>
      </c>
      <c r="C84" s="5" t="s">
        <v>200</v>
      </c>
      <c r="D84" s="5">
        <v>6</v>
      </c>
      <c r="E84" s="5">
        <v>4</v>
      </c>
      <c r="F84" s="5">
        <v>4</v>
      </c>
      <c r="G84" s="11">
        <f>E84*8*60*H84*I84</f>
        <v>1416.9599999999998</v>
      </c>
      <c r="H84" s="8">
        <v>0.82</v>
      </c>
      <c r="I84" s="8">
        <v>0.9</v>
      </c>
      <c r="J84" s="5" t="str">
        <f>IF(G84&lt;720,"Potential bottleneck","OK")</f>
        <v>OK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">
      <c r="A85" s="5" t="s">
        <v>155</v>
      </c>
      <c r="B85" s="5" t="s">
        <v>289</v>
      </c>
      <c r="C85" s="5" t="s">
        <v>200</v>
      </c>
      <c r="D85" s="5">
        <v>4</v>
      </c>
      <c r="E85" s="5">
        <v>3</v>
      </c>
      <c r="F85" s="5">
        <v>2</v>
      </c>
      <c r="G85" s="11">
        <f>E85*8*60*H85*I85</f>
        <v>1062.72</v>
      </c>
      <c r="H85" s="8">
        <v>0.82</v>
      </c>
      <c r="I85" s="8">
        <v>0.9</v>
      </c>
      <c r="J85" s="5" t="str">
        <f>IF(G85&lt;720,"Potential bottleneck","OK")</f>
        <v>OK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">
      <c r="A86" s="5" t="s">
        <v>155</v>
      </c>
      <c r="B86" s="5" t="s">
        <v>286</v>
      </c>
      <c r="C86" s="5" t="s">
        <v>200</v>
      </c>
      <c r="D86" s="5">
        <v>7</v>
      </c>
      <c r="E86" s="5">
        <v>5</v>
      </c>
      <c r="F86" s="5">
        <v>4</v>
      </c>
      <c r="G86" s="11">
        <f>E86*8*60*H86*I86</f>
        <v>1771.1999999999998</v>
      </c>
      <c r="H86" s="8">
        <v>0.82</v>
      </c>
      <c r="I86" s="8">
        <v>0.9</v>
      </c>
      <c r="J86" s="5" t="str">
        <f>IF(G86&lt;720,"Potential bottleneck","OK")</f>
        <v>OK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">
      <c r="A87" s="5" t="s">
        <v>155</v>
      </c>
      <c r="B87" s="5" t="s">
        <v>278</v>
      </c>
      <c r="C87" s="5" t="s">
        <v>200</v>
      </c>
      <c r="D87" s="5">
        <v>3</v>
      </c>
      <c r="E87" s="5">
        <v>1</v>
      </c>
      <c r="F87" s="5">
        <v>1</v>
      </c>
      <c r="G87" s="11">
        <f>E87*8*60*H87*I87</f>
        <v>354.23999999999995</v>
      </c>
      <c r="H87" s="8">
        <v>0.82</v>
      </c>
      <c r="I87" s="8">
        <v>0.9</v>
      </c>
      <c r="J87" s="5" t="str">
        <f>IF(G87&lt;720,"Potential bottleneck","OK")</f>
        <v>Potential bottleneck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">
      <c r="A88" s="5" t="s">
        <v>155</v>
      </c>
      <c r="B88" s="5" t="s">
        <v>269</v>
      </c>
      <c r="C88" s="5" t="s">
        <v>200</v>
      </c>
      <c r="D88" s="5">
        <v>4</v>
      </c>
      <c r="E88" s="5">
        <v>4</v>
      </c>
      <c r="F88" s="5">
        <v>4</v>
      </c>
      <c r="G88" s="11">
        <f>E88*8*60*H88*I88</f>
        <v>1416.9599999999998</v>
      </c>
      <c r="H88" s="8">
        <v>0.82</v>
      </c>
      <c r="I88" s="8">
        <v>0.9</v>
      </c>
      <c r="J88" s="5" t="str">
        <f>IF(G88&lt;720,"Potential bottleneck","OK")</f>
        <v>OK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">
      <c r="A89" s="5" t="s">
        <v>155</v>
      </c>
      <c r="B89" s="5" t="s">
        <v>280</v>
      </c>
      <c r="C89" s="5" t="s">
        <v>200</v>
      </c>
      <c r="D89" s="5">
        <v>4</v>
      </c>
      <c r="E89" s="5">
        <v>4</v>
      </c>
      <c r="F89" s="5">
        <v>3</v>
      </c>
      <c r="G89" s="11">
        <f>E89*8*60*H89*I89</f>
        <v>1416.9599999999998</v>
      </c>
      <c r="H89" s="8">
        <v>0.82</v>
      </c>
      <c r="I89" s="8">
        <v>0.9</v>
      </c>
      <c r="J89" s="5" t="str">
        <f>IF(G89&lt;720,"Potential bottleneck","OK")</f>
        <v>OK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">
      <c r="A90" s="5" t="s">
        <v>155</v>
      </c>
      <c r="B90" s="5" t="s">
        <v>281</v>
      </c>
      <c r="C90" s="5" t="s">
        <v>200</v>
      </c>
      <c r="D90" s="5">
        <v>7</v>
      </c>
      <c r="E90" s="5">
        <v>6</v>
      </c>
      <c r="F90" s="5">
        <v>6</v>
      </c>
      <c r="G90" s="11">
        <f>E90*8*60*H90*I90</f>
        <v>2125.44</v>
      </c>
      <c r="H90" s="8">
        <v>0.82</v>
      </c>
      <c r="I90" s="8">
        <v>0.9</v>
      </c>
      <c r="J90" s="5" t="str">
        <f>IF(G90&lt;720,"Potential bottleneck","OK")</f>
        <v>OK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">
      <c r="A91" s="5" t="s">
        <v>155</v>
      </c>
      <c r="B91" s="5" t="s">
        <v>272</v>
      </c>
      <c r="C91" s="5" t="s">
        <v>273</v>
      </c>
      <c r="D91" s="5">
        <v>1</v>
      </c>
      <c r="E91" s="5">
        <v>1</v>
      </c>
      <c r="F91" s="5">
        <v>0</v>
      </c>
      <c r="G91" s="11">
        <f>E91*8*60*H91*I91</f>
        <v>354.23999999999995</v>
      </c>
      <c r="H91" s="8">
        <v>0.82</v>
      </c>
      <c r="I91" s="8">
        <v>0.9</v>
      </c>
      <c r="J91" s="5" t="str">
        <f>IF(G91&lt;720,"Potential bottleneck","OK")</f>
        <v>Potential bottleneck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">
      <c r="A92" s="5" t="s">
        <v>155</v>
      </c>
      <c r="B92" s="5" t="s">
        <v>301</v>
      </c>
      <c r="C92" s="5" t="s">
        <v>200</v>
      </c>
      <c r="D92" s="5">
        <v>4</v>
      </c>
      <c r="E92" s="5">
        <v>3</v>
      </c>
      <c r="F92" s="5">
        <v>3</v>
      </c>
      <c r="G92" s="11">
        <f>E92*8*60*H92*I92</f>
        <v>1062.72</v>
      </c>
      <c r="H92" s="8">
        <v>0.82</v>
      </c>
      <c r="I92" s="8">
        <v>0.9</v>
      </c>
      <c r="J92" s="5" t="str">
        <f>IF(G92&lt;720,"Potential bottleneck","OK")</f>
        <v>OK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">
      <c r="A93" s="5" t="s">
        <v>155</v>
      </c>
      <c r="B93" s="5" t="s">
        <v>290</v>
      </c>
      <c r="C93" s="5" t="s">
        <v>200</v>
      </c>
      <c r="D93" s="5">
        <v>3</v>
      </c>
      <c r="E93" s="5">
        <v>1</v>
      </c>
      <c r="F93" s="5">
        <v>1</v>
      </c>
      <c r="G93" s="11">
        <f>E93*8*60*H93*I93</f>
        <v>354.23999999999995</v>
      </c>
      <c r="H93" s="8">
        <v>0.82</v>
      </c>
      <c r="I93" s="8">
        <v>0.9</v>
      </c>
      <c r="J93" s="5" t="str">
        <f>IF(G93&lt;720,"Potential bottleneck","OK")</f>
        <v>Potential bottleneck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">
      <c r="A94" s="5" t="s">
        <v>155</v>
      </c>
      <c r="B94" s="5" t="s">
        <v>296</v>
      </c>
      <c r="C94" s="5" t="s">
        <v>200</v>
      </c>
      <c r="D94" s="5">
        <v>8</v>
      </c>
      <c r="E94" s="5">
        <v>7</v>
      </c>
      <c r="F94" s="5">
        <v>6</v>
      </c>
      <c r="G94" s="11">
        <f>E94*8*60*H94*I94</f>
        <v>2479.6799999999998</v>
      </c>
      <c r="H94" s="8">
        <v>0.82</v>
      </c>
      <c r="I94" s="8">
        <v>0.9</v>
      </c>
      <c r="J94" s="5" t="str">
        <f>IF(G94&lt;720,"Potential bottleneck","OK")</f>
        <v>OK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">
      <c r="A95" s="5" t="s">
        <v>155</v>
      </c>
      <c r="B95" s="5" t="s">
        <v>282</v>
      </c>
      <c r="C95" s="5" t="s">
        <v>200</v>
      </c>
      <c r="D95" s="5">
        <v>2</v>
      </c>
      <c r="E95" s="5">
        <v>1</v>
      </c>
      <c r="F95" s="5">
        <v>1</v>
      </c>
      <c r="G95" s="11">
        <f>E95*8*60*H95*I95</f>
        <v>354.23999999999995</v>
      </c>
      <c r="H95" s="8">
        <v>0.82</v>
      </c>
      <c r="I95" s="8">
        <v>0.9</v>
      </c>
      <c r="J95" s="5" t="str">
        <f>IF(G95&lt;720,"Potential bottleneck","OK")</f>
        <v>Potential bottleneck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">
      <c r="A96" s="5" t="s">
        <v>155</v>
      </c>
      <c r="B96" s="5" t="s">
        <v>300</v>
      </c>
      <c r="C96" s="5" t="s">
        <v>200</v>
      </c>
      <c r="D96" s="5">
        <v>3</v>
      </c>
      <c r="E96" s="5">
        <v>3</v>
      </c>
      <c r="F96" s="5">
        <v>2</v>
      </c>
      <c r="G96" s="11">
        <f>E96*8*60*H96*I96</f>
        <v>1062.72</v>
      </c>
      <c r="H96" s="8">
        <v>0.82</v>
      </c>
      <c r="I96" s="8">
        <v>0.9</v>
      </c>
      <c r="J96" s="5" t="str">
        <f>IF(G96&lt;720,"Potential bottleneck","OK")</f>
        <v>OK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">
      <c r="A97" s="5" t="s">
        <v>155</v>
      </c>
      <c r="B97" s="5" t="s">
        <v>302</v>
      </c>
      <c r="C97" s="5" t="s">
        <v>200</v>
      </c>
      <c r="D97" s="5">
        <v>4</v>
      </c>
      <c r="E97" s="5">
        <v>4</v>
      </c>
      <c r="F97" s="5">
        <v>4</v>
      </c>
      <c r="G97" s="11">
        <f>E97*8*60*H97*I97</f>
        <v>1416.9599999999998</v>
      </c>
      <c r="H97" s="8">
        <v>0.82</v>
      </c>
      <c r="I97" s="8">
        <v>0.9</v>
      </c>
      <c r="J97" s="5" t="str">
        <f>IF(G97&lt;720,"Potential bottleneck","OK")</f>
        <v>OK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">
      <c r="A98" s="5" t="s">
        <v>155</v>
      </c>
      <c r="B98" s="5" t="s">
        <v>295</v>
      </c>
      <c r="C98" s="5" t="s">
        <v>200</v>
      </c>
      <c r="D98" s="5">
        <v>4</v>
      </c>
      <c r="E98" s="5">
        <v>3</v>
      </c>
      <c r="F98" s="5">
        <v>3</v>
      </c>
      <c r="G98" s="11">
        <f>E98*8*60*H98*I98</f>
        <v>1062.72</v>
      </c>
      <c r="H98" s="8">
        <v>0.82</v>
      </c>
      <c r="I98" s="8">
        <v>0.9</v>
      </c>
      <c r="J98" s="5" t="str">
        <f>IF(G98&lt;720,"Potential bottleneck","OK")</f>
        <v>OK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">
      <c r="A99" s="5" t="s">
        <v>155</v>
      </c>
      <c r="B99" s="5" t="s">
        <v>304</v>
      </c>
      <c r="C99" s="5" t="s">
        <v>200</v>
      </c>
      <c r="D99" s="5">
        <v>5</v>
      </c>
      <c r="E99" s="5">
        <v>4</v>
      </c>
      <c r="F99" s="5">
        <v>3</v>
      </c>
      <c r="G99" s="11">
        <f>E99*8*60*H99*I99</f>
        <v>1416.9599999999998</v>
      </c>
      <c r="H99" s="8">
        <v>0.82</v>
      </c>
      <c r="I99" s="8">
        <v>0.9</v>
      </c>
      <c r="J99" s="5" t="str">
        <f>IF(G99&lt;720,"Potential bottleneck","OK")</f>
        <v>OK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">
      <c r="A100" s="5" t="s">
        <v>155</v>
      </c>
      <c r="B100" s="5" t="s">
        <v>303</v>
      </c>
      <c r="C100" s="5" t="s">
        <v>200</v>
      </c>
      <c r="D100" s="5">
        <v>4</v>
      </c>
      <c r="E100" s="5">
        <v>2</v>
      </c>
      <c r="F100" s="5">
        <v>2</v>
      </c>
      <c r="G100" s="11">
        <f>E100*8*60*H100*I100</f>
        <v>708.4799999999999</v>
      </c>
      <c r="H100" s="8">
        <v>0.82</v>
      </c>
      <c r="I100" s="8">
        <v>0.9</v>
      </c>
      <c r="J100" s="5" t="str">
        <f>IF(G100&lt;720,"Potential bottleneck","OK")</f>
        <v>Potential bottleneck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">
      <c r="A101" s="5" t="s">
        <v>155</v>
      </c>
      <c r="B101" s="5" t="s">
        <v>268</v>
      </c>
      <c r="C101" s="5" t="s">
        <v>200</v>
      </c>
      <c r="D101" s="5">
        <v>4</v>
      </c>
      <c r="E101" s="5">
        <v>2</v>
      </c>
      <c r="F101" s="5">
        <v>1</v>
      </c>
      <c r="G101" s="11">
        <f>E101*8*60*H101*I101</f>
        <v>708.4799999999999</v>
      </c>
      <c r="H101" s="8">
        <v>0.82</v>
      </c>
      <c r="I101" s="8">
        <v>0.9</v>
      </c>
      <c r="J101" s="5" t="str">
        <f>IF(G101&lt;720,"Potential bottleneck","OK")</f>
        <v>Potential bottleneck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">
      <c r="A102" s="5" t="s">
        <v>155</v>
      </c>
      <c r="B102" s="5" t="s">
        <v>291</v>
      </c>
      <c r="C102" s="5" t="s">
        <v>200</v>
      </c>
      <c r="D102" s="5">
        <v>7</v>
      </c>
      <c r="E102" s="5">
        <v>7</v>
      </c>
      <c r="F102" s="5">
        <v>7</v>
      </c>
      <c r="G102" s="11">
        <f>E102*8*60*H102*I102</f>
        <v>2479.6799999999998</v>
      </c>
      <c r="H102" s="8">
        <v>0.82</v>
      </c>
      <c r="I102" s="8">
        <v>0.9</v>
      </c>
      <c r="J102" s="5" t="str">
        <f>IF(G102&lt;720,"Potential bottleneck","OK")</f>
        <v>OK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">
      <c r="A103" s="5" t="s">
        <v>155</v>
      </c>
      <c r="B103" s="5" t="s">
        <v>276</v>
      </c>
      <c r="C103" s="5" t="s">
        <v>200</v>
      </c>
      <c r="D103" s="5">
        <v>7</v>
      </c>
      <c r="E103" s="5">
        <v>7</v>
      </c>
      <c r="F103" s="5">
        <v>6</v>
      </c>
      <c r="G103" s="11">
        <f>E103*8*60*H103*I103</f>
        <v>2479.6799999999998</v>
      </c>
      <c r="H103" s="8">
        <v>0.82</v>
      </c>
      <c r="I103" s="8">
        <v>0.9</v>
      </c>
      <c r="J103" s="5" t="str">
        <f>IF(G103&lt;720,"Potential bottleneck","OK")</f>
        <v>OK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">
      <c r="A104" s="5" t="s">
        <v>155</v>
      </c>
      <c r="B104" s="5" t="s">
        <v>305</v>
      </c>
      <c r="C104" s="5" t="s">
        <v>200</v>
      </c>
      <c r="D104" s="5">
        <v>4</v>
      </c>
      <c r="E104" s="5">
        <v>4</v>
      </c>
      <c r="F104" s="5">
        <v>3</v>
      </c>
      <c r="G104" s="11">
        <f>E104*8*60*H104*I104</f>
        <v>1416.9599999999998</v>
      </c>
      <c r="H104" s="8">
        <v>0.82</v>
      </c>
      <c r="I104" s="8">
        <v>0.9</v>
      </c>
      <c r="J104" s="5" t="str">
        <f>IF(G104&lt;720,"Potential bottleneck","OK")</f>
        <v>OK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">
      <c r="A105" s="5" t="s">
        <v>155</v>
      </c>
      <c r="B105" s="5" t="s">
        <v>274</v>
      </c>
      <c r="C105" s="5" t="s">
        <v>238</v>
      </c>
      <c r="D105" s="5">
        <v>3</v>
      </c>
      <c r="E105" s="5">
        <v>1</v>
      </c>
      <c r="F105" s="5">
        <v>1</v>
      </c>
      <c r="G105" s="11">
        <f>E105*8*60*H105*I105</f>
        <v>354.23999999999995</v>
      </c>
      <c r="H105" s="8">
        <v>0.82</v>
      </c>
      <c r="I105" s="8">
        <v>0.9</v>
      </c>
      <c r="J105" s="5" t="str">
        <f>IF(G105&lt;720,"Potential bottleneck","OK")</f>
        <v>Potential bottleneck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">
      <c r="A106" s="5" t="s">
        <v>155</v>
      </c>
      <c r="B106" s="5" t="s">
        <v>294</v>
      </c>
      <c r="C106" s="5" t="s">
        <v>200</v>
      </c>
      <c r="D106" s="5">
        <v>7</v>
      </c>
      <c r="E106" s="5">
        <v>6</v>
      </c>
      <c r="F106" s="5">
        <v>5</v>
      </c>
      <c r="G106" s="11">
        <f>E106*8*60*H106*I106</f>
        <v>2125.44</v>
      </c>
      <c r="H106" s="8">
        <v>0.82</v>
      </c>
      <c r="I106" s="8">
        <v>0.9</v>
      </c>
      <c r="J106" s="5" t="str">
        <f>IF(G106&lt;720,"Potential bottleneck","OK")</f>
        <v>OK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">
      <c r="A107" s="5" t="s">
        <v>155</v>
      </c>
      <c r="B107" s="5" t="s">
        <v>285</v>
      </c>
      <c r="C107" s="5" t="s">
        <v>200</v>
      </c>
      <c r="D107" s="5">
        <v>6</v>
      </c>
      <c r="E107" s="5">
        <v>6</v>
      </c>
      <c r="F107" s="5">
        <v>6</v>
      </c>
      <c r="G107" s="11">
        <f>E107*8*60*H107*I107</f>
        <v>2125.44</v>
      </c>
      <c r="H107" s="8">
        <v>0.82</v>
      </c>
      <c r="I107" s="8">
        <v>0.9</v>
      </c>
      <c r="J107" s="5" t="str">
        <f>IF(G107&lt;720,"Potential bottleneck","OK")</f>
        <v>OK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">
      <c r="A108" s="5" t="s">
        <v>155</v>
      </c>
      <c r="B108" s="5" t="s">
        <v>277</v>
      </c>
      <c r="C108" s="5" t="s">
        <v>238</v>
      </c>
      <c r="D108" s="5">
        <v>2</v>
      </c>
      <c r="E108" s="5">
        <v>1</v>
      </c>
      <c r="F108" s="5">
        <v>1</v>
      </c>
      <c r="G108" s="11">
        <f>E108*8*60*H108*I108</f>
        <v>354.23999999999995</v>
      </c>
      <c r="H108" s="8">
        <v>0.82</v>
      </c>
      <c r="I108" s="8">
        <v>0.9</v>
      </c>
      <c r="J108" s="5" t="str">
        <f>IF(G108&lt;720,"Potential bottleneck","OK")</f>
        <v>Potential bottleneck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">
      <c r="A109" s="5" t="s">
        <v>155</v>
      </c>
      <c r="B109" s="5" t="s">
        <v>271</v>
      </c>
      <c r="C109" s="5" t="s">
        <v>238</v>
      </c>
      <c r="D109" s="5">
        <v>4</v>
      </c>
      <c r="E109" s="5">
        <v>2</v>
      </c>
      <c r="F109" s="5">
        <v>1</v>
      </c>
      <c r="G109" s="11">
        <f>E109*8*60*H109*I109</f>
        <v>708.4799999999999</v>
      </c>
      <c r="H109" s="8">
        <v>0.82</v>
      </c>
      <c r="I109" s="8">
        <v>0.9</v>
      </c>
      <c r="J109" s="5" t="str">
        <f>IF(G109&lt;720,"Potential bottleneck","OK")</f>
        <v>Potential bottleneck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">
      <c r="A110" s="5" t="s">
        <v>155</v>
      </c>
      <c r="B110" s="5" t="s">
        <v>287</v>
      </c>
      <c r="C110" s="5" t="s">
        <v>238</v>
      </c>
      <c r="D110" s="5">
        <v>4</v>
      </c>
      <c r="E110" s="5">
        <v>2</v>
      </c>
      <c r="F110" s="5">
        <v>1</v>
      </c>
      <c r="G110" s="11">
        <f>E110*8*60*H110*I110</f>
        <v>708.4799999999999</v>
      </c>
      <c r="H110" s="8">
        <v>0.82</v>
      </c>
      <c r="I110" s="8">
        <v>0.9</v>
      </c>
      <c r="J110" s="5" t="str">
        <f>IF(G110&lt;720,"Potential bottleneck","OK")</f>
        <v>Potential bottleneck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">
      <c r="A111" s="5" t="s">
        <v>155</v>
      </c>
      <c r="B111" s="5" t="s">
        <v>264</v>
      </c>
      <c r="C111" s="5" t="s">
        <v>197</v>
      </c>
      <c r="D111" s="5">
        <v>2</v>
      </c>
      <c r="E111" s="5">
        <v>2</v>
      </c>
      <c r="F111" s="5">
        <v>2</v>
      </c>
      <c r="G111" s="11">
        <f>E111*8*60*H111*I111</f>
        <v>708.4799999999999</v>
      </c>
      <c r="H111" s="8">
        <v>0.82</v>
      </c>
      <c r="I111" s="8">
        <v>0.9</v>
      </c>
      <c r="J111" s="5" t="str">
        <f>IF(G111&lt;720,"Potential bottleneck","OK")</f>
        <v>Potential bottleneck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">
      <c r="A112" s="5" t="s">
        <v>155</v>
      </c>
      <c r="B112" s="5" t="s">
        <v>288</v>
      </c>
      <c r="C112" s="5" t="s">
        <v>200</v>
      </c>
      <c r="D112" s="5">
        <v>6</v>
      </c>
      <c r="E112" s="5">
        <v>5</v>
      </c>
      <c r="F112" s="5">
        <v>4</v>
      </c>
      <c r="G112" s="11">
        <f>E112*8*60*H112*I112</f>
        <v>1771.1999999999998</v>
      </c>
      <c r="H112" s="8">
        <v>0.82</v>
      </c>
      <c r="I112" s="8">
        <v>0.9</v>
      </c>
      <c r="J112" s="5" t="str">
        <f>IF(G112&lt;720,"Potential bottleneck","OK")</f>
        <v>OK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">
      <c r="A113" s="5" t="s">
        <v>165</v>
      </c>
      <c r="B113" s="5" t="s">
        <v>266</v>
      </c>
      <c r="C113" s="5" t="s">
        <v>197</v>
      </c>
      <c r="D113" s="5">
        <v>1</v>
      </c>
      <c r="E113" s="5">
        <v>1</v>
      </c>
      <c r="F113" s="5">
        <v>1</v>
      </c>
      <c r="G113" s="11">
        <f>E113*8*60*H113*I113</f>
        <v>333.21600000000001</v>
      </c>
      <c r="H113" s="8">
        <v>0.78</v>
      </c>
      <c r="I113" s="8">
        <v>0.89</v>
      </c>
      <c r="J113" s="5" t="str">
        <f>IF(G113&lt;720,"Potential bottleneck","OK")</f>
        <v>Potential bottleneck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">
      <c r="A114" s="5" t="s">
        <v>165</v>
      </c>
      <c r="B114" s="5" t="s">
        <v>298</v>
      </c>
      <c r="C114" s="5" t="s">
        <v>200</v>
      </c>
      <c r="D114" s="5">
        <v>2</v>
      </c>
      <c r="E114" s="5">
        <v>1</v>
      </c>
      <c r="F114" s="5">
        <v>1</v>
      </c>
      <c r="G114" s="11">
        <f>E114*8*60*H114*I114</f>
        <v>333.21600000000001</v>
      </c>
      <c r="H114" s="8">
        <v>0.78</v>
      </c>
      <c r="I114" s="8">
        <v>0.89</v>
      </c>
      <c r="J114" s="5" t="str">
        <f>IF(G114&lt;720,"Potential bottleneck","OK")</f>
        <v>Potential bottleneck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">
      <c r="A115" s="5" t="s">
        <v>165</v>
      </c>
      <c r="B115" s="5" t="s">
        <v>270</v>
      </c>
      <c r="C115" s="5" t="s">
        <v>200</v>
      </c>
      <c r="D115" s="5">
        <v>6</v>
      </c>
      <c r="E115" s="5">
        <v>4</v>
      </c>
      <c r="F115" s="5">
        <v>4</v>
      </c>
      <c r="G115" s="11">
        <f>E115*8*60*H115*I115</f>
        <v>1332.864</v>
      </c>
      <c r="H115" s="8">
        <v>0.78</v>
      </c>
      <c r="I115" s="8">
        <v>0.89</v>
      </c>
      <c r="J115" s="5" t="str">
        <f>IF(G115&lt;720,"Potential bottleneck","OK")</f>
        <v>OK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">
      <c r="A116" s="5" t="s">
        <v>165</v>
      </c>
      <c r="B116" s="5" t="s">
        <v>275</v>
      </c>
      <c r="C116" s="5" t="s">
        <v>200</v>
      </c>
      <c r="D116" s="5">
        <v>3</v>
      </c>
      <c r="E116" s="5">
        <v>2</v>
      </c>
      <c r="F116" s="5">
        <v>1</v>
      </c>
      <c r="G116" s="11">
        <f>E116*8*60*H116*I116</f>
        <v>666.43200000000002</v>
      </c>
      <c r="H116" s="8">
        <v>0.78</v>
      </c>
      <c r="I116" s="8">
        <v>0.89</v>
      </c>
      <c r="J116" s="5" t="str">
        <f>IF(G116&lt;720,"Potential bottleneck","OK")</f>
        <v>Potential bottleneck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">
      <c r="A117" s="5" t="s">
        <v>165</v>
      </c>
      <c r="B117" s="5" t="s">
        <v>279</v>
      </c>
      <c r="C117" s="5" t="s">
        <v>200</v>
      </c>
      <c r="D117" s="5">
        <v>2</v>
      </c>
      <c r="E117" s="5">
        <v>1</v>
      </c>
      <c r="F117" s="5">
        <v>1</v>
      </c>
      <c r="G117" s="11">
        <f>E117*8*60*H117*I117</f>
        <v>333.21600000000001</v>
      </c>
      <c r="H117" s="8">
        <v>0.78</v>
      </c>
      <c r="I117" s="8">
        <v>0.89</v>
      </c>
      <c r="J117" s="5" t="str">
        <f>IF(G117&lt;720,"Potential bottleneck","OK")</f>
        <v>Potential bottleneck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">
      <c r="A118" s="5" t="s">
        <v>165</v>
      </c>
      <c r="B118" s="5" t="s">
        <v>297</v>
      </c>
      <c r="C118" s="5" t="s">
        <v>200</v>
      </c>
      <c r="D118" s="5">
        <v>7</v>
      </c>
      <c r="E118" s="5">
        <v>5</v>
      </c>
      <c r="F118" s="5">
        <v>4</v>
      </c>
      <c r="G118" s="11">
        <f>E118*8*60*H118*I118</f>
        <v>1666.08</v>
      </c>
      <c r="H118" s="8">
        <v>0.78</v>
      </c>
      <c r="I118" s="8">
        <v>0.89</v>
      </c>
      <c r="J118" s="5" t="str">
        <f>IF(G118&lt;720,"Potential bottleneck","OK")</f>
        <v>OK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2">
      <c r="A119" s="5" t="s">
        <v>165</v>
      </c>
      <c r="B119" s="5" t="s">
        <v>292</v>
      </c>
      <c r="C119" s="5" t="s">
        <v>200</v>
      </c>
      <c r="D119" s="5">
        <v>2</v>
      </c>
      <c r="E119" s="5">
        <v>1</v>
      </c>
      <c r="F119" s="5">
        <v>1</v>
      </c>
      <c r="G119" s="11">
        <f>E119*8*60*H119*I119</f>
        <v>333.21600000000001</v>
      </c>
      <c r="H119" s="8">
        <v>0.78</v>
      </c>
      <c r="I119" s="8">
        <v>0.89</v>
      </c>
      <c r="J119" s="5" t="str">
        <f>IF(G119&lt;720,"Potential bottleneck","OK")</f>
        <v>Potential bottleneck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">
      <c r="A120" s="5" t="s">
        <v>165</v>
      </c>
      <c r="B120" s="5" t="s">
        <v>299</v>
      </c>
      <c r="C120" s="5" t="s">
        <v>200</v>
      </c>
      <c r="D120" s="5">
        <v>8</v>
      </c>
      <c r="E120" s="5">
        <v>8</v>
      </c>
      <c r="F120" s="5">
        <v>7</v>
      </c>
      <c r="G120" s="11">
        <f>E120*8*60*H120*I120</f>
        <v>2665.7280000000001</v>
      </c>
      <c r="H120" s="8">
        <v>0.78</v>
      </c>
      <c r="I120" s="8">
        <v>0.89</v>
      </c>
      <c r="J120" s="5" t="str">
        <f>IF(G120&lt;720,"Potential bottleneck","OK")</f>
        <v>OK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">
      <c r="A121" s="5" t="s">
        <v>165</v>
      </c>
      <c r="B121" s="5" t="s">
        <v>293</v>
      </c>
      <c r="C121" s="5" t="s">
        <v>200</v>
      </c>
      <c r="D121" s="5">
        <v>3</v>
      </c>
      <c r="E121" s="5">
        <v>1</v>
      </c>
      <c r="F121" s="5">
        <v>1</v>
      </c>
      <c r="G121" s="11">
        <f>E121*8*60*H121*I121</f>
        <v>333.21600000000001</v>
      </c>
      <c r="H121" s="8">
        <v>0.78</v>
      </c>
      <c r="I121" s="8">
        <v>0.89</v>
      </c>
      <c r="J121" s="5" t="str">
        <f>IF(G121&lt;720,"Potential bottleneck","OK")</f>
        <v>Potential bottleneck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">
      <c r="A122" s="5" t="s">
        <v>165</v>
      </c>
      <c r="B122" s="5" t="s">
        <v>289</v>
      </c>
      <c r="C122" s="5" t="s">
        <v>200</v>
      </c>
      <c r="D122" s="5">
        <v>5</v>
      </c>
      <c r="E122" s="5">
        <v>3</v>
      </c>
      <c r="F122" s="5">
        <v>3</v>
      </c>
      <c r="G122" s="11">
        <f>E122*8*60*H122*I122</f>
        <v>999.64800000000002</v>
      </c>
      <c r="H122" s="8">
        <v>0.78</v>
      </c>
      <c r="I122" s="8">
        <v>0.89</v>
      </c>
      <c r="J122" s="5" t="str">
        <f>IF(G122&lt;720,"Potential bottleneck","OK")</f>
        <v>OK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">
      <c r="A123" s="5" t="s">
        <v>165</v>
      </c>
      <c r="B123" s="5" t="s">
        <v>286</v>
      </c>
      <c r="C123" s="5" t="s">
        <v>200</v>
      </c>
      <c r="D123" s="5">
        <v>6</v>
      </c>
      <c r="E123" s="5">
        <v>5</v>
      </c>
      <c r="F123" s="5">
        <v>4</v>
      </c>
      <c r="G123" s="11">
        <f>E123*8*60*H123*I123</f>
        <v>1666.08</v>
      </c>
      <c r="H123" s="8">
        <v>0.78</v>
      </c>
      <c r="I123" s="8">
        <v>0.89</v>
      </c>
      <c r="J123" s="5" t="str">
        <f>IF(G123&lt;720,"Potential bottleneck","OK")</f>
        <v>OK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">
      <c r="A124" s="5" t="s">
        <v>165</v>
      </c>
      <c r="B124" s="5" t="s">
        <v>278</v>
      </c>
      <c r="C124" s="5" t="s">
        <v>200</v>
      </c>
      <c r="D124" s="5">
        <v>7</v>
      </c>
      <c r="E124" s="5">
        <v>7</v>
      </c>
      <c r="F124" s="5">
        <v>6</v>
      </c>
      <c r="G124" s="11">
        <f>E124*8*60*H124*I124</f>
        <v>2332.5120000000002</v>
      </c>
      <c r="H124" s="8">
        <v>0.78</v>
      </c>
      <c r="I124" s="8">
        <v>0.89</v>
      </c>
      <c r="J124" s="5" t="str">
        <f>IF(G124&lt;720,"Potential bottleneck","OK")</f>
        <v>OK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2">
      <c r="A125" s="5" t="s">
        <v>165</v>
      </c>
      <c r="B125" s="5" t="s">
        <v>269</v>
      </c>
      <c r="C125" s="5" t="s">
        <v>200</v>
      </c>
      <c r="D125" s="5">
        <v>4</v>
      </c>
      <c r="E125" s="5">
        <v>4</v>
      </c>
      <c r="F125" s="5">
        <v>4</v>
      </c>
      <c r="G125" s="11">
        <f>E125*8*60*H125*I125</f>
        <v>1332.864</v>
      </c>
      <c r="H125" s="8">
        <v>0.78</v>
      </c>
      <c r="I125" s="8">
        <v>0.89</v>
      </c>
      <c r="J125" s="5" t="str">
        <f>IF(G125&lt;720,"Potential bottleneck","OK")</f>
        <v>OK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">
      <c r="A126" s="5" t="s">
        <v>165</v>
      </c>
      <c r="B126" s="5" t="s">
        <v>280</v>
      </c>
      <c r="C126" s="5" t="s">
        <v>200</v>
      </c>
      <c r="D126" s="5">
        <v>6</v>
      </c>
      <c r="E126" s="5">
        <v>6</v>
      </c>
      <c r="F126" s="5">
        <v>6</v>
      </c>
      <c r="G126" s="11">
        <f>E126*8*60*H126*I126</f>
        <v>1999.296</v>
      </c>
      <c r="H126" s="8">
        <v>0.78</v>
      </c>
      <c r="I126" s="8">
        <v>0.89</v>
      </c>
      <c r="J126" s="5" t="str">
        <f>IF(G126&lt;720,"Potential bottleneck","OK")</f>
        <v>OK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">
      <c r="A127" s="5" t="s">
        <v>165</v>
      </c>
      <c r="B127" s="5" t="s">
        <v>281</v>
      </c>
      <c r="C127" s="5" t="s">
        <v>200</v>
      </c>
      <c r="D127" s="5">
        <v>5</v>
      </c>
      <c r="E127" s="5">
        <v>4</v>
      </c>
      <c r="F127" s="5">
        <v>4</v>
      </c>
      <c r="G127" s="11">
        <f>E127*8*60*H127*I127</f>
        <v>1332.864</v>
      </c>
      <c r="H127" s="8">
        <v>0.78</v>
      </c>
      <c r="I127" s="8">
        <v>0.89</v>
      </c>
      <c r="J127" s="5" t="str">
        <f>IF(G127&lt;720,"Potential bottleneck","OK")</f>
        <v>OK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">
      <c r="A128" s="5" t="s">
        <v>165</v>
      </c>
      <c r="B128" s="5" t="s">
        <v>272</v>
      </c>
      <c r="C128" s="5" t="s">
        <v>273</v>
      </c>
      <c r="D128" s="5">
        <v>1</v>
      </c>
      <c r="E128" s="5">
        <v>1</v>
      </c>
      <c r="F128" s="5">
        <v>0</v>
      </c>
      <c r="G128" s="11">
        <f>E128*8*60*H128*I128</f>
        <v>333.21600000000001</v>
      </c>
      <c r="H128" s="8">
        <v>0.78</v>
      </c>
      <c r="I128" s="8">
        <v>0.89</v>
      </c>
      <c r="J128" s="5" t="str">
        <f>IF(G128&lt;720,"Potential bottleneck","OK")</f>
        <v>Potential bottleneck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">
      <c r="A129" s="5" t="s">
        <v>165</v>
      </c>
      <c r="B129" s="5" t="s">
        <v>301</v>
      </c>
      <c r="C129" s="5" t="s">
        <v>200</v>
      </c>
      <c r="D129" s="5">
        <v>5</v>
      </c>
      <c r="E129" s="5">
        <v>5</v>
      </c>
      <c r="F129" s="5">
        <v>4</v>
      </c>
      <c r="G129" s="11">
        <f>E129*8*60*H129*I129</f>
        <v>1666.08</v>
      </c>
      <c r="H129" s="8">
        <v>0.78</v>
      </c>
      <c r="I129" s="8">
        <v>0.89</v>
      </c>
      <c r="J129" s="5" t="str">
        <f>IF(G129&lt;720,"Potential bottleneck","OK")</f>
        <v>OK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">
      <c r="A130" s="5" t="s">
        <v>165</v>
      </c>
      <c r="B130" s="5" t="s">
        <v>290</v>
      </c>
      <c r="C130" s="5" t="s">
        <v>200</v>
      </c>
      <c r="D130" s="5">
        <v>5</v>
      </c>
      <c r="E130" s="5">
        <v>5</v>
      </c>
      <c r="F130" s="5">
        <v>5</v>
      </c>
      <c r="G130" s="11">
        <f>E130*8*60*H130*I130</f>
        <v>1666.08</v>
      </c>
      <c r="H130" s="8">
        <v>0.78</v>
      </c>
      <c r="I130" s="8">
        <v>0.89</v>
      </c>
      <c r="J130" s="5" t="str">
        <f>IF(G130&lt;720,"Potential bottleneck","OK")</f>
        <v>OK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2">
      <c r="A131" s="5" t="s">
        <v>165</v>
      </c>
      <c r="B131" s="5" t="s">
        <v>296</v>
      </c>
      <c r="C131" s="5" t="s">
        <v>200</v>
      </c>
      <c r="D131" s="5">
        <v>8</v>
      </c>
      <c r="E131" s="5">
        <v>6</v>
      </c>
      <c r="F131" s="5">
        <v>5</v>
      </c>
      <c r="G131" s="11">
        <f>E131*8*60*H131*I131</f>
        <v>1999.296</v>
      </c>
      <c r="H131" s="8">
        <v>0.78</v>
      </c>
      <c r="I131" s="8">
        <v>0.89</v>
      </c>
      <c r="J131" s="5" t="str">
        <f>IF(G131&lt;720,"Potential bottleneck","OK")</f>
        <v>OK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">
      <c r="A132" s="5" t="s">
        <v>165</v>
      </c>
      <c r="B132" s="5" t="s">
        <v>282</v>
      </c>
      <c r="C132" s="5" t="s">
        <v>200</v>
      </c>
      <c r="D132" s="5">
        <v>4</v>
      </c>
      <c r="E132" s="5">
        <v>3</v>
      </c>
      <c r="F132" s="5">
        <v>2</v>
      </c>
      <c r="G132" s="11">
        <f>E132*8*60*H132*I132</f>
        <v>999.64800000000002</v>
      </c>
      <c r="H132" s="8">
        <v>0.78</v>
      </c>
      <c r="I132" s="8">
        <v>0.89</v>
      </c>
      <c r="J132" s="5" t="str">
        <f>IF(G132&lt;720,"Potential bottleneck","OK")</f>
        <v>OK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">
      <c r="A133" s="5" t="s">
        <v>165</v>
      </c>
      <c r="B133" s="5" t="s">
        <v>300</v>
      </c>
      <c r="C133" s="5" t="s">
        <v>200</v>
      </c>
      <c r="D133" s="5">
        <v>8</v>
      </c>
      <c r="E133" s="5">
        <v>7</v>
      </c>
      <c r="F133" s="5">
        <v>6</v>
      </c>
      <c r="G133" s="11">
        <f>E133*8*60*H133*I133</f>
        <v>2332.5120000000002</v>
      </c>
      <c r="H133" s="8">
        <v>0.78</v>
      </c>
      <c r="I133" s="8">
        <v>0.89</v>
      </c>
      <c r="J133" s="5" t="str">
        <f>IF(G133&lt;720,"Potential bottleneck","OK")</f>
        <v>OK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">
      <c r="A134" s="5" t="s">
        <v>165</v>
      </c>
      <c r="B134" s="5" t="s">
        <v>302</v>
      </c>
      <c r="C134" s="5" t="s">
        <v>200</v>
      </c>
      <c r="D134" s="5">
        <v>2</v>
      </c>
      <c r="E134" s="5">
        <v>1</v>
      </c>
      <c r="F134" s="5">
        <v>1</v>
      </c>
      <c r="G134" s="11">
        <f>E134*8*60*H134*I134</f>
        <v>333.21600000000001</v>
      </c>
      <c r="H134" s="8">
        <v>0.78</v>
      </c>
      <c r="I134" s="8">
        <v>0.89</v>
      </c>
      <c r="J134" s="5" t="str">
        <f>IF(G134&lt;720,"Potential bottleneck","OK")</f>
        <v>Potential bottleneck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">
      <c r="A135" s="5" t="s">
        <v>165</v>
      </c>
      <c r="B135" s="5" t="s">
        <v>295</v>
      </c>
      <c r="C135" s="5" t="s">
        <v>200</v>
      </c>
      <c r="D135" s="5">
        <v>7</v>
      </c>
      <c r="E135" s="5">
        <v>6</v>
      </c>
      <c r="F135" s="5">
        <v>6</v>
      </c>
      <c r="G135" s="11">
        <f>E135*8*60*H135*I135</f>
        <v>1999.296</v>
      </c>
      <c r="H135" s="8">
        <v>0.78</v>
      </c>
      <c r="I135" s="8">
        <v>0.89</v>
      </c>
      <c r="J135" s="5" t="str">
        <f>IF(G135&lt;720,"Potential bottleneck","OK")</f>
        <v>OK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">
      <c r="A136" s="5" t="s">
        <v>165</v>
      </c>
      <c r="B136" s="5" t="s">
        <v>304</v>
      </c>
      <c r="C136" s="5" t="s">
        <v>200</v>
      </c>
      <c r="D136" s="5">
        <v>3</v>
      </c>
      <c r="E136" s="5">
        <v>1</v>
      </c>
      <c r="F136" s="5">
        <v>1</v>
      </c>
      <c r="G136" s="11">
        <f>E136*8*60*H136*I136</f>
        <v>333.21600000000001</v>
      </c>
      <c r="H136" s="8">
        <v>0.78</v>
      </c>
      <c r="I136" s="8">
        <v>0.89</v>
      </c>
      <c r="J136" s="5" t="str">
        <f>IF(G136&lt;720,"Potential bottleneck","OK")</f>
        <v>Potential bottleneck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">
      <c r="A137" s="5" t="s">
        <v>165</v>
      </c>
      <c r="B137" s="5" t="s">
        <v>303</v>
      </c>
      <c r="C137" s="5" t="s">
        <v>200</v>
      </c>
      <c r="D137" s="5">
        <v>6</v>
      </c>
      <c r="E137" s="5">
        <v>6</v>
      </c>
      <c r="F137" s="5">
        <v>6</v>
      </c>
      <c r="G137" s="11">
        <f>E137*8*60*H137*I137</f>
        <v>1999.296</v>
      </c>
      <c r="H137" s="8">
        <v>0.78</v>
      </c>
      <c r="I137" s="8">
        <v>0.89</v>
      </c>
      <c r="J137" s="5" t="str">
        <f>IF(G137&lt;720,"Potential bottleneck","OK")</f>
        <v>OK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2">
      <c r="A138" s="5" t="s">
        <v>165</v>
      </c>
      <c r="B138" s="5" t="s">
        <v>268</v>
      </c>
      <c r="C138" s="5" t="s">
        <v>200</v>
      </c>
      <c r="D138" s="5">
        <v>8</v>
      </c>
      <c r="E138" s="5">
        <v>8</v>
      </c>
      <c r="F138" s="5">
        <v>8</v>
      </c>
      <c r="G138" s="11">
        <f>E138*8*60*H138*I138</f>
        <v>2665.7280000000001</v>
      </c>
      <c r="H138" s="8">
        <v>0.78</v>
      </c>
      <c r="I138" s="8">
        <v>0.89</v>
      </c>
      <c r="J138" s="5" t="str">
        <f>IF(G138&lt;720,"Potential bottleneck","OK")</f>
        <v>OK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">
      <c r="A139" s="5" t="s">
        <v>165</v>
      </c>
      <c r="B139" s="5" t="s">
        <v>283</v>
      </c>
      <c r="C139" s="5" t="s">
        <v>284</v>
      </c>
      <c r="D139" s="5">
        <v>3</v>
      </c>
      <c r="E139" s="5">
        <v>2</v>
      </c>
      <c r="F139" s="5">
        <v>1</v>
      </c>
      <c r="G139" s="11">
        <f>E139*8*60*H139*I139</f>
        <v>666.43200000000002</v>
      </c>
      <c r="H139" s="8">
        <v>0.78</v>
      </c>
      <c r="I139" s="8">
        <v>0.89</v>
      </c>
      <c r="J139" s="5" t="str">
        <f>IF(G139&lt;720,"Potential bottleneck","OK")</f>
        <v>Potential bottleneck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">
      <c r="A140" s="5" t="s">
        <v>165</v>
      </c>
      <c r="B140" s="5" t="s">
        <v>291</v>
      </c>
      <c r="C140" s="5" t="s">
        <v>200</v>
      </c>
      <c r="D140" s="5">
        <v>6</v>
      </c>
      <c r="E140" s="5">
        <v>5</v>
      </c>
      <c r="F140" s="5">
        <v>5</v>
      </c>
      <c r="G140" s="11">
        <f>E140*8*60*H140*I140</f>
        <v>1666.08</v>
      </c>
      <c r="H140" s="8">
        <v>0.78</v>
      </c>
      <c r="I140" s="8">
        <v>0.89</v>
      </c>
      <c r="J140" s="5" t="str">
        <f>IF(G140&lt;720,"Potential bottleneck","OK")</f>
        <v>OK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2">
      <c r="A141" s="5" t="s">
        <v>165</v>
      </c>
      <c r="B141" s="5" t="s">
        <v>276</v>
      </c>
      <c r="C141" s="5" t="s">
        <v>200</v>
      </c>
      <c r="D141" s="5">
        <v>3</v>
      </c>
      <c r="E141" s="5">
        <v>2</v>
      </c>
      <c r="F141" s="5">
        <v>1</v>
      </c>
      <c r="G141" s="11">
        <f>E141*8*60*H141*I141</f>
        <v>666.43200000000002</v>
      </c>
      <c r="H141" s="8">
        <v>0.78</v>
      </c>
      <c r="I141" s="8">
        <v>0.89</v>
      </c>
      <c r="J141" s="5" t="str">
        <f>IF(G141&lt;720,"Potential bottleneck","OK")</f>
        <v>Potential bottleneck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">
      <c r="A142" s="5" t="s">
        <v>165</v>
      </c>
      <c r="B142" s="5" t="s">
        <v>305</v>
      </c>
      <c r="C142" s="5" t="s">
        <v>200</v>
      </c>
      <c r="D142" s="5">
        <v>3</v>
      </c>
      <c r="E142" s="5">
        <v>2</v>
      </c>
      <c r="F142" s="5">
        <v>2</v>
      </c>
      <c r="G142" s="11">
        <f>E142*8*60*H142*I142</f>
        <v>666.43200000000002</v>
      </c>
      <c r="H142" s="8">
        <v>0.78</v>
      </c>
      <c r="I142" s="8">
        <v>0.89</v>
      </c>
      <c r="J142" s="5" t="str">
        <f>IF(G142&lt;720,"Potential bottleneck","OK")</f>
        <v>Potential bottleneck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2">
      <c r="A143" s="5" t="s">
        <v>165</v>
      </c>
      <c r="B143" s="5" t="s">
        <v>274</v>
      </c>
      <c r="C143" s="5" t="s">
        <v>238</v>
      </c>
      <c r="D143" s="5">
        <v>1</v>
      </c>
      <c r="E143" s="5">
        <v>1</v>
      </c>
      <c r="F143" s="5">
        <v>1</v>
      </c>
      <c r="G143" s="11">
        <f>E143*8*60*H143*I143</f>
        <v>333.21600000000001</v>
      </c>
      <c r="H143" s="8">
        <v>0.78</v>
      </c>
      <c r="I143" s="8">
        <v>0.89</v>
      </c>
      <c r="J143" s="5" t="str">
        <f>IF(G143&lt;720,"Potential bottleneck","OK")</f>
        <v>Potential bottleneck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">
      <c r="A144" s="5" t="s">
        <v>165</v>
      </c>
      <c r="B144" s="5" t="s">
        <v>294</v>
      </c>
      <c r="C144" s="5" t="s">
        <v>200</v>
      </c>
      <c r="D144" s="5">
        <v>6</v>
      </c>
      <c r="E144" s="5">
        <v>6</v>
      </c>
      <c r="F144" s="5">
        <v>6</v>
      </c>
      <c r="G144" s="11">
        <f>E144*8*60*H144*I144</f>
        <v>1999.296</v>
      </c>
      <c r="H144" s="8">
        <v>0.78</v>
      </c>
      <c r="I144" s="8">
        <v>0.89</v>
      </c>
      <c r="J144" s="5" t="str">
        <f>IF(G144&lt;720,"Potential bottleneck","OK")</f>
        <v>OK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">
      <c r="A145" s="5" t="s">
        <v>165</v>
      </c>
      <c r="B145" s="5" t="s">
        <v>285</v>
      </c>
      <c r="C145" s="5" t="s">
        <v>200</v>
      </c>
      <c r="D145" s="5">
        <v>3</v>
      </c>
      <c r="E145" s="5">
        <v>3</v>
      </c>
      <c r="F145" s="5">
        <v>3</v>
      </c>
      <c r="G145" s="11">
        <f>E145*8*60*H145*I145</f>
        <v>999.64800000000002</v>
      </c>
      <c r="H145" s="8">
        <v>0.78</v>
      </c>
      <c r="I145" s="8">
        <v>0.89</v>
      </c>
      <c r="J145" s="5" t="str">
        <f>IF(G145&lt;720,"Potential bottleneck","OK")</f>
        <v>OK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">
      <c r="A146" s="5" t="s">
        <v>165</v>
      </c>
      <c r="B146" s="5" t="s">
        <v>277</v>
      </c>
      <c r="C146" s="5" t="s">
        <v>238</v>
      </c>
      <c r="D146" s="5">
        <v>1</v>
      </c>
      <c r="E146" s="5">
        <v>1</v>
      </c>
      <c r="F146" s="5">
        <v>1</v>
      </c>
      <c r="G146" s="11">
        <f>E146*8*60*H146*I146</f>
        <v>333.21600000000001</v>
      </c>
      <c r="H146" s="8">
        <v>0.78</v>
      </c>
      <c r="I146" s="8">
        <v>0.89</v>
      </c>
      <c r="J146" s="5" t="str">
        <f>IF(G146&lt;720,"Potential bottleneck","OK")</f>
        <v>Potential bottleneck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">
      <c r="A147" s="5" t="s">
        <v>165</v>
      </c>
      <c r="B147" s="5" t="s">
        <v>271</v>
      </c>
      <c r="C147" s="5" t="s">
        <v>238</v>
      </c>
      <c r="D147" s="5">
        <v>2</v>
      </c>
      <c r="E147" s="5">
        <v>1</v>
      </c>
      <c r="F147" s="5">
        <v>1</v>
      </c>
      <c r="G147" s="11">
        <f>E147*8*60*H147*I147</f>
        <v>333.21600000000001</v>
      </c>
      <c r="H147" s="8">
        <v>0.78</v>
      </c>
      <c r="I147" s="8">
        <v>0.89</v>
      </c>
      <c r="J147" s="5" t="str">
        <f>IF(G147&lt;720,"Potential bottleneck","OK")</f>
        <v>Potential bottleneck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">
      <c r="A148" s="5" t="s">
        <v>165</v>
      </c>
      <c r="B148" s="5" t="s">
        <v>287</v>
      </c>
      <c r="C148" s="5" t="s">
        <v>238</v>
      </c>
      <c r="D148" s="5">
        <v>4</v>
      </c>
      <c r="E148" s="5">
        <v>3</v>
      </c>
      <c r="F148" s="5">
        <v>3</v>
      </c>
      <c r="G148" s="11">
        <f>E148*8*60*H148*I148</f>
        <v>999.64800000000002</v>
      </c>
      <c r="H148" s="8">
        <v>0.78</v>
      </c>
      <c r="I148" s="8">
        <v>0.89</v>
      </c>
      <c r="J148" s="5" t="str">
        <f>IF(G148&lt;720,"Potential bottleneck","OK")</f>
        <v>OK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">
      <c r="A149" s="5" t="s">
        <v>165</v>
      </c>
      <c r="B149" s="5" t="s">
        <v>264</v>
      </c>
      <c r="C149" s="5" t="s">
        <v>197</v>
      </c>
      <c r="D149" s="5">
        <v>2</v>
      </c>
      <c r="E149" s="5">
        <v>2</v>
      </c>
      <c r="F149" s="5">
        <v>2</v>
      </c>
      <c r="G149" s="11">
        <f>E149*8*60*H149*I149</f>
        <v>666.43200000000002</v>
      </c>
      <c r="H149" s="8">
        <v>0.78</v>
      </c>
      <c r="I149" s="8">
        <v>0.89</v>
      </c>
      <c r="J149" s="5" t="str">
        <f>IF(G149&lt;720,"Potential bottleneck","OK")</f>
        <v>Potential bottleneck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">
      <c r="A150" s="5" t="s">
        <v>165</v>
      </c>
      <c r="B150" s="5" t="s">
        <v>288</v>
      </c>
      <c r="C150" s="5" t="s">
        <v>200</v>
      </c>
      <c r="D150" s="5">
        <v>6</v>
      </c>
      <c r="E150" s="5">
        <v>5</v>
      </c>
      <c r="F150" s="5">
        <v>5</v>
      </c>
      <c r="G150" s="11">
        <f>E150*8*60*H150*I150</f>
        <v>1666.08</v>
      </c>
      <c r="H150" s="8">
        <v>0.78</v>
      </c>
      <c r="I150" s="8">
        <v>0.89</v>
      </c>
      <c r="J150" s="5" t="str">
        <f>IF(G150&lt;720,"Potential bottleneck","OK")</f>
        <v>OK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2">
      <c r="A151" s="5" t="s">
        <v>212</v>
      </c>
      <c r="B151" s="5" t="s">
        <v>266</v>
      </c>
      <c r="C151" s="5" t="s">
        <v>197</v>
      </c>
      <c r="D151" s="5">
        <v>3</v>
      </c>
      <c r="E151" s="5">
        <v>1</v>
      </c>
      <c r="F151" s="5">
        <v>1</v>
      </c>
      <c r="G151" s="11">
        <f>E151*8*60*H151*I151</f>
        <v>333.69600000000003</v>
      </c>
      <c r="H151" s="8">
        <v>0.79</v>
      </c>
      <c r="I151" s="8">
        <v>0.88</v>
      </c>
      <c r="J151" s="5" t="str">
        <f>IF(G151&lt;720,"Potential bottleneck","OK")</f>
        <v>Potential bottleneck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">
      <c r="A152" s="5" t="s">
        <v>212</v>
      </c>
      <c r="B152" s="5" t="s">
        <v>298</v>
      </c>
      <c r="C152" s="5" t="s">
        <v>200</v>
      </c>
      <c r="D152" s="5">
        <v>3</v>
      </c>
      <c r="E152" s="5">
        <v>2</v>
      </c>
      <c r="F152" s="5">
        <v>2</v>
      </c>
      <c r="G152" s="11">
        <f>E152*8*60*H152*I152</f>
        <v>667.39200000000005</v>
      </c>
      <c r="H152" s="8">
        <v>0.79</v>
      </c>
      <c r="I152" s="8">
        <v>0.88</v>
      </c>
      <c r="J152" s="5" t="str">
        <f>IF(G152&lt;720,"Potential bottleneck","OK")</f>
        <v>Potential bottleneck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">
      <c r="A153" s="5" t="s">
        <v>212</v>
      </c>
      <c r="B153" s="5" t="s">
        <v>270</v>
      </c>
      <c r="C153" s="5" t="s">
        <v>200</v>
      </c>
      <c r="D153" s="5">
        <v>7</v>
      </c>
      <c r="E153" s="5">
        <v>5</v>
      </c>
      <c r="F153" s="5">
        <v>5</v>
      </c>
      <c r="G153" s="11">
        <f>E153*8*60*H153*I153</f>
        <v>1668.48</v>
      </c>
      <c r="H153" s="8">
        <v>0.79</v>
      </c>
      <c r="I153" s="8">
        <v>0.88</v>
      </c>
      <c r="J153" s="5" t="str">
        <f>IF(G153&lt;720,"Potential bottleneck","OK")</f>
        <v>OK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">
      <c r="A154" s="5" t="s">
        <v>212</v>
      </c>
      <c r="B154" s="5" t="s">
        <v>275</v>
      </c>
      <c r="C154" s="5" t="s">
        <v>200</v>
      </c>
      <c r="D154" s="5">
        <v>5</v>
      </c>
      <c r="E154" s="5">
        <v>4</v>
      </c>
      <c r="F154" s="5">
        <v>3</v>
      </c>
      <c r="G154" s="11">
        <f>E154*8*60*H154*I154</f>
        <v>1334.7840000000001</v>
      </c>
      <c r="H154" s="8">
        <v>0.79</v>
      </c>
      <c r="I154" s="8">
        <v>0.88</v>
      </c>
      <c r="J154" s="5" t="str">
        <f>IF(G154&lt;720,"Potential bottleneck","OK")</f>
        <v>OK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">
      <c r="A155" s="5" t="s">
        <v>212</v>
      </c>
      <c r="B155" s="5" t="s">
        <v>279</v>
      </c>
      <c r="C155" s="5" t="s">
        <v>200</v>
      </c>
      <c r="D155" s="5">
        <v>2</v>
      </c>
      <c r="E155" s="5">
        <v>1</v>
      </c>
      <c r="F155" s="5">
        <v>1</v>
      </c>
      <c r="G155" s="11">
        <f>E155*8*60*H155*I155</f>
        <v>333.69600000000003</v>
      </c>
      <c r="H155" s="8">
        <v>0.79</v>
      </c>
      <c r="I155" s="8">
        <v>0.88</v>
      </c>
      <c r="J155" s="5" t="str">
        <f>IF(G155&lt;720,"Potential bottleneck","OK")</f>
        <v>Potential bottleneck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">
      <c r="A156" s="5" t="s">
        <v>212</v>
      </c>
      <c r="B156" s="5" t="s">
        <v>297</v>
      </c>
      <c r="C156" s="5" t="s">
        <v>200</v>
      </c>
      <c r="D156" s="5">
        <v>7</v>
      </c>
      <c r="E156" s="5">
        <v>5</v>
      </c>
      <c r="F156" s="5">
        <v>4</v>
      </c>
      <c r="G156" s="11">
        <f>E156*8*60*H156*I156</f>
        <v>1668.48</v>
      </c>
      <c r="H156" s="8">
        <v>0.79</v>
      </c>
      <c r="I156" s="8">
        <v>0.88</v>
      </c>
      <c r="J156" s="5" t="str">
        <f>IF(G156&lt;720,"Potential bottleneck","OK")</f>
        <v>OK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">
      <c r="A157" s="5" t="s">
        <v>212</v>
      </c>
      <c r="B157" s="5" t="s">
        <v>292</v>
      </c>
      <c r="C157" s="5" t="s">
        <v>200</v>
      </c>
      <c r="D157" s="5">
        <v>6</v>
      </c>
      <c r="E157" s="5">
        <v>5</v>
      </c>
      <c r="F157" s="5">
        <v>5</v>
      </c>
      <c r="G157" s="11">
        <f>E157*8*60*H157*I157</f>
        <v>1668.48</v>
      </c>
      <c r="H157" s="8">
        <v>0.79</v>
      </c>
      <c r="I157" s="8">
        <v>0.88</v>
      </c>
      <c r="J157" s="5" t="str">
        <f>IF(G157&lt;720,"Potential bottleneck","OK")</f>
        <v>OK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">
      <c r="A158" s="5" t="s">
        <v>212</v>
      </c>
      <c r="B158" s="5" t="s">
        <v>299</v>
      </c>
      <c r="C158" s="5" t="s">
        <v>200</v>
      </c>
      <c r="D158" s="5">
        <v>4</v>
      </c>
      <c r="E158" s="5">
        <v>2</v>
      </c>
      <c r="F158" s="5">
        <v>1</v>
      </c>
      <c r="G158" s="11">
        <f>E158*8*60*H158*I158</f>
        <v>667.39200000000005</v>
      </c>
      <c r="H158" s="8">
        <v>0.79</v>
      </c>
      <c r="I158" s="8">
        <v>0.88</v>
      </c>
      <c r="J158" s="5" t="str">
        <f>IF(G158&lt;720,"Potential bottleneck","OK")</f>
        <v>Potential bottleneck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">
      <c r="A159" s="5" t="s">
        <v>212</v>
      </c>
      <c r="B159" s="5" t="s">
        <v>293</v>
      </c>
      <c r="C159" s="5" t="s">
        <v>200</v>
      </c>
      <c r="D159" s="5">
        <v>8</v>
      </c>
      <c r="E159" s="5">
        <v>6</v>
      </c>
      <c r="F159" s="5">
        <v>5</v>
      </c>
      <c r="G159" s="11">
        <f>E159*8*60*H159*I159</f>
        <v>2002.1760000000002</v>
      </c>
      <c r="H159" s="8">
        <v>0.79</v>
      </c>
      <c r="I159" s="8">
        <v>0.88</v>
      </c>
      <c r="J159" s="5" t="str">
        <f>IF(G159&lt;720,"Potential bottleneck","OK")</f>
        <v>OK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">
      <c r="A160" s="5" t="s">
        <v>212</v>
      </c>
      <c r="B160" s="5" t="s">
        <v>289</v>
      </c>
      <c r="C160" s="5" t="s">
        <v>200</v>
      </c>
      <c r="D160" s="5">
        <v>7</v>
      </c>
      <c r="E160" s="5">
        <v>6</v>
      </c>
      <c r="F160" s="5">
        <v>5</v>
      </c>
      <c r="G160" s="11">
        <f>E160*8*60*H160*I160</f>
        <v>2002.1760000000002</v>
      </c>
      <c r="H160" s="8">
        <v>0.79</v>
      </c>
      <c r="I160" s="8">
        <v>0.88</v>
      </c>
      <c r="J160" s="5" t="str">
        <f>IF(G160&lt;720,"Potential bottleneck","OK")</f>
        <v>OK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2">
      <c r="A161" s="5" t="s">
        <v>212</v>
      </c>
      <c r="B161" s="5" t="s">
        <v>286</v>
      </c>
      <c r="C161" s="5" t="s">
        <v>200</v>
      </c>
      <c r="D161" s="5">
        <v>3</v>
      </c>
      <c r="E161" s="5">
        <v>2</v>
      </c>
      <c r="F161" s="5">
        <v>1</v>
      </c>
      <c r="G161" s="11">
        <f>E161*8*60*H161*I161</f>
        <v>667.39200000000005</v>
      </c>
      <c r="H161" s="8">
        <v>0.79</v>
      </c>
      <c r="I161" s="8">
        <v>0.88</v>
      </c>
      <c r="J161" s="5" t="str">
        <f>IF(G161&lt;720,"Potential bottleneck","OK")</f>
        <v>Potential bottleneck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2">
      <c r="A162" s="5" t="s">
        <v>212</v>
      </c>
      <c r="B162" s="5" t="s">
        <v>278</v>
      </c>
      <c r="C162" s="5" t="s">
        <v>200</v>
      </c>
      <c r="D162" s="5">
        <v>3</v>
      </c>
      <c r="E162" s="5">
        <v>1</v>
      </c>
      <c r="F162" s="5">
        <v>1</v>
      </c>
      <c r="G162" s="11">
        <f>E162*8*60*H162*I162</f>
        <v>333.69600000000003</v>
      </c>
      <c r="H162" s="8">
        <v>0.79</v>
      </c>
      <c r="I162" s="8">
        <v>0.88</v>
      </c>
      <c r="J162" s="5" t="str">
        <f>IF(G162&lt;720,"Potential bottleneck","OK")</f>
        <v>Potential bottleneck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2">
      <c r="A163" s="5" t="s">
        <v>212</v>
      </c>
      <c r="B163" s="5" t="s">
        <v>269</v>
      </c>
      <c r="C163" s="5" t="s">
        <v>200</v>
      </c>
      <c r="D163" s="5">
        <v>3</v>
      </c>
      <c r="E163" s="5">
        <v>3</v>
      </c>
      <c r="F163" s="5">
        <v>2</v>
      </c>
      <c r="G163" s="11">
        <f>E163*8*60*H163*I163</f>
        <v>1001.0880000000001</v>
      </c>
      <c r="H163" s="8">
        <v>0.79</v>
      </c>
      <c r="I163" s="8">
        <v>0.88</v>
      </c>
      <c r="J163" s="5" t="str">
        <f>IF(G163&lt;720,"Potential bottleneck","OK")</f>
        <v>OK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2">
      <c r="A164" s="5" t="s">
        <v>212</v>
      </c>
      <c r="B164" s="5" t="s">
        <v>280</v>
      </c>
      <c r="C164" s="5" t="s">
        <v>200</v>
      </c>
      <c r="D164" s="5">
        <v>8</v>
      </c>
      <c r="E164" s="5">
        <v>6</v>
      </c>
      <c r="F164" s="5">
        <v>6</v>
      </c>
      <c r="G164" s="11">
        <f>E164*8*60*H164*I164</f>
        <v>2002.1760000000002</v>
      </c>
      <c r="H164" s="8">
        <v>0.79</v>
      </c>
      <c r="I164" s="8">
        <v>0.88</v>
      </c>
      <c r="J164" s="5" t="str">
        <f>IF(G164&lt;720,"Potential bottleneck","OK")</f>
        <v>OK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2">
      <c r="A165" s="5" t="s">
        <v>212</v>
      </c>
      <c r="B165" s="5" t="s">
        <v>281</v>
      </c>
      <c r="C165" s="5" t="s">
        <v>200</v>
      </c>
      <c r="D165" s="5">
        <v>8</v>
      </c>
      <c r="E165" s="5">
        <v>7</v>
      </c>
      <c r="F165" s="5">
        <v>7</v>
      </c>
      <c r="G165" s="11">
        <f>E165*8*60*H165*I165</f>
        <v>2335.8720000000003</v>
      </c>
      <c r="H165" s="8">
        <v>0.79</v>
      </c>
      <c r="I165" s="8">
        <v>0.88</v>
      </c>
      <c r="J165" s="5" t="str">
        <f>IF(G165&lt;720,"Potential bottleneck","OK")</f>
        <v>OK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2">
      <c r="A166" s="5" t="s">
        <v>212</v>
      </c>
      <c r="B166" s="5" t="s">
        <v>272</v>
      </c>
      <c r="C166" s="5" t="s">
        <v>273</v>
      </c>
      <c r="D166" s="5">
        <v>4</v>
      </c>
      <c r="E166" s="5">
        <v>3</v>
      </c>
      <c r="F166" s="5">
        <v>0</v>
      </c>
      <c r="G166" s="11">
        <f>E166*8*60*H166*I166</f>
        <v>1001.0880000000001</v>
      </c>
      <c r="H166" s="8">
        <v>0.79</v>
      </c>
      <c r="I166" s="8">
        <v>0.88</v>
      </c>
      <c r="J166" s="5" t="str">
        <f>IF(G166&lt;720,"Potential bottleneck","OK")</f>
        <v>OK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2">
      <c r="A167" s="5" t="s">
        <v>212</v>
      </c>
      <c r="B167" s="5" t="s">
        <v>301</v>
      </c>
      <c r="C167" s="5" t="s">
        <v>200</v>
      </c>
      <c r="D167" s="5">
        <v>6</v>
      </c>
      <c r="E167" s="5">
        <v>4</v>
      </c>
      <c r="F167" s="5">
        <v>4</v>
      </c>
      <c r="G167" s="11">
        <f>E167*8*60*H167*I167</f>
        <v>1334.7840000000001</v>
      </c>
      <c r="H167" s="8">
        <v>0.79</v>
      </c>
      <c r="I167" s="8">
        <v>0.88</v>
      </c>
      <c r="J167" s="5" t="str">
        <f>IF(G167&lt;720,"Potential bottleneck","OK")</f>
        <v>OK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2">
      <c r="A168" s="5" t="s">
        <v>212</v>
      </c>
      <c r="B168" s="5" t="s">
        <v>290</v>
      </c>
      <c r="C168" s="5" t="s">
        <v>200</v>
      </c>
      <c r="D168" s="5">
        <v>5</v>
      </c>
      <c r="E168" s="5">
        <v>5</v>
      </c>
      <c r="F168" s="5">
        <v>4</v>
      </c>
      <c r="G168" s="11">
        <f>E168*8*60*H168*I168</f>
        <v>1668.48</v>
      </c>
      <c r="H168" s="8">
        <v>0.79</v>
      </c>
      <c r="I168" s="8">
        <v>0.88</v>
      </c>
      <c r="J168" s="5" t="str">
        <f>IF(G168&lt;720,"Potential bottleneck","OK")</f>
        <v>OK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2">
      <c r="A169" s="5" t="s">
        <v>212</v>
      </c>
      <c r="B169" s="5" t="s">
        <v>296</v>
      </c>
      <c r="C169" s="5" t="s">
        <v>200</v>
      </c>
      <c r="D169" s="5">
        <v>3</v>
      </c>
      <c r="E169" s="5">
        <v>2</v>
      </c>
      <c r="F169" s="5">
        <v>2</v>
      </c>
      <c r="G169" s="11">
        <f>E169*8*60*H169*I169</f>
        <v>667.39200000000005</v>
      </c>
      <c r="H169" s="8">
        <v>0.79</v>
      </c>
      <c r="I169" s="8">
        <v>0.88</v>
      </c>
      <c r="J169" s="5" t="str">
        <f>IF(G169&lt;720,"Potential bottleneck","OK")</f>
        <v>Potential bottleneck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2">
      <c r="A170" s="5" t="s">
        <v>212</v>
      </c>
      <c r="B170" s="5" t="s">
        <v>282</v>
      </c>
      <c r="C170" s="5" t="s">
        <v>200</v>
      </c>
      <c r="D170" s="5">
        <v>5</v>
      </c>
      <c r="E170" s="5">
        <v>4</v>
      </c>
      <c r="F170" s="5">
        <v>4</v>
      </c>
      <c r="G170" s="11">
        <f>E170*8*60*H170*I170</f>
        <v>1334.7840000000001</v>
      </c>
      <c r="H170" s="8">
        <v>0.79</v>
      </c>
      <c r="I170" s="8">
        <v>0.88</v>
      </c>
      <c r="J170" s="5" t="str">
        <f>IF(G170&lt;720,"Potential bottleneck","OK")</f>
        <v>OK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2">
      <c r="A171" s="5" t="s">
        <v>212</v>
      </c>
      <c r="B171" s="5" t="s">
        <v>300</v>
      </c>
      <c r="C171" s="5" t="s">
        <v>200</v>
      </c>
      <c r="D171" s="5">
        <v>6</v>
      </c>
      <c r="E171" s="5">
        <v>4</v>
      </c>
      <c r="F171" s="5">
        <v>4</v>
      </c>
      <c r="G171" s="11">
        <f>E171*8*60*H171*I171</f>
        <v>1334.7840000000001</v>
      </c>
      <c r="H171" s="8">
        <v>0.79</v>
      </c>
      <c r="I171" s="8">
        <v>0.88</v>
      </c>
      <c r="J171" s="5" t="str">
        <f>IF(G171&lt;720,"Potential bottleneck","OK")</f>
        <v>OK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2">
      <c r="A172" s="5" t="s">
        <v>212</v>
      </c>
      <c r="B172" s="5" t="s">
        <v>302</v>
      </c>
      <c r="C172" s="5" t="s">
        <v>200</v>
      </c>
      <c r="D172" s="5">
        <v>2</v>
      </c>
      <c r="E172" s="5">
        <v>1</v>
      </c>
      <c r="F172" s="5">
        <v>1</v>
      </c>
      <c r="G172" s="11">
        <f>E172*8*60*H172*I172</f>
        <v>333.69600000000003</v>
      </c>
      <c r="H172" s="8">
        <v>0.79</v>
      </c>
      <c r="I172" s="8">
        <v>0.88</v>
      </c>
      <c r="J172" s="5" t="str">
        <f>IF(G172&lt;720,"Potential bottleneck","OK")</f>
        <v>Potential bottleneck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2">
      <c r="A173" s="5" t="s">
        <v>212</v>
      </c>
      <c r="B173" s="5" t="s">
        <v>295</v>
      </c>
      <c r="C173" s="5" t="s">
        <v>200</v>
      </c>
      <c r="D173" s="5">
        <v>7</v>
      </c>
      <c r="E173" s="5">
        <v>5</v>
      </c>
      <c r="F173" s="5">
        <v>5</v>
      </c>
      <c r="G173" s="11">
        <f>E173*8*60*H173*I173</f>
        <v>1668.48</v>
      </c>
      <c r="H173" s="8">
        <v>0.79</v>
      </c>
      <c r="I173" s="8">
        <v>0.88</v>
      </c>
      <c r="J173" s="5" t="str">
        <f>IF(G173&lt;720,"Potential bottleneck","OK")</f>
        <v>OK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2">
      <c r="A174" s="5" t="s">
        <v>212</v>
      </c>
      <c r="B174" s="5" t="s">
        <v>304</v>
      </c>
      <c r="C174" s="5" t="s">
        <v>200</v>
      </c>
      <c r="D174" s="5">
        <v>8</v>
      </c>
      <c r="E174" s="5">
        <v>8</v>
      </c>
      <c r="F174" s="5">
        <v>8</v>
      </c>
      <c r="G174" s="11">
        <f>E174*8*60*H174*I174</f>
        <v>2669.5680000000002</v>
      </c>
      <c r="H174" s="8">
        <v>0.79</v>
      </c>
      <c r="I174" s="8">
        <v>0.88</v>
      </c>
      <c r="J174" s="5" t="str">
        <f>IF(G174&lt;720,"Potential bottleneck","OK")</f>
        <v>OK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x14ac:dyDescent="0.2">
      <c r="A175" s="5" t="s">
        <v>212</v>
      </c>
      <c r="B175" s="5" t="s">
        <v>303</v>
      </c>
      <c r="C175" s="5" t="s">
        <v>200</v>
      </c>
      <c r="D175" s="5">
        <v>8</v>
      </c>
      <c r="E175" s="5">
        <v>6</v>
      </c>
      <c r="F175" s="5">
        <v>6</v>
      </c>
      <c r="G175" s="11">
        <f>E175*8*60*H175*I175</f>
        <v>2002.1760000000002</v>
      </c>
      <c r="H175" s="8">
        <v>0.79</v>
      </c>
      <c r="I175" s="8">
        <v>0.88</v>
      </c>
      <c r="J175" s="5" t="str">
        <f>IF(G175&lt;720,"Potential bottleneck","OK")</f>
        <v>OK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x14ac:dyDescent="0.2">
      <c r="A176" s="5" t="s">
        <v>212</v>
      </c>
      <c r="B176" s="5" t="s">
        <v>268</v>
      </c>
      <c r="C176" s="5" t="s">
        <v>200</v>
      </c>
      <c r="D176" s="5">
        <v>5</v>
      </c>
      <c r="E176" s="5">
        <v>5</v>
      </c>
      <c r="F176" s="5">
        <v>4</v>
      </c>
      <c r="G176" s="11">
        <f>E176*8*60*H176*I176</f>
        <v>1668.48</v>
      </c>
      <c r="H176" s="8">
        <v>0.79</v>
      </c>
      <c r="I176" s="8">
        <v>0.88</v>
      </c>
      <c r="J176" s="5" t="str">
        <f>IF(G176&lt;720,"Potential bottleneck","OK")</f>
        <v>OK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x14ac:dyDescent="0.2">
      <c r="A177" s="5" t="s">
        <v>212</v>
      </c>
      <c r="B177" s="5" t="s">
        <v>291</v>
      </c>
      <c r="C177" s="5" t="s">
        <v>200</v>
      </c>
      <c r="D177" s="5">
        <v>4</v>
      </c>
      <c r="E177" s="5">
        <v>4</v>
      </c>
      <c r="F177" s="5">
        <v>4</v>
      </c>
      <c r="G177" s="11">
        <f>E177*8*60*H177*I177</f>
        <v>1334.7840000000001</v>
      </c>
      <c r="H177" s="8">
        <v>0.79</v>
      </c>
      <c r="I177" s="8">
        <v>0.88</v>
      </c>
      <c r="J177" s="5" t="str">
        <f>IF(G177&lt;720,"Potential bottleneck","OK")</f>
        <v>OK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x14ac:dyDescent="0.2">
      <c r="A178" s="5" t="s">
        <v>212</v>
      </c>
      <c r="B178" s="5" t="s">
        <v>276</v>
      </c>
      <c r="C178" s="5" t="s">
        <v>200</v>
      </c>
      <c r="D178" s="5">
        <v>3</v>
      </c>
      <c r="E178" s="5">
        <v>1</v>
      </c>
      <c r="F178" s="5">
        <v>1</v>
      </c>
      <c r="G178" s="11">
        <f>E178*8*60*H178*I178</f>
        <v>333.69600000000003</v>
      </c>
      <c r="H178" s="8">
        <v>0.79</v>
      </c>
      <c r="I178" s="8">
        <v>0.88</v>
      </c>
      <c r="J178" s="5" t="str">
        <f>IF(G178&lt;720,"Potential bottleneck","OK")</f>
        <v>Potential bottleneck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x14ac:dyDescent="0.2">
      <c r="A179" s="5" t="s">
        <v>212</v>
      </c>
      <c r="B179" s="5" t="s">
        <v>305</v>
      </c>
      <c r="C179" s="5" t="s">
        <v>200</v>
      </c>
      <c r="D179" s="5">
        <v>7</v>
      </c>
      <c r="E179" s="5">
        <v>6</v>
      </c>
      <c r="F179" s="5">
        <v>6</v>
      </c>
      <c r="G179" s="11">
        <f>E179*8*60*H179*I179</f>
        <v>2002.1760000000002</v>
      </c>
      <c r="H179" s="8">
        <v>0.79</v>
      </c>
      <c r="I179" s="8">
        <v>0.88</v>
      </c>
      <c r="J179" s="5" t="str">
        <f>IF(G179&lt;720,"Potential bottleneck","OK")</f>
        <v>OK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x14ac:dyDescent="0.2">
      <c r="A180" s="5" t="s">
        <v>212</v>
      </c>
      <c r="B180" s="5" t="s">
        <v>274</v>
      </c>
      <c r="C180" s="5" t="s">
        <v>238</v>
      </c>
      <c r="D180" s="5">
        <v>2</v>
      </c>
      <c r="E180" s="5">
        <v>1</v>
      </c>
      <c r="F180" s="5">
        <v>1</v>
      </c>
      <c r="G180" s="11">
        <f>E180*8*60*H180*I180</f>
        <v>333.69600000000003</v>
      </c>
      <c r="H180" s="8">
        <v>0.79</v>
      </c>
      <c r="I180" s="8">
        <v>0.88</v>
      </c>
      <c r="J180" s="5" t="str">
        <f>IF(G180&lt;720,"Potential bottleneck","OK")</f>
        <v>Potential bottleneck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2">
      <c r="A181" s="5" t="s">
        <v>212</v>
      </c>
      <c r="B181" s="5" t="s">
        <v>294</v>
      </c>
      <c r="C181" s="5" t="s">
        <v>200</v>
      </c>
      <c r="D181" s="5">
        <v>6</v>
      </c>
      <c r="E181" s="5">
        <v>5</v>
      </c>
      <c r="F181" s="5">
        <v>4</v>
      </c>
      <c r="G181" s="11">
        <f>E181*8*60*H181*I181</f>
        <v>1668.48</v>
      </c>
      <c r="H181" s="8">
        <v>0.79</v>
      </c>
      <c r="I181" s="8">
        <v>0.88</v>
      </c>
      <c r="J181" s="5" t="str">
        <f>IF(G181&lt;720,"Potential bottleneck","OK")</f>
        <v>OK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x14ac:dyDescent="0.2">
      <c r="A182" s="5" t="s">
        <v>212</v>
      </c>
      <c r="B182" s="5" t="s">
        <v>285</v>
      </c>
      <c r="C182" s="5" t="s">
        <v>200</v>
      </c>
      <c r="D182" s="5">
        <v>5</v>
      </c>
      <c r="E182" s="5">
        <v>4</v>
      </c>
      <c r="F182" s="5">
        <v>3</v>
      </c>
      <c r="G182" s="11">
        <f>E182*8*60*H182*I182</f>
        <v>1334.7840000000001</v>
      </c>
      <c r="H182" s="8">
        <v>0.79</v>
      </c>
      <c r="I182" s="8">
        <v>0.88</v>
      </c>
      <c r="J182" s="5" t="str">
        <f>IF(G182&lt;720,"Potential bottleneck","OK")</f>
        <v>OK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x14ac:dyDescent="0.2">
      <c r="A183" s="5" t="s">
        <v>212</v>
      </c>
      <c r="B183" s="5" t="s">
        <v>277</v>
      </c>
      <c r="C183" s="5" t="s">
        <v>238</v>
      </c>
      <c r="D183" s="5">
        <v>3</v>
      </c>
      <c r="E183" s="5">
        <v>2</v>
      </c>
      <c r="F183" s="5">
        <v>1</v>
      </c>
      <c r="G183" s="11">
        <f>E183*8*60*H183*I183</f>
        <v>667.39200000000005</v>
      </c>
      <c r="H183" s="8">
        <v>0.79</v>
      </c>
      <c r="I183" s="8">
        <v>0.88</v>
      </c>
      <c r="J183" s="5" t="str">
        <f>IF(G183&lt;720,"Potential bottleneck","OK")</f>
        <v>Potential bottleneck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x14ac:dyDescent="0.2">
      <c r="A184" s="5" t="s">
        <v>212</v>
      </c>
      <c r="B184" s="5" t="s">
        <v>271</v>
      </c>
      <c r="C184" s="5" t="s">
        <v>238</v>
      </c>
      <c r="D184" s="5">
        <v>4</v>
      </c>
      <c r="E184" s="5">
        <v>3</v>
      </c>
      <c r="F184" s="5">
        <v>3</v>
      </c>
      <c r="G184" s="11">
        <f>E184*8*60*H184*I184</f>
        <v>1001.0880000000001</v>
      </c>
      <c r="H184" s="8">
        <v>0.79</v>
      </c>
      <c r="I184" s="8">
        <v>0.88</v>
      </c>
      <c r="J184" s="5" t="str">
        <f>IF(G184&lt;720,"Potential bottleneck","OK")</f>
        <v>OK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x14ac:dyDescent="0.2">
      <c r="A185" s="5" t="s">
        <v>212</v>
      </c>
      <c r="B185" s="5" t="s">
        <v>287</v>
      </c>
      <c r="C185" s="5" t="s">
        <v>238</v>
      </c>
      <c r="D185" s="5">
        <v>4</v>
      </c>
      <c r="E185" s="5">
        <v>3</v>
      </c>
      <c r="F185" s="5">
        <v>3</v>
      </c>
      <c r="G185" s="11">
        <f>E185*8*60*H185*I185</f>
        <v>1001.0880000000001</v>
      </c>
      <c r="H185" s="8">
        <v>0.79</v>
      </c>
      <c r="I185" s="8">
        <v>0.88</v>
      </c>
      <c r="J185" s="5" t="str">
        <f>IF(G185&lt;720,"Potential bottleneck","OK")</f>
        <v>OK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2">
      <c r="A186" s="5" t="s">
        <v>212</v>
      </c>
      <c r="B186" s="5" t="s">
        <v>264</v>
      </c>
      <c r="C186" s="5" t="s">
        <v>197</v>
      </c>
      <c r="D186" s="5">
        <v>3</v>
      </c>
      <c r="E186" s="5">
        <v>2</v>
      </c>
      <c r="F186" s="5">
        <v>1</v>
      </c>
      <c r="G186" s="11">
        <f>E186*8*60*H186*I186</f>
        <v>667.39200000000005</v>
      </c>
      <c r="H186" s="8">
        <v>0.79</v>
      </c>
      <c r="I186" s="8">
        <v>0.88</v>
      </c>
      <c r="J186" s="5" t="str">
        <f>IF(G186&lt;720,"Potential bottleneck","OK")</f>
        <v>Potential bottleneck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x14ac:dyDescent="0.2">
      <c r="A187" s="5" t="s">
        <v>212</v>
      </c>
      <c r="B187" s="5" t="s">
        <v>288</v>
      </c>
      <c r="C187" s="5" t="s">
        <v>200</v>
      </c>
      <c r="D187" s="5">
        <v>2</v>
      </c>
      <c r="E187" s="5">
        <v>1</v>
      </c>
      <c r="F187" s="5">
        <v>1</v>
      </c>
      <c r="G187" s="11">
        <f>E187*8*60*H187*I187</f>
        <v>333.69600000000003</v>
      </c>
      <c r="H187" s="8">
        <v>0.79</v>
      </c>
      <c r="I187" s="8">
        <v>0.88</v>
      </c>
      <c r="J187" s="5" t="str">
        <f>IF(G187&lt;720,"Potential bottleneck","OK")</f>
        <v>Potential bottleneck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2">
      <c r="A188" s="5" t="s">
        <v>202</v>
      </c>
      <c r="B188" s="5" t="s">
        <v>266</v>
      </c>
      <c r="C188" s="5" t="s">
        <v>197</v>
      </c>
      <c r="D188" s="5">
        <v>2</v>
      </c>
      <c r="E188" s="5">
        <v>2</v>
      </c>
      <c r="F188" s="5">
        <v>1</v>
      </c>
      <c r="G188" s="11">
        <f>E188*8*60*H188*I188</f>
        <v>634.75200000000007</v>
      </c>
      <c r="H188" s="8">
        <v>0.76</v>
      </c>
      <c r="I188" s="8">
        <v>0.87</v>
      </c>
      <c r="J188" s="5" t="str">
        <f>IF(G188&lt;720,"Potential bottleneck","OK")</f>
        <v>Potential bottleneck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x14ac:dyDescent="0.2">
      <c r="A189" s="5" t="s">
        <v>202</v>
      </c>
      <c r="B189" s="5" t="s">
        <v>298</v>
      </c>
      <c r="C189" s="5" t="s">
        <v>200</v>
      </c>
      <c r="D189" s="5">
        <v>6</v>
      </c>
      <c r="E189" s="5">
        <v>4</v>
      </c>
      <c r="F189" s="5">
        <v>3</v>
      </c>
      <c r="G189" s="11">
        <f>E189*8*60*H189*I189</f>
        <v>1269.5040000000001</v>
      </c>
      <c r="H189" s="8">
        <v>0.76</v>
      </c>
      <c r="I189" s="8">
        <v>0.87</v>
      </c>
      <c r="J189" s="5" t="str">
        <f>IF(G189&lt;720,"Potential bottleneck","OK")</f>
        <v>OK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x14ac:dyDescent="0.2">
      <c r="A190" s="5" t="s">
        <v>202</v>
      </c>
      <c r="B190" s="5" t="s">
        <v>270</v>
      </c>
      <c r="C190" s="5" t="s">
        <v>200</v>
      </c>
      <c r="D190" s="5">
        <v>4</v>
      </c>
      <c r="E190" s="5">
        <v>4</v>
      </c>
      <c r="F190" s="5">
        <v>4</v>
      </c>
      <c r="G190" s="11">
        <f>E190*8*60*H190*I190</f>
        <v>1269.5040000000001</v>
      </c>
      <c r="H190" s="8">
        <v>0.76</v>
      </c>
      <c r="I190" s="8">
        <v>0.87</v>
      </c>
      <c r="J190" s="5" t="str">
        <f>IF(G190&lt;720,"Potential bottleneck","OK")</f>
        <v>OK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x14ac:dyDescent="0.2">
      <c r="A191" s="5" t="s">
        <v>202</v>
      </c>
      <c r="B191" s="5" t="s">
        <v>275</v>
      </c>
      <c r="C191" s="5" t="s">
        <v>200</v>
      </c>
      <c r="D191" s="5">
        <v>4</v>
      </c>
      <c r="E191" s="5">
        <v>4</v>
      </c>
      <c r="F191" s="5">
        <v>3</v>
      </c>
      <c r="G191" s="11">
        <f>E191*8*60*H191*I191</f>
        <v>1269.5040000000001</v>
      </c>
      <c r="H191" s="8">
        <v>0.76</v>
      </c>
      <c r="I191" s="8">
        <v>0.87</v>
      </c>
      <c r="J191" s="5" t="str">
        <f>IF(G191&lt;720,"Potential bottleneck","OK")</f>
        <v>OK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2">
      <c r="A192" s="5" t="s">
        <v>202</v>
      </c>
      <c r="B192" s="5" t="s">
        <v>279</v>
      </c>
      <c r="C192" s="5" t="s">
        <v>200</v>
      </c>
      <c r="D192" s="5">
        <v>6</v>
      </c>
      <c r="E192" s="5">
        <v>6</v>
      </c>
      <c r="F192" s="5">
        <v>5</v>
      </c>
      <c r="G192" s="11">
        <f>E192*8*60*H192*I192</f>
        <v>1904.2560000000001</v>
      </c>
      <c r="H192" s="8">
        <v>0.76</v>
      </c>
      <c r="I192" s="8">
        <v>0.87</v>
      </c>
      <c r="J192" s="5" t="str">
        <f>IF(G192&lt;720,"Potential bottleneck","OK")</f>
        <v>OK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x14ac:dyDescent="0.2">
      <c r="A193" s="5" t="s">
        <v>202</v>
      </c>
      <c r="B193" s="5" t="s">
        <v>297</v>
      </c>
      <c r="C193" s="5" t="s">
        <v>200</v>
      </c>
      <c r="D193" s="5">
        <v>6</v>
      </c>
      <c r="E193" s="5">
        <v>4</v>
      </c>
      <c r="F193" s="5">
        <v>3</v>
      </c>
      <c r="G193" s="11">
        <f>E193*8*60*H193*I193</f>
        <v>1269.5040000000001</v>
      </c>
      <c r="H193" s="8">
        <v>0.76</v>
      </c>
      <c r="I193" s="8">
        <v>0.87</v>
      </c>
      <c r="J193" s="5" t="str">
        <f>IF(G193&lt;720,"Potential bottleneck","OK")</f>
        <v>OK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x14ac:dyDescent="0.2">
      <c r="A194" s="5" t="s">
        <v>202</v>
      </c>
      <c r="B194" s="5" t="s">
        <v>292</v>
      </c>
      <c r="C194" s="5" t="s">
        <v>200</v>
      </c>
      <c r="D194" s="5">
        <v>4</v>
      </c>
      <c r="E194" s="5">
        <v>3</v>
      </c>
      <c r="F194" s="5">
        <v>2</v>
      </c>
      <c r="G194" s="11">
        <f>E194*8*60*H194*I194</f>
        <v>952.12800000000004</v>
      </c>
      <c r="H194" s="8">
        <v>0.76</v>
      </c>
      <c r="I194" s="8">
        <v>0.87</v>
      </c>
      <c r="J194" s="5" t="str">
        <f>IF(G194&lt;720,"Potential bottleneck","OK")</f>
        <v>OK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x14ac:dyDescent="0.2">
      <c r="A195" s="5" t="s">
        <v>202</v>
      </c>
      <c r="B195" s="5" t="s">
        <v>299</v>
      </c>
      <c r="C195" s="5" t="s">
        <v>200</v>
      </c>
      <c r="D195" s="5">
        <v>5</v>
      </c>
      <c r="E195" s="5">
        <v>5</v>
      </c>
      <c r="F195" s="5">
        <v>4</v>
      </c>
      <c r="G195" s="11">
        <f>E195*8*60*H195*I195</f>
        <v>1586.8799999999999</v>
      </c>
      <c r="H195" s="8">
        <v>0.76</v>
      </c>
      <c r="I195" s="8">
        <v>0.87</v>
      </c>
      <c r="J195" s="5" t="str">
        <f>IF(G195&lt;720,"Potential bottleneck","OK")</f>
        <v>OK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x14ac:dyDescent="0.2">
      <c r="A196" s="5" t="s">
        <v>202</v>
      </c>
      <c r="B196" s="5" t="s">
        <v>293</v>
      </c>
      <c r="C196" s="5" t="s">
        <v>200</v>
      </c>
      <c r="D196" s="5">
        <v>3</v>
      </c>
      <c r="E196" s="5">
        <v>3</v>
      </c>
      <c r="F196" s="5">
        <v>2</v>
      </c>
      <c r="G196" s="11">
        <f>E196*8*60*H196*I196</f>
        <v>952.12800000000004</v>
      </c>
      <c r="H196" s="8">
        <v>0.76</v>
      </c>
      <c r="I196" s="8">
        <v>0.87</v>
      </c>
      <c r="J196" s="5" t="str">
        <f>IF(G196&lt;720,"Potential bottleneck","OK")</f>
        <v>OK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x14ac:dyDescent="0.2">
      <c r="A197" s="5" t="s">
        <v>202</v>
      </c>
      <c r="B197" s="5" t="s">
        <v>289</v>
      </c>
      <c r="C197" s="5" t="s">
        <v>200</v>
      </c>
      <c r="D197" s="5">
        <v>3</v>
      </c>
      <c r="E197" s="5">
        <v>1</v>
      </c>
      <c r="F197" s="5">
        <v>1</v>
      </c>
      <c r="G197" s="11">
        <f>E197*8*60*H197*I197</f>
        <v>317.37600000000003</v>
      </c>
      <c r="H197" s="8">
        <v>0.76</v>
      </c>
      <c r="I197" s="8">
        <v>0.87</v>
      </c>
      <c r="J197" s="5" t="str">
        <f>IF(G197&lt;720,"Potential bottleneck","OK")</f>
        <v>Potential bottleneck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x14ac:dyDescent="0.2">
      <c r="A198" s="5" t="s">
        <v>202</v>
      </c>
      <c r="B198" s="5" t="s">
        <v>286</v>
      </c>
      <c r="C198" s="5" t="s">
        <v>200</v>
      </c>
      <c r="D198" s="5">
        <v>6</v>
      </c>
      <c r="E198" s="5">
        <v>6</v>
      </c>
      <c r="F198" s="5">
        <v>6</v>
      </c>
      <c r="G198" s="11">
        <f>E198*8*60*H198*I198</f>
        <v>1904.2560000000001</v>
      </c>
      <c r="H198" s="8">
        <v>0.76</v>
      </c>
      <c r="I198" s="8">
        <v>0.87</v>
      </c>
      <c r="J198" s="5" t="str">
        <f>IF(G198&lt;720,"Potential bottleneck","OK")</f>
        <v>OK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x14ac:dyDescent="0.2">
      <c r="A199" s="5" t="s">
        <v>202</v>
      </c>
      <c r="B199" s="5" t="s">
        <v>278</v>
      </c>
      <c r="C199" s="5" t="s">
        <v>200</v>
      </c>
      <c r="D199" s="5">
        <v>8</v>
      </c>
      <c r="E199" s="5">
        <v>6</v>
      </c>
      <c r="F199" s="5">
        <v>6</v>
      </c>
      <c r="G199" s="11">
        <f>E199*8*60*H199*I199</f>
        <v>1904.2560000000001</v>
      </c>
      <c r="H199" s="8">
        <v>0.76</v>
      </c>
      <c r="I199" s="8">
        <v>0.87</v>
      </c>
      <c r="J199" s="5" t="str">
        <f>IF(G199&lt;720,"Potential bottleneck","OK")</f>
        <v>OK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x14ac:dyDescent="0.2">
      <c r="A200" s="5" t="s">
        <v>202</v>
      </c>
      <c r="B200" s="5" t="s">
        <v>269</v>
      </c>
      <c r="C200" s="5" t="s">
        <v>200</v>
      </c>
      <c r="D200" s="5">
        <v>8</v>
      </c>
      <c r="E200" s="5">
        <v>8</v>
      </c>
      <c r="F200" s="5">
        <v>7</v>
      </c>
      <c r="G200" s="11">
        <f>E200*8*60*H200*I200</f>
        <v>2539.0080000000003</v>
      </c>
      <c r="H200" s="8">
        <v>0.76</v>
      </c>
      <c r="I200" s="8">
        <v>0.87</v>
      </c>
      <c r="J200" s="5" t="str">
        <f>IF(G200&lt;720,"Potential bottleneck","OK")</f>
        <v>OK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x14ac:dyDescent="0.2">
      <c r="A201" s="5" t="s">
        <v>202</v>
      </c>
      <c r="B201" s="5" t="s">
        <v>280</v>
      </c>
      <c r="C201" s="5" t="s">
        <v>200</v>
      </c>
      <c r="D201" s="5">
        <v>3</v>
      </c>
      <c r="E201" s="5">
        <v>1</v>
      </c>
      <c r="F201" s="5">
        <v>1</v>
      </c>
      <c r="G201" s="11">
        <f>E201*8*60*H201*I201</f>
        <v>317.37600000000003</v>
      </c>
      <c r="H201" s="8">
        <v>0.76</v>
      </c>
      <c r="I201" s="8">
        <v>0.87</v>
      </c>
      <c r="J201" s="5" t="str">
        <f>IF(G201&lt;720,"Potential bottleneck","OK")</f>
        <v>Potential bottleneck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x14ac:dyDescent="0.2">
      <c r="A202" s="5" t="s">
        <v>202</v>
      </c>
      <c r="B202" s="5" t="s">
        <v>281</v>
      </c>
      <c r="C202" s="5" t="s">
        <v>200</v>
      </c>
      <c r="D202" s="5">
        <v>2</v>
      </c>
      <c r="E202" s="5">
        <v>1</v>
      </c>
      <c r="F202" s="5">
        <v>1</v>
      </c>
      <c r="G202" s="11">
        <f>E202*8*60*H202*I202</f>
        <v>317.37600000000003</v>
      </c>
      <c r="H202" s="8">
        <v>0.76</v>
      </c>
      <c r="I202" s="8">
        <v>0.87</v>
      </c>
      <c r="J202" s="5" t="str">
        <f>IF(G202&lt;720,"Potential bottleneck","OK")</f>
        <v>Potential bottleneck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x14ac:dyDescent="0.2">
      <c r="A203" s="5" t="s">
        <v>202</v>
      </c>
      <c r="B203" s="5" t="s">
        <v>272</v>
      </c>
      <c r="C203" s="5" t="s">
        <v>273</v>
      </c>
      <c r="D203" s="5">
        <v>1</v>
      </c>
      <c r="E203" s="5">
        <v>1</v>
      </c>
      <c r="F203" s="5">
        <v>0</v>
      </c>
      <c r="G203" s="11">
        <f>E203*8*60*H203*I203</f>
        <v>317.37600000000003</v>
      </c>
      <c r="H203" s="8">
        <v>0.76</v>
      </c>
      <c r="I203" s="8">
        <v>0.87</v>
      </c>
      <c r="J203" s="5" t="str">
        <f>IF(G203&lt;720,"Potential bottleneck","OK")</f>
        <v>Potential bottleneck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x14ac:dyDescent="0.2">
      <c r="A204" s="5" t="s">
        <v>202</v>
      </c>
      <c r="B204" s="5" t="s">
        <v>301</v>
      </c>
      <c r="C204" s="5" t="s">
        <v>200</v>
      </c>
      <c r="D204" s="5">
        <v>6</v>
      </c>
      <c r="E204" s="5">
        <v>5</v>
      </c>
      <c r="F204" s="5">
        <v>4</v>
      </c>
      <c r="G204" s="11">
        <f>E204*8*60*H204*I204</f>
        <v>1586.8799999999999</v>
      </c>
      <c r="H204" s="8">
        <v>0.76</v>
      </c>
      <c r="I204" s="8">
        <v>0.87</v>
      </c>
      <c r="J204" s="5" t="str">
        <f>IF(G204&lt;720,"Potential bottleneck","OK")</f>
        <v>OK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x14ac:dyDescent="0.2">
      <c r="A205" s="5" t="s">
        <v>202</v>
      </c>
      <c r="B205" s="5" t="s">
        <v>290</v>
      </c>
      <c r="C205" s="5" t="s">
        <v>200</v>
      </c>
      <c r="D205" s="5">
        <v>2</v>
      </c>
      <c r="E205" s="5">
        <v>1</v>
      </c>
      <c r="F205" s="5">
        <v>1</v>
      </c>
      <c r="G205" s="11">
        <f>E205*8*60*H205*I205</f>
        <v>317.37600000000003</v>
      </c>
      <c r="H205" s="8">
        <v>0.76</v>
      </c>
      <c r="I205" s="8">
        <v>0.87</v>
      </c>
      <c r="J205" s="5" t="str">
        <f>IF(G205&lt;720,"Potential bottleneck","OK")</f>
        <v>Potential bottleneck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x14ac:dyDescent="0.2">
      <c r="A206" s="5" t="s">
        <v>202</v>
      </c>
      <c r="B206" s="5" t="s">
        <v>296</v>
      </c>
      <c r="C206" s="5" t="s">
        <v>200</v>
      </c>
      <c r="D206" s="5">
        <v>7</v>
      </c>
      <c r="E206" s="5">
        <v>6</v>
      </c>
      <c r="F206" s="5">
        <v>6</v>
      </c>
      <c r="G206" s="11">
        <f>E206*8*60*H206*I206</f>
        <v>1904.2560000000001</v>
      </c>
      <c r="H206" s="8">
        <v>0.76</v>
      </c>
      <c r="I206" s="8">
        <v>0.87</v>
      </c>
      <c r="J206" s="5" t="str">
        <f>IF(G206&lt;720,"Potential bottleneck","OK")</f>
        <v>OK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x14ac:dyDescent="0.2">
      <c r="A207" s="5" t="s">
        <v>202</v>
      </c>
      <c r="B207" s="5" t="s">
        <v>282</v>
      </c>
      <c r="C207" s="5" t="s">
        <v>200</v>
      </c>
      <c r="D207" s="5">
        <v>2</v>
      </c>
      <c r="E207" s="5">
        <v>1</v>
      </c>
      <c r="F207" s="5">
        <v>1</v>
      </c>
      <c r="G207" s="11">
        <f>E207*8*60*H207*I207</f>
        <v>317.37600000000003</v>
      </c>
      <c r="H207" s="8">
        <v>0.76</v>
      </c>
      <c r="I207" s="8">
        <v>0.87</v>
      </c>
      <c r="J207" s="5" t="str">
        <f>IF(G207&lt;720,"Potential bottleneck","OK")</f>
        <v>Potential bottleneck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x14ac:dyDescent="0.2">
      <c r="A208" s="5" t="s">
        <v>202</v>
      </c>
      <c r="B208" s="5" t="s">
        <v>300</v>
      </c>
      <c r="C208" s="5" t="s">
        <v>200</v>
      </c>
      <c r="D208" s="5">
        <v>2</v>
      </c>
      <c r="E208" s="5">
        <v>2</v>
      </c>
      <c r="F208" s="5">
        <v>1</v>
      </c>
      <c r="G208" s="11">
        <f>E208*8*60*H208*I208</f>
        <v>634.75200000000007</v>
      </c>
      <c r="H208" s="8">
        <v>0.76</v>
      </c>
      <c r="I208" s="8">
        <v>0.87</v>
      </c>
      <c r="J208" s="5" t="str">
        <f>IF(G208&lt;720,"Potential bottleneck","OK")</f>
        <v>Potential bottleneck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x14ac:dyDescent="0.2">
      <c r="A209" s="5" t="s">
        <v>202</v>
      </c>
      <c r="B209" s="5" t="s">
        <v>302</v>
      </c>
      <c r="C209" s="5" t="s">
        <v>200</v>
      </c>
      <c r="D209" s="5">
        <v>6</v>
      </c>
      <c r="E209" s="5">
        <v>5</v>
      </c>
      <c r="F209" s="5">
        <v>5</v>
      </c>
      <c r="G209" s="11">
        <f>E209*8*60*H209*I209</f>
        <v>1586.8799999999999</v>
      </c>
      <c r="H209" s="8">
        <v>0.76</v>
      </c>
      <c r="I209" s="8">
        <v>0.87</v>
      </c>
      <c r="J209" s="5" t="str">
        <f>IF(G209&lt;720,"Potential bottleneck","OK")</f>
        <v>OK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x14ac:dyDescent="0.2">
      <c r="A210" s="5" t="s">
        <v>202</v>
      </c>
      <c r="B210" s="5" t="s">
        <v>295</v>
      </c>
      <c r="C210" s="5" t="s">
        <v>200</v>
      </c>
      <c r="D210" s="5">
        <v>6</v>
      </c>
      <c r="E210" s="5">
        <v>4</v>
      </c>
      <c r="F210" s="5">
        <v>3</v>
      </c>
      <c r="G210" s="11">
        <f>E210*8*60*H210*I210</f>
        <v>1269.5040000000001</v>
      </c>
      <c r="H210" s="8">
        <v>0.76</v>
      </c>
      <c r="I210" s="8">
        <v>0.87</v>
      </c>
      <c r="J210" s="5" t="str">
        <f>IF(G210&lt;720,"Potential bottleneck","OK")</f>
        <v>OK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x14ac:dyDescent="0.2">
      <c r="A211" s="5" t="s">
        <v>202</v>
      </c>
      <c r="B211" s="5" t="s">
        <v>304</v>
      </c>
      <c r="C211" s="5" t="s">
        <v>200</v>
      </c>
      <c r="D211" s="5">
        <v>8</v>
      </c>
      <c r="E211" s="5">
        <v>8</v>
      </c>
      <c r="F211" s="5">
        <v>8</v>
      </c>
      <c r="G211" s="11">
        <f>E211*8*60*H211*I211</f>
        <v>2539.0080000000003</v>
      </c>
      <c r="H211" s="8">
        <v>0.76</v>
      </c>
      <c r="I211" s="8">
        <v>0.87</v>
      </c>
      <c r="J211" s="5" t="str">
        <f>IF(G211&lt;720,"Potential bottleneck","OK")</f>
        <v>OK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x14ac:dyDescent="0.2">
      <c r="A212" s="5" t="s">
        <v>202</v>
      </c>
      <c r="B212" s="5" t="s">
        <v>303</v>
      </c>
      <c r="C212" s="5" t="s">
        <v>200</v>
      </c>
      <c r="D212" s="5">
        <v>2</v>
      </c>
      <c r="E212" s="5">
        <v>1</v>
      </c>
      <c r="F212" s="5">
        <v>1</v>
      </c>
      <c r="G212" s="11">
        <f>E212*8*60*H212*I212</f>
        <v>317.37600000000003</v>
      </c>
      <c r="H212" s="8">
        <v>0.76</v>
      </c>
      <c r="I212" s="8">
        <v>0.87</v>
      </c>
      <c r="J212" s="5" t="str">
        <f>IF(G212&lt;720,"Potential bottleneck","OK")</f>
        <v>Potential bottleneck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x14ac:dyDescent="0.2">
      <c r="A213" s="5" t="s">
        <v>202</v>
      </c>
      <c r="B213" s="5" t="s">
        <v>268</v>
      </c>
      <c r="C213" s="5" t="s">
        <v>200</v>
      </c>
      <c r="D213" s="5">
        <v>3</v>
      </c>
      <c r="E213" s="5">
        <v>3</v>
      </c>
      <c r="F213" s="5">
        <v>2</v>
      </c>
      <c r="G213" s="11">
        <f>E213*8*60*H213*I213</f>
        <v>952.12800000000004</v>
      </c>
      <c r="H213" s="8">
        <v>0.76</v>
      </c>
      <c r="I213" s="8">
        <v>0.87</v>
      </c>
      <c r="J213" s="5" t="str">
        <f>IF(G213&lt;720,"Potential bottleneck","OK")</f>
        <v>OK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x14ac:dyDescent="0.2">
      <c r="A214" s="5" t="s">
        <v>202</v>
      </c>
      <c r="B214" s="5" t="s">
        <v>291</v>
      </c>
      <c r="C214" s="5" t="s">
        <v>200</v>
      </c>
      <c r="D214" s="5">
        <v>8</v>
      </c>
      <c r="E214" s="5">
        <v>7</v>
      </c>
      <c r="F214" s="5">
        <v>6</v>
      </c>
      <c r="G214" s="11">
        <f>E214*8*60*H214*I214</f>
        <v>2221.6320000000001</v>
      </c>
      <c r="H214" s="8">
        <v>0.76</v>
      </c>
      <c r="I214" s="8">
        <v>0.87</v>
      </c>
      <c r="J214" s="5" t="str">
        <f>IF(G214&lt;720,"Potential bottleneck","OK")</f>
        <v>OK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x14ac:dyDescent="0.2">
      <c r="A215" s="5" t="s">
        <v>202</v>
      </c>
      <c r="B215" s="5" t="s">
        <v>276</v>
      </c>
      <c r="C215" s="5" t="s">
        <v>200</v>
      </c>
      <c r="D215" s="5">
        <v>8</v>
      </c>
      <c r="E215" s="5">
        <v>7</v>
      </c>
      <c r="F215" s="5">
        <v>7</v>
      </c>
      <c r="G215" s="11">
        <f>E215*8*60*H215*I215</f>
        <v>2221.6320000000001</v>
      </c>
      <c r="H215" s="8">
        <v>0.76</v>
      </c>
      <c r="I215" s="8">
        <v>0.87</v>
      </c>
      <c r="J215" s="5" t="str">
        <f>IF(G215&lt;720,"Potential bottleneck","OK")</f>
        <v>OK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x14ac:dyDescent="0.2">
      <c r="A216" s="5" t="s">
        <v>202</v>
      </c>
      <c r="B216" s="5" t="s">
        <v>305</v>
      </c>
      <c r="C216" s="5" t="s">
        <v>200</v>
      </c>
      <c r="D216" s="5">
        <v>4</v>
      </c>
      <c r="E216" s="5">
        <v>3</v>
      </c>
      <c r="F216" s="5">
        <v>2</v>
      </c>
      <c r="G216" s="11">
        <f>E216*8*60*H216*I216</f>
        <v>952.12800000000004</v>
      </c>
      <c r="H216" s="8">
        <v>0.76</v>
      </c>
      <c r="I216" s="8">
        <v>0.87</v>
      </c>
      <c r="J216" s="5" t="str">
        <f>IF(G216&lt;720,"Potential bottleneck","OK")</f>
        <v>OK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x14ac:dyDescent="0.2">
      <c r="A217" s="5" t="s">
        <v>202</v>
      </c>
      <c r="B217" s="5" t="s">
        <v>274</v>
      </c>
      <c r="C217" s="5" t="s">
        <v>238</v>
      </c>
      <c r="D217" s="5">
        <v>2</v>
      </c>
      <c r="E217" s="5">
        <v>1</v>
      </c>
      <c r="F217" s="5">
        <v>1</v>
      </c>
      <c r="G217" s="11">
        <f>E217*8*60*H217*I217</f>
        <v>317.37600000000003</v>
      </c>
      <c r="H217" s="8">
        <v>0.76</v>
      </c>
      <c r="I217" s="8">
        <v>0.87</v>
      </c>
      <c r="J217" s="5" t="str">
        <f>IF(G217&lt;720,"Potential bottleneck","OK")</f>
        <v>Potential bottleneck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x14ac:dyDescent="0.2">
      <c r="A218" s="5" t="s">
        <v>202</v>
      </c>
      <c r="B218" s="5" t="s">
        <v>294</v>
      </c>
      <c r="C218" s="5" t="s">
        <v>200</v>
      </c>
      <c r="D218" s="5">
        <v>4</v>
      </c>
      <c r="E218" s="5">
        <v>2</v>
      </c>
      <c r="F218" s="5">
        <v>2</v>
      </c>
      <c r="G218" s="11">
        <f>E218*8*60*H218*I218</f>
        <v>634.75200000000007</v>
      </c>
      <c r="H218" s="8">
        <v>0.76</v>
      </c>
      <c r="I218" s="8">
        <v>0.87</v>
      </c>
      <c r="J218" s="5" t="str">
        <f>IF(G218&lt;720,"Potential bottleneck","OK")</f>
        <v>Potential bottleneck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x14ac:dyDescent="0.2">
      <c r="A219" s="5" t="s">
        <v>202</v>
      </c>
      <c r="B219" s="5" t="s">
        <v>285</v>
      </c>
      <c r="C219" s="5" t="s">
        <v>200</v>
      </c>
      <c r="D219" s="5">
        <v>7</v>
      </c>
      <c r="E219" s="5">
        <v>5</v>
      </c>
      <c r="F219" s="5">
        <v>5</v>
      </c>
      <c r="G219" s="11">
        <f>E219*8*60*H219*I219</f>
        <v>1586.8799999999999</v>
      </c>
      <c r="H219" s="8">
        <v>0.76</v>
      </c>
      <c r="I219" s="8">
        <v>0.87</v>
      </c>
      <c r="J219" s="5" t="str">
        <f>IF(G219&lt;720,"Potential bottleneck","OK")</f>
        <v>OK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x14ac:dyDescent="0.2">
      <c r="A220" s="5" t="s">
        <v>202</v>
      </c>
      <c r="B220" s="5" t="s">
        <v>277</v>
      </c>
      <c r="C220" s="5" t="s">
        <v>238</v>
      </c>
      <c r="D220" s="5">
        <v>1</v>
      </c>
      <c r="E220" s="5">
        <v>1</v>
      </c>
      <c r="F220" s="5">
        <v>1</v>
      </c>
      <c r="G220" s="11">
        <f>E220*8*60*H220*I220</f>
        <v>317.37600000000003</v>
      </c>
      <c r="H220" s="8">
        <v>0.76</v>
      </c>
      <c r="I220" s="8">
        <v>0.87</v>
      </c>
      <c r="J220" s="5" t="str">
        <f>IF(G220&lt;720,"Potential bottleneck","OK")</f>
        <v>Potential bottleneck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x14ac:dyDescent="0.2">
      <c r="A221" s="5" t="s">
        <v>202</v>
      </c>
      <c r="B221" s="5" t="s">
        <v>271</v>
      </c>
      <c r="C221" s="5" t="s">
        <v>238</v>
      </c>
      <c r="D221" s="5">
        <v>4</v>
      </c>
      <c r="E221" s="5">
        <v>2</v>
      </c>
      <c r="F221" s="5">
        <v>1</v>
      </c>
      <c r="G221" s="11">
        <f>E221*8*60*H221*I221</f>
        <v>634.75200000000007</v>
      </c>
      <c r="H221" s="8">
        <v>0.76</v>
      </c>
      <c r="I221" s="8">
        <v>0.87</v>
      </c>
      <c r="J221" s="5" t="str">
        <f>IF(G221&lt;720,"Potential bottleneck","OK")</f>
        <v>Potential bottleneck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x14ac:dyDescent="0.2">
      <c r="A222" s="5" t="s">
        <v>202</v>
      </c>
      <c r="B222" s="5" t="s">
        <v>287</v>
      </c>
      <c r="C222" s="5" t="s">
        <v>238</v>
      </c>
      <c r="D222" s="5">
        <v>1</v>
      </c>
      <c r="E222" s="5">
        <v>1</v>
      </c>
      <c r="F222" s="5">
        <v>1</v>
      </c>
      <c r="G222" s="11">
        <f>E222*8*60*H222*I222</f>
        <v>317.37600000000003</v>
      </c>
      <c r="H222" s="8">
        <v>0.76</v>
      </c>
      <c r="I222" s="8">
        <v>0.87</v>
      </c>
      <c r="J222" s="5" t="str">
        <f>IF(G222&lt;720,"Potential bottleneck","OK")</f>
        <v>Potential bottleneck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x14ac:dyDescent="0.2">
      <c r="A223" s="5" t="s">
        <v>202</v>
      </c>
      <c r="B223" s="5" t="s">
        <v>264</v>
      </c>
      <c r="C223" s="5" t="s">
        <v>197</v>
      </c>
      <c r="D223" s="5">
        <v>2</v>
      </c>
      <c r="E223" s="5">
        <v>2</v>
      </c>
      <c r="F223" s="5">
        <v>1</v>
      </c>
      <c r="G223" s="11">
        <f>E223*8*60*H223*I223</f>
        <v>634.75200000000007</v>
      </c>
      <c r="H223" s="8">
        <v>0.76</v>
      </c>
      <c r="I223" s="8">
        <v>0.87</v>
      </c>
      <c r="J223" s="5" t="str">
        <f>IF(G223&lt;720,"Potential bottleneck","OK")</f>
        <v>Potential bottleneck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x14ac:dyDescent="0.2">
      <c r="A224" s="5" t="s">
        <v>202</v>
      </c>
      <c r="B224" s="5" t="s">
        <v>288</v>
      </c>
      <c r="C224" s="5" t="s">
        <v>200</v>
      </c>
      <c r="D224" s="5">
        <v>8</v>
      </c>
      <c r="E224" s="5">
        <v>7</v>
      </c>
      <c r="F224" s="5">
        <v>6</v>
      </c>
      <c r="G224" s="11">
        <f>E224*8*60*H224*I224</f>
        <v>2221.6320000000001</v>
      </c>
      <c r="H224" s="8">
        <v>0.76</v>
      </c>
      <c r="I224" s="8">
        <v>0.87</v>
      </c>
      <c r="J224" s="5" t="str">
        <f>IF(G224&lt;720,"Potential bottleneck","OK")</f>
        <v>OK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x14ac:dyDescent="0.2">
      <c r="A225" s="5" t="s">
        <v>186</v>
      </c>
      <c r="B225" s="5" t="s">
        <v>266</v>
      </c>
      <c r="C225" s="5" t="s">
        <v>197</v>
      </c>
      <c r="D225" s="5">
        <v>1</v>
      </c>
      <c r="E225" s="5">
        <v>1</v>
      </c>
      <c r="F225" s="5">
        <v>1</v>
      </c>
      <c r="G225" s="11">
        <f>E225*8*60*H225*I225</f>
        <v>349.44</v>
      </c>
      <c r="H225" s="8">
        <v>0.8</v>
      </c>
      <c r="I225" s="8">
        <v>0.91</v>
      </c>
      <c r="J225" s="5" t="str">
        <f>IF(G225&lt;720,"Potential bottleneck","OK")</f>
        <v>Potential bottleneck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x14ac:dyDescent="0.2">
      <c r="A226" s="5" t="s">
        <v>186</v>
      </c>
      <c r="B226" s="5" t="s">
        <v>298</v>
      </c>
      <c r="C226" s="5" t="s">
        <v>200</v>
      </c>
      <c r="D226" s="5">
        <v>3</v>
      </c>
      <c r="E226" s="5">
        <v>3</v>
      </c>
      <c r="F226" s="5">
        <v>2</v>
      </c>
      <c r="G226" s="11">
        <f>E226*8*60*H226*I226</f>
        <v>1048.32</v>
      </c>
      <c r="H226" s="8">
        <v>0.8</v>
      </c>
      <c r="I226" s="8">
        <v>0.91</v>
      </c>
      <c r="J226" s="5" t="str">
        <f>IF(G226&lt;720,"Potential bottleneck","OK")</f>
        <v>OK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x14ac:dyDescent="0.2">
      <c r="A227" s="5" t="s">
        <v>186</v>
      </c>
      <c r="B227" s="5" t="s">
        <v>270</v>
      </c>
      <c r="C227" s="5" t="s">
        <v>200</v>
      </c>
      <c r="D227" s="5">
        <v>4</v>
      </c>
      <c r="E227" s="5">
        <v>4</v>
      </c>
      <c r="F227" s="5">
        <v>4</v>
      </c>
      <c r="G227" s="11">
        <f>E227*8*60*H227*I227</f>
        <v>1397.76</v>
      </c>
      <c r="H227" s="8">
        <v>0.8</v>
      </c>
      <c r="I227" s="8">
        <v>0.91</v>
      </c>
      <c r="J227" s="5" t="str">
        <f>IF(G227&lt;720,"Potential bottleneck","OK")</f>
        <v>OK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x14ac:dyDescent="0.2">
      <c r="A228" s="5" t="s">
        <v>186</v>
      </c>
      <c r="B228" s="5" t="s">
        <v>275</v>
      </c>
      <c r="C228" s="5" t="s">
        <v>200</v>
      </c>
      <c r="D228" s="5">
        <v>7</v>
      </c>
      <c r="E228" s="5">
        <v>6</v>
      </c>
      <c r="F228" s="5">
        <v>6</v>
      </c>
      <c r="G228" s="11">
        <f>E228*8*60*H228*I228</f>
        <v>2096.64</v>
      </c>
      <c r="H228" s="8">
        <v>0.8</v>
      </c>
      <c r="I228" s="8">
        <v>0.91</v>
      </c>
      <c r="J228" s="5" t="str">
        <f>IF(G228&lt;720,"Potential bottleneck","OK")</f>
        <v>OK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x14ac:dyDescent="0.2">
      <c r="A229" s="5" t="s">
        <v>186</v>
      </c>
      <c r="B229" s="5" t="s">
        <v>279</v>
      </c>
      <c r="C229" s="5" t="s">
        <v>200</v>
      </c>
      <c r="D229" s="5">
        <v>3</v>
      </c>
      <c r="E229" s="5">
        <v>2</v>
      </c>
      <c r="F229" s="5">
        <v>2</v>
      </c>
      <c r="G229" s="11">
        <f>E229*8*60*H229*I229</f>
        <v>698.88</v>
      </c>
      <c r="H229" s="8">
        <v>0.8</v>
      </c>
      <c r="I229" s="8">
        <v>0.91</v>
      </c>
      <c r="J229" s="5" t="str">
        <f>IF(G229&lt;720,"Potential bottleneck","OK")</f>
        <v>Potential bottleneck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x14ac:dyDescent="0.2">
      <c r="A230" s="5" t="s">
        <v>186</v>
      </c>
      <c r="B230" s="5" t="s">
        <v>297</v>
      </c>
      <c r="C230" s="5" t="s">
        <v>200</v>
      </c>
      <c r="D230" s="5">
        <v>3</v>
      </c>
      <c r="E230" s="5">
        <v>1</v>
      </c>
      <c r="F230" s="5">
        <v>1</v>
      </c>
      <c r="G230" s="11">
        <f>E230*8*60*H230*I230</f>
        <v>349.44</v>
      </c>
      <c r="H230" s="8">
        <v>0.8</v>
      </c>
      <c r="I230" s="8">
        <v>0.91</v>
      </c>
      <c r="J230" s="5" t="str">
        <f>IF(G230&lt;720,"Potential bottleneck","OK")</f>
        <v>Potential bottleneck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x14ac:dyDescent="0.2">
      <c r="A231" s="5" t="s">
        <v>186</v>
      </c>
      <c r="B231" s="5" t="s">
        <v>292</v>
      </c>
      <c r="C231" s="5" t="s">
        <v>200</v>
      </c>
      <c r="D231" s="5">
        <v>8</v>
      </c>
      <c r="E231" s="5">
        <v>6</v>
      </c>
      <c r="F231" s="5">
        <v>5</v>
      </c>
      <c r="G231" s="11">
        <f>E231*8*60*H231*I231</f>
        <v>2096.64</v>
      </c>
      <c r="H231" s="8">
        <v>0.8</v>
      </c>
      <c r="I231" s="8">
        <v>0.91</v>
      </c>
      <c r="J231" s="5" t="str">
        <f>IF(G231&lt;720,"Potential bottleneck","OK")</f>
        <v>OK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x14ac:dyDescent="0.2">
      <c r="A232" s="5" t="s">
        <v>186</v>
      </c>
      <c r="B232" s="5" t="s">
        <v>299</v>
      </c>
      <c r="C232" s="5" t="s">
        <v>200</v>
      </c>
      <c r="D232" s="5">
        <v>2</v>
      </c>
      <c r="E232" s="5">
        <v>1</v>
      </c>
      <c r="F232" s="5">
        <v>1</v>
      </c>
      <c r="G232" s="11">
        <f>E232*8*60*H232*I232</f>
        <v>349.44</v>
      </c>
      <c r="H232" s="8">
        <v>0.8</v>
      </c>
      <c r="I232" s="8">
        <v>0.91</v>
      </c>
      <c r="J232" s="5" t="str">
        <f>IF(G232&lt;720,"Potential bottleneck","OK")</f>
        <v>Potential bottleneck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x14ac:dyDescent="0.2">
      <c r="A233" s="5" t="s">
        <v>186</v>
      </c>
      <c r="B233" s="5" t="s">
        <v>293</v>
      </c>
      <c r="C233" s="5" t="s">
        <v>200</v>
      </c>
      <c r="D233" s="5">
        <v>6</v>
      </c>
      <c r="E233" s="5">
        <v>6</v>
      </c>
      <c r="F233" s="5">
        <v>5</v>
      </c>
      <c r="G233" s="11">
        <f>E233*8*60*H233*I233</f>
        <v>2096.64</v>
      </c>
      <c r="H233" s="8">
        <v>0.8</v>
      </c>
      <c r="I233" s="8">
        <v>0.91</v>
      </c>
      <c r="J233" s="5" t="str">
        <f>IF(G233&lt;720,"Potential bottleneck","OK")</f>
        <v>OK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x14ac:dyDescent="0.2">
      <c r="A234" s="5" t="s">
        <v>186</v>
      </c>
      <c r="B234" s="5" t="s">
        <v>289</v>
      </c>
      <c r="C234" s="5" t="s">
        <v>200</v>
      </c>
      <c r="D234" s="5">
        <v>7</v>
      </c>
      <c r="E234" s="5">
        <v>5</v>
      </c>
      <c r="F234" s="5">
        <v>4</v>
      </c>
      <c r="G234" s="11">
        <f>E234*8*60*H234*I234</f>
        <v>1747.2</v>
      </c>
      <c r="H234" s="8">
        <v>0.8</v>
      </c>
      <c r="I234" s="8">
        <v>0.91</v>
      </c>
      <c r="J234" s="5" t="str">
        <f>IF(G234&lt;720,"Potential bottleneck","OK")</f>
        <v>OK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x14ac:dyDescent="0.2">
      <c r="A235" s="5" t="s">
        <v>186</v>
      </c>
      <c r="B235" s="5" t="s">
        <v>286</v>
      </c>
      <c r="C235" s="5" t="s">
        <v>200</v>
      </c>
      <c r="D235" s="5">
        <v>5</v>
      </c>
      <c r="E235" s="5">
        <v>3</v>
      </c>
      <c r="F235" s="5">
        <v>3</v>
      </c>
      <c r="G235" s="11">
        <f>E235*8*60*H235*I235</f>
        <v>1048.32</v>
      </c>
      <c r="H235" s="8">
        <v>0.8</v>
      </c>
      <c r="I235" s="8">
        <v>0.91</v>
      </c>
      <c r="J235" s="5" t="str">
        <f>IF(G235&lt;720,"Potential bottleneck","OK")</f>
        <v>OK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x14ac:dyDescent="0.2">
      <c r="A236" s="5" t="s">
        <v>186</v>
      </c>
      <c r="B236" s="5" t="s">
        <v>278</v>
      </c>
      <c r="C236" s="5" t="s">
        <v>200</v>
      </c>
      <c r="D236" s="5">
        <v>8</v>
      </c>
      <c r="E236" s="5">
        <v>6</v>
      </c>
      <c r="F236" s="5">
        <v>6</v>
      </c>
      <c r="G236" s="11">
        <f>E236*8*60*H236*I236</f>
        <v>2096.64</v>
      </c>
      <c r="H236" s="8">
        <v>0.8</v>
      </c>
      <c r="I236" s="8">
        <v>0.91</v>
      </c>
      <c r="J236" s="5" t="str">
        <f>IF(G236&lt;720,"Potential bottleneck","OK")</f>
        <v>OK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x14ac:dyDescent="0.2">
      <c r="A237" s="5" t="s">
        <v>186</v>
      </c>
      <c r="B237" s="5" t="s">
        <v>269</v>
      </c>
      <c r="C237" s="5" t="s">
        <v>200</v>
      </c>
      <c r="D237" s="5">
        <v>6</v>
      </c>
      <c r="E237" s="5">
        <v>4</v>
      </c>
      <c r="F237" s="5">
        <v>3</v>
      </c>
      <c r="G237" s="11">
        <f>E237*8*60*H237*I237</f>
        <v>1397.76</v>
      </c>
      <c r="H237" s="8">
        <v>0.8</v>
      </c>
      <c r="I237" s="8">
        <v>0.91</v>
      </c>
      <c r="J237" s="5" t="str">
        <f>IF(G237&lt;720,"Potential bottleneck","OK")</f>
        <v>OK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x14ac:dyDescent="0.2">
      <c r="A238" s="5" t="s">
        <v>186</v>
      </c>
      <c r="B238" s="5" t="s">
        <v>280</v>
      </c>
      <c r="C238" s="5" t="s">
        <v>200</v>
      </c>
      <c r="D238" s="5">
        <v>2</v>
      </c>
      <c r="E238" s="5">
        <v>2</v>
      </c>
      <c r="F238" s="5">
        <v>1</v>
      </c>
      <c r="G238" s="11">
        <f>E238*8*60*H238*I238</f>
        <v>698.88</v>
      </c>
      <c r="H238" s="8">
        <v>0.8</v>
      </c>
      <c r="I238" s="8">
        <v>0.91</v>
      </c>
      <c r="J238" s="5" t="str">
        <f>IF(G238&lt;720,"Potential bottleneck","OK")</f>
        <v>Potential bottleneck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x14ac:dyDescent="0.2">
      <c r="A239" s="5" t="s">
        <v>186</v>
      </c>
      <c r="B239" s="5" t="s">
        <v>281</v>
      </c>
      <c r="C239" s="5" t="s">
        <v>200</v>
      </c>
      <c r="D239" s="5">
        <v>3</v>
      </c>
      <c r="E239" s="5">
        <v>3</v>
      </c>
      <c r="F239" s="5">
        <v>2</v>
      </c>
      <c r="G239" s="11">
        <f>E239*8*60*H239*I239</f>
        <v>1048.32</v>
      </c>
      <c r="H239" s="8">
        <v>0.8</v>
      </c>
      <c r="I239" s="8">
        <v>0.91</v>
      </c>
      <c r="J239" s="5" t="str">
        <f>IF(G239&lt;720,"Potential bottleneck","OK")</f>
        <v>OK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x14ac:dyDescent="0.2">
      <c r="A240" s="5" t="s">
        <v>186</v>
      </c>
      <c r="B240" s="5" t="s">
        <v>272</v>
      </c>
      <c r="C240" s="5" t="s">
        <v>273</v>
      </c>
      <c r="D240" s="5">
        <v>4</v>
      </c>
      <c r="E240" s="5">
        <v>3</v>
      </c>
      <c r="F240" s="5">
        <v>0</v>
      </c>
      <c r="G240" s="11">
        <f>E240*8*60*H240*I240</f>
        <v>1048.32</v>
      </c>
      <c r="H240" s="8">
        <v>0.8</v>
      </c>
      <c r="I240" s="8">
        <v>0.91</v>
      </c>
      <c r="J240" s="5" t="str">
        <f>IF(G240&lt;720,"Potential bottleneck","OK")</f>
        <v>OK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x14ac:dyDescent="0.2">
      <c r="A241" s="5" t="s">
        <v>186</v>
      </c>
      <c r="B241" s="5" t="s">
        <v>301</v>
      </c>
      <c r="C241" s="5" t="s">
        <v>200</v>
      </c>
      <c r="D241" s="5">
        <v>2</v>
      </c>
      <c r="E241" s="5">
        <v>1</v>
      </c>
      <c r="F241" s="5">
        <v>1</v>
      </c>
      <c r="G241" s="11">
        <f>E241*8*60*H241*I241</f>
        <v>349.44</v>
      </c>
      <c r="H241" s="8">
        <v>0.8</v>
      </c>
      <c r="I241" s="8">
        <v>0.91</v>
      </c>
      <c r="J241" s="5" t="str">
        <f>IF(G241&lt;720,"Potential bottleneck","OK")</f>
        <v>Potential bottleneck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x14ac:dyDescent="0.2">
      <c r="A242" s="5" t="s">
        <v>186</v>
      </c>
      <c r="B242" s="5" t="s">
        <v>290</v>
      </c>
      <c r="C242" s="5" t="s">
        <v>200</v>
      </c>
      <c r="D242" s="5">
        <v>8</v>
      </c>
      <c r="E242" s="5">
        <v>7</v>
      </c>
      <c r="F242" s="5">
        <v>6</v>
      </c>
      <c r="G242" s="11">
        <f>E242*8*60*H242*I242</f>
        <v>2446.08</v>
      </c>
      <c r="H242" s="8">
        <v>0.8</v>
      </c>
      <c r="I242" s="8">
        <v>0.91</v>
      </c>
      <c r="J242" s="5" t="str">
        <f>IF(G242&lt;720,"Potential bottleneck","OK")</f>
        <v>OK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x14ac:dyDescent="0.2">
      <c r="A243" s="5" t="s">
        <v>186</v>
      </c>
      <c r="B243" s="5" t="s">
        <v>296</v>
      </c>
      <c r="C243" s="5" t="s">
        <v>200</v>
      </c>
      <c r="D243" s="5">
        <v>3</v>
      </c>
      <c r="E243" s="5">
        <v>2</v>
      </c>
      <c r="F243" s="5">
        <v>1</v>
      </c>
      <c r="G243" s="11">
        <f>E243*8*60*H243*I243</f>
        <v>698.88</v>
      </c>
      <c r="H243" s="8">
        <v>0.8</v>
      </c>
      <c r="I243" s="8">
        <v>0.91</v>
      </c>
      <c r="J243" s="5" t="str">
        <f>IF(G243&lt;720,"Potential bottleneck","OK")</f>
        <v>Potential bottleneck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x14ac:dyDescent="0.2">
      <c r="A244" s="5" t="s">
        <v>186</v>
      </c>
      <c r="B244" s="5" t="s">
        <v>282</v>
      </c>
      <c r="C244" s="5" t="s">
        <v>200</v>
      </c>
      <c r="D244" s="5">
        <v>5</v>
      </c>
      <c r="E244" s="5">
        <v>5</v>
      </c>
      <c r="F244" s="5">
        <v>4</v>
      </c>
      <c r="G244" s="11">
        <f>E244*8*60*H244*I244</f>
        <v>1747.2</v>
      </c>
      <c r="H244" s="8">
        <v>0.8</v>
      </c>
      <c r="I244" s="8">
        <v>0.91</v>
      </c>
      <c r="J244" s="5" t="str">
        <f>IF(G244&lt;720,"Potential bottleneck","OK")</f>
        <v>OK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x14ac:dyDescent="0.2">
      <c r="A245" s="5" t="s">
        <v>186</v>
      </c>
      <c r="B245" s="5" t="s">
        <v>300</v>
      </c>
      <c r="C245" s="5" t="s">
        <v>200</v>
      </c>
      <c r="D245" s="5">
        <v>2</v>
      </c>
      <c r="E245" s="5">
        <v>1</v>
      </c>
      <c r="F245" s="5">
        <v>1</v>
      </c>
      <c r="G245" s="11">
        <f>E245*8*60*H245*I245</f>
        <v>349.44</v>
      </c>
      <c r="H245" s="8">
        <v>0.8</v>
      </c>
      <c r="I245" s="8">
        <v>0.91</v>
      </c>
      <c r="J245" s="5" t="str">
        <f>IF(G245&lt;720,"Potential bottleneck","OK")</f>
        <v>Potential bottleneck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x14ac:dyDescent="0.2">
      <c r="A246" s="5" t="s">
        <v>186</v>
      </c>
      <c r="B246" s="5" t="s">
        <v>302</v>
      </c>
      <c r="C246" s="5" t="s">
        <v>200</v>
      </c>
      <c r="D246" s="5">
        <v>8</v>
      </c>
      <c r="E246" s="5">
        <v>8</v>
      </c>
      <c r="F246" s="5">
        <v>8</v>
      </c>
      <c r="G246" s="11">
        <f>E246*8*60*H246*I246</f>
        <v>2795.52</v>
      </c>
      <c r="H246" s="8">
        <v>0.8</v>
      </c>
      <c r="I246" s="8">
        <v>0.91</v>
      </c>
      <c r="J246" s="5" t="str">
        <f>IF(G246&lt;720,"Potential bottleneck","OK")</f>
        <v>OK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x14ac:dyDescent="0.2">
      <c r="A247" s="5" t="s">
        <v>186</v>
      </c>
      <c r="B247" s="5" t="s">
        <v>295</v>
      </c>
      <c r="C247" s="5" t="s">
        <v>200</v>
      </c>
      <c r="D247" s="5">
        <v>2</v>
      </c>
      <c r="E247" s="5">
        <v>1</v>
      </c>
      <c r="F247" s="5">
        <v>1</v>
      </c>
      <c r="G247" s="11">
        <f>E247*8*60*H247*I247</f>
        <v>349.44</v>
      </c>
      <c r="H247" s="8">
        <v>0.8</v>
      </c>
      <c r="I247" s="8">
        <v>0.91</v>
      </c>
      <c r="J247" s="5" t="str">
        <f>IF(G247&lt;720,"Potential bottleneck","OK")</f>
        <v>Potential bottleneck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x14ac:dyDescent="0.2">
      <c r="A248" s="5" t="s">
        <v>186</v>
      </c>
      <c r="B248" s="5" t="s">
        <v>304</v>
      </c>
      <c r="C248" s="5" t="s">
        <v>200</v>
      </c>
      <c r="D248" s="5">
        <v>5</v>
      </c>
      <c r="E248" s="5">
        <v>3</v>
      </c>
      <c r="F248" s="5">
        <v>3</v>
      </c>
      <c r="G248" s="11">
        <f>E248*8*60*H248*I248</f>
        <v>1048.32</v>
      </c>
      <c r="H248" s="8">
        <v>0.8</v>
      </c>
      <c r="I248" s="8">
        <v>0.91</v>
      </c>
      <c r="J248" s="5" t="str">
        <f>IF(G248&lt;720,"Potential bottleneck","OK")</f>
        <v>OK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x14ac:dyDescent="0.2">
      <c r="A249" s="5" t="s">
        <v>186</v>
      </c>
      <c r="B249" s="5" t="s">
        <v>303</v>
      </c>
      <c r="C249" s="5" t="s">
        <v>200</v>
      </c>
      <c r="D249" s="5">
        <v>7</v>
      </c>
      <c r="E249" s="5">
        <v>6</v>
      </c>
      <c r="F249" s="5">
        <v>5</v>
      </c>
      <c r="G249" s="11">
        <f>E249*8*60*H249*I249</f>
        <v>2096.64</v>
      </c>
      <c r="H249" s="8">
        <v>0.8</v>
      </c>
      <c r="I249" s="8">
        <v>0.91</v>
      </c>
      <c r="J249" s="5" t="str">
        <f>IF(G249&lt;720,"Potential bottleneck","OK")</f>
        <v>OK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x14ac:dyDescent="0.2">
      <c r="A250" s="5" t="s">
        <v>186</v>
      </c>
      <c r="B250" s="5" t="s">
        <v>268</v>
      </c>
      <c r="C250" s="5" t="s">
        <v>200</v>
      </c>
      <c r="D250" s="5">
        <v>4</v>
      </c>
      <c r="E250" s="5">
        <v>4</v>
      </c>
      <c r="F250" s="5">
        <v>4</v>
      </c>
      <c r="G250" s="11">
        <f>E250*8*60*H250*I250</f>
        <v>1397.76</v>
      </c>
      <c r="H250" s="8">
        <v>0.8</v>
      </c>
      <c r="I250" s="8">
        <v>0.91</v>
      </c>
      <c r="J250" s="5" t="str">
        <f>IF(G250&lt;720,"Potential bottleneck","OK")</f>
        <v>OK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x14ac:dyDescent="0.2">
      <c r="A251" s="5" t="s">
        <v>186</v>
      </c>
      <c r="B251" s="5" t="s">
        <v>283</v>
      </c>
      <c r="C251" s="5" t="s">
        <v>284</v>
      </c>
      <c r="D251" s="5">
        <v>1</v>
      </c>
      <c r="E251" s="5">
        <v>1</v>
      </c>
      <c r="F251" s="5">
        <v>1</v>
      </c>
      <c r="G251" s="11">
        <f>E251*8*60*H251*I251</f>
        <v>349.44</v>
      </c>
      <c r="H251" s="8">
        <v>0.8</v>
      </c>
      <c r="I251" s="8">
        <v>0.91</v>
      </c>
      <c r="J251" s="5" t="str">
        <f>IF(G251&lt;720,"Potential bottleneck","OK")</f>
        <v>Potential bottleneck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x14ac:dyDescent="0.2">
      <c r="A252" s="5" t="s">
        <v>186</v>
      </c>
      <c r="B252" s="5" t="s">
        <v>291</v>
      </c>
      <c r="C252" s="5" t="s">
        <v>200</v>
      </c>
      <c r="D252" s="5">
        <v>4</v>
      </c>
      <c r="E252" s="5">
        <v>3</v>
      </c>
      <c r="F252" s="5">
        <v>3</v>
      </c>
      <c r="G252" s="11">
        <f>E252*8*60*H252*I252</f>
        <v>1048.32</v>
      </c>
      <c r="H252" s="8">
        <v>0.8</v>
      </c>
      <c r="I252" s="8">
        <v>0.91</v>
      </c>
      <c r="J252" s="5" t="str">
        <f>IF(G252&lt;720,"Potential bottleneck","OK")</f>
        <v>OK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x14ac:dyDescent="0.2">
      <c r="A253" s="5" t="s">
        <v>186</v>
      </c>
      <c r="B253" s="5" t="s">
        <v>276</v>
      </c>
      <c r="C253" s="5" t="s">
        <v>200</v>
      </c>
      <c r="D253" s="5">
        <v>3</v>
      </c>
      <c r="E253" s="5">
        <v>3</v>
      </c>
      <c r="F253" s="5">
        <v>3</v>
      </c>
      <c r="G253" s="11">
        <f>E253*8*60*H253*I253</f>
        <v>1048.32</v>
      </c>
      <c r="H253" s="8">
        <v>0.8</v>
      </c>
      <c r="I253" s="8">
        <v>0.91</v>
      </c>
      <c r="J253" s="5" t="str">
        <f>IF(G253&lt;720,"Potential bottleneck","OK")</f>
        <v>OK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x14ac:dyDescent="0.2">
      <c r="A254" s="5" t="s">
        <v>186</v>
      </c>
      <c r="B254" s="5" t="s">
        <v>305</v>
      </c>
      <c r="C254" s="5" t="s">
        <v>200</v>
      </c>
      <c r="D254" s="5">
        <v>5</v>
      </c>
      <c r="E254" s="5">
        <v>4</v>
      </c>
      <c r="F254" s="5">
        <v>3</v>
      </c>
      <c r="G254" s="11">
        <f>E254*8*60*H254*I254</f>
        <v>1397.76</v>
      </c>
      <c r="H254" s="8">
        <v>0.8</v>
      </c>
      <c r="I254" s="8">
        <v>0.91</v>
      </c>
      <c r="J254" s="5" t="str">
        <f>IF(G254&lt;720,"Potential bottleneck","OK")</f>
        <v>OK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x14ac:dyDescent="0.2">
      <c r="A255" s="5" t="s">
        <v>186</v>
      </c>
      <c r="B255" s="5" t="s">
        <v>274</v>
      </c>
      <c r="C255" s="5" t="s">
        <v>238</v>
      </c>
      <c r="D255" s="5">
        <v>1</v>
      </c>
      <c r="E255" s="5">
        <v>1</v>
      </c>
      <c r="F255" s="5">
        <v>1</v>
      </c>
      <c r="G255" s="11">
        <f>E255*8*60*H255*I255</f>
        <v>349.44</v>
      </c>
      <c r="H255" s="8">
        <v>0.8</v>
      </c>
      <c r="I255" s="8">
        <v>0.91</v>
      </c>
      <c r="J255" s="5" t="str">
        <f>IF(G255&lt;720,"Potential bottleneck","OK")</f>
        <v>Potential bottleneck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x14ac:dyDescent="0.2">
      <c r="A256" s="5" t="s">
        <v>186</v>
      </c>
      <c r="B256" s="5" t="s">
        <v>294</v>
      </c>
      <c r="C256" s="5" t="s">
        <v>200</v>
      </c>
      <c r="D256" s="5">
        <v>4</v>
      </c>
      <c r="E256" s="5">
        <v>2</v>
      </c>
      <c r="F256" s="5">
        <v>2</v>
      </c>
      <c r="G256" s="11">
        <f>E256*8*60*H256*I256</f>
        <v>698.88</v>
      </c>
      <c r="H256" s="8">
        <v>0.8</v>
      </c>
      <c r="I256" s="8">
        <v>0.91</v>
      </c>
      <c r="J256" s="5" t="str">
        <f>IF(G256&lt;720,"Potential bottleneck","OK")</f>
        <v>Potential bottleneck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x14ac:dyDescent="0.2">
      <c r="A257" s="5" t="s">
        <v>186</v>
      </c>
      <c r="B257" s="5" t="s">
        <v>285</v>
      </c>
      <c r="C257" s="5" t="s">
        <v>200</v>
      </c>
      <c r="D257" s="5">
        <v>6</v>
      </c>
      <c r="E257" s="5">
        <v>4</v>
      </c>
      <c r="F257" s="5">
        <v>3</v>
      </c>
      <c r="G257" s="11">
        <f>E257*8*60*H257*I257</f>
        <v>1397.76</v>
      </c>
      <c r="H257" s="8">
        <v>0.8</v>
      </c>
      <c r="I257" s="8">
        <v>0.91</v>
      </c>
      <c r="J257" s="5" t="str">
        <f>IF(G257&lt;720,"Potential bottleneck","OK")</f>
        <v>OK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x14ac:dyDescent="0.2">
      <c r="A258" s="5" t="s">
        <v>186</v>
      </c>
      <c r="B258" s="5" t="s">
        <v>277</v>
      </c>
      <c r="C258" s="5" t="s">
        <v>238</v>
      </c>
      <c r="D258" s="5">
        <v>4</v>
      </c>
      <c r="E258" s="5">
        <v>4</v>
      </c>
      <c r="F258" s="5">
        <v>3</v>
      </c>
      <c r="G258" s="11">
        <f>E258*8*60*H258*I258</f>
        <v>1397.76</v>
      </c>
      <c r="H258" s="8">
        <v>0.8</v>
      </c>
      <c r="I258" s="8">
        <v>0.91</v>
      </c>
      <c r="J258" s="5" t="str">
        <f>IF(G258&lt;720,"Potential bottleneck","OK")</f>
        <v>OK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x14ac:dyDescent="0.2">
      <c r="A259" s="5" t="s">
        <v>186</v>
      </c>
      <c r="B259" s="5" t="s">
        <v>271</v>
      </c>
      <c r="C259" s="5" t="s">
        <v>238</v>
      </c>
      <c r="D259" s="5">
        <v>4</v>
      </c>
      <c r="E259" s="5">
        <v>3</v>
      </c>
      <c r="F259" s="5">
        <v>3</v>
      </c>
      <c r="G259" s="11">
        <f>E259*8*60*H259*I259</f>
        <v>1048.32</v>
      </c>
      <c r="H259" s="8">
        <v>0.8</v>
      </c>
      <c r="I259" s="8">
        <v>0.91</v>
      </c>
      <c r="J259" s="5" t="str">
        <f>IF(G259&lt;720,"Potential bottleneck","OK")</f>
        <v>OK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x14ac:dyDescent="0.2">
      <c r="A260" s="5" t="s">
        <v>186</v>
      </c>
      <c r="B260" s="5" t="s">
        <v>287</v>
      </c>
      <c r="C260" s="5" t="s">
        <v>238</v>
      </c>
      <c r="D260" s="5">
        <v>2</v>
      </c>
      <c r="E260" s="5">
        <v>1</v>
      </c>
      <c r="F260" s="5">
        <v>1</v>
      </c>
      <c r="G260" s="11">
        <f>E260*8*60*H260*I260</f>
        <v>349.44</v>
      </c>
      <c r="H260" s="8">
        <v>0.8</v>
      </c>
      <c r="I260" s="8">
        <v>0.91</v>
      </c>
      <c r="J260" s="5" t="str">
        <f>IF(G260&lt;720,"Potential bottleneck","OK")</f>
        <v>Potential bottleneck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x14ac:dyDescent="0.2">
      <c r="A261" s="5" t="s">
        <v>186</v>
      </c>
      <c r="B261" s="5" t="s">
        <v>264</v>
      </c>
      <c r="C261" s="5" t="s">
        <v>197</v>
      </c>
      <c r="D261" s="5">
        <v>4</v>
      </c>
      <c r="E261" s="5">
        <v>4</v>
      </c>
      <c r="F261" s="5">
        <v>4</v>
      </c>
      <c r="G261" s="11">
        <f>E261*8*60*H261*I261</f>
        <v>1397.76</v>
      </c>
      <c r="H261" s="8">
        <v>0.8</v>
      </c>
      <c r="I261" s="8">
        <v>0.91</v>
      </c>
      <c r="J261" s="5" t="str">
        <f>IF(G261&lt;720,"Potential bottleneck","OK")</f>
        <v>OK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x14ac:dyDescent="0.2">
      <c r="A262" s="5" t="s">
        <v>186</v>
      </c>
      <c r="B262" s="5" t="s">
        <v>288</v>
      </c>
      <c r="C262" s="5" t="s">
        <v>200</v>
      </c>
      <c r="D262" s="5">
        <v>4</v>
      </c>
      <c r="E262" s="5">
        <v>3</v>
      </c>
      <c r="F262" s="5">
        <v>2</v>
      </c>
      <c r="G262" s="11">
        <f>E262*8*60*H262*I262</f>
        <v>1048.32</v>
      </c>
      <c r="H262" s="8">
        <v>0.8</v>
      </c>
      <c r="I262" s="8">
        <v>0.91</v>
      </c>
      <c r="J262" s="5" t="str">
        <f>IF(G262&lt;720,"Potential bottleneck","OK")</f>
        <v>OK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x14ac:dyDescent="0.2">
      <c r="A263" s="5" t="s">
        <v>175</v>
      </c>
      <c r="B263" s="5" t="s">
        <v>266</v>
      </c>
      <c r="C263" s="5" t="s">
        <v>197</v>
      </c>
      <c r="D263" s="5">
        <v>4</v>
      </c>
      <c r="E263" s="5">
        <v>4</v>
      </c>
      <c r="F263" s="5">
        <v>4</v>
      </c>
      <c r="G263" s="11">
        <f>E263*8*60*H263*I263</f>
        <v>1300.9920000000002</v>
      </c>
      <c r="H263" s="8">
        <v>0.77</v>
      </c>
      <c r="I263" s="8">
        <v>0.88</v>
      </c>
      <c r="J263" s="5" t="str">
        <f>IF(G263&lt;720,"Potential bottleneck","OK")</f>
        <v>OK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x14ac:dyDescent="0.2">
      <c r="A264" s="5" t="s">
        <v>175</v>
      </c>
      <c r="B264" s="5" t="s">
        <v>298</v>
      </c>
      <c r="C264" s="5" t="s">
        <v>200</v>
      </c>
      <c r="D264" s="5">
        <v>3</v>
      </c>
      <c r="E264" s="5">
        <v>2</v>
      </c>
      <c r="F264" s="5">
        <v>1</v>
      </c>
      <c r="G264" s="11">
        <f>E264*8*60*H264*I264</f>
        <v>650.49600000000009</v>
      </c>
      <c r="H264" s="8">
        <v>0.77</v>
      </c>
      <c r="I264" s="8">
        <v>0.88</v>
      </c>
      <c r="J264" s="5" t="str">
        <f>IF(G264&lt;720,"Potential bottleneck","OK")</f>
        <v>Potential bottleneck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x14ac:dyDescent="0.2">
      <c r="A265" s="5" t="s">
        <v>175</v>
      </c>
      <c r="B265" s="5" t="s">
        <v>270</v>
      </c>
      <c r="C265" s="5" t="s">
        <v>200</v>
      </c>
      <c r="D265" s="5">
        <v>5</v>
      </c>
      <c r="E265" s="5">
        <v>4</v>
      </c>
      <c r="F265" s="5">
        <v>3</v>
      </c>
      <c r="G265" s="11">
        <f>E265*8*60*H265*I265</f>
        <v>1300.9920000000002</v>
      </c>
      <c r="H265" s="8">
        <v>0.77</v>
      </c>
      <c r="I265" s="8">
        <v>0.88</v>
      </c>
      <c r="J265" s="5" t="str">
        <f>IF(G265&lt;720,"Potential bottleneck","OK")</f>
        <v>OK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x14ac:dyDescent="0.2">
      <c r="A266" s="5" t="s">
        <v>175</v>
      </c>
      <c r="B266" s="5" t="s">
        <v>275</v>
      </c>
      <c r="C266" s="5" t="s">
        <v>200</v>
      </c>
      <c r="D266" s="5">
        <v>8</v>
      </c>
      <c r="E266" s="5">
        <v>8</v>
      </c>
      <c r="F266" s="5">
        <v>7</v>
      </c>
      <c r="G266" s="11">
        <f>E266*8*60*H266*I266</f>
        <v>2601.9840000000004</v>
      </c>
      <c r="H266" s="8">
        <v>0.77</v>
      </c>
      <c r="I266" s="8">
        <v>0.88</v>
      </c>
      <c r="J266" s="5" t="str">
        <f>IF(G266&lt;720,"Potential bottleneck","OK")</f>
        <v>OK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x14ac:dyDescent="0.2">
      <c r="A267" s="5" t="s">
        <v>175</v>
      </c>
      <c r="B267" s="5" t="s">
        <v>279</v>
      </c>
      <c r="C267" s="5" t="s">
        <v>200</v>
      </c>
      <c r="D267" s="5">
        <v>4</v>
      </c>
      <c r="E267" s="5">
        <v>4</v>
      </c>
      <c r="F267" s="5">
        <v>3</v>
      </c>
      <c r="G267" s="11">
        <f>E267*8*60*H267*I267</f>
        <v>1300.9920000000002</v>
      </c>
      <c r="H267" s="8">
        <v>0.77</v>
      </c>
      <c r="I267" s="8">
        <v>0.88</v>
      </c>
      <c r="J267" s="5" t="str">
        <f>IF(G267&lt;720,"Potential bottleneck","OK")</f>
        <v>OK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x14ac:dyDescent="0.2">
      <c r="A268" s="5" t="s">
        <v>175</v>
      </c>
      <c r="B268" s="5" t="s">
        <v>297</v>
      </c>
      <c r="C268" s="5" t="s">
        <v>200</v>
      </c>
      <c r="D268" s="5">
        <v>6</v>
      </c>
      <c r="E268" s="5">
        <v>4</v>
      </c>
      <c r="F268" s="5">
        <v>4</v>
      </c>
      <c r="G268" s="11">
        <f>E268*8*60*H268*I268</f>
        <v>1300.9920000000002</v>
      </c>
      <c r="H268" s="8">
        <v>0.77</v>
      </c>
      <c r="I268" s="8">
        <v>0.88</v>
      </c>
      <c r="J268" s="5" t="str">
        <f>IF(G268&lt;720,"Potential bottleneck","OK")</f>
        <v>OK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x14ac:dyDescent="0.2">
      <c r="A269" s="5" t="s">
        <v>175</v>
      </c>
      <c r="B269" s="5" t="s">
        <v>292</v>
      </c>
      <c r="C269" s="5" t="s">
        <v>200</v>
      </c>
      <c r="D269" s="5">
        <v>5</v>
      </c>
      <c r="E269" s="5">
        <v>5</v>
      </c>
      <c r="F269" s="5">
        <v>5</v>
      </c>
      <c r="G269" s="11">
        <f>E269*8*60*H269*I269</f>
        <v>1626.24</v>
      </c>
      <c r="H269" s="8">
        <v>0.77</v>
      </c>
      <c r="I269" s="8">
        <v>0.88</v>
      </c>
      <c r="J269" s="5" t="str">
        <f>IF(G269&lt;720,"Potential bottleneck","OK")</f>
        <v>OK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x14ac:dyDescent="0.2">
      <c r="A270" s="5" t="s">
        <v>175</v>
      </c>
      <c r="B270" s="5" t="s">
        <v>299</v>
      </c>
      <c r="C270" s="5" t="s">
        <v>200</v>
      </c>
      <c r="D270" s="5">
        <v>4</v>
      </c>
      <c r="E270" s="5">
        <v>4</v>
      </c>
      <c r="F270" s="5">
        <v>3</v>
      </c>
      <c r="G270" s="11">
        <f>E270*8*60*H270*I270</f>
        <v>1300.9920000000002</v>
      </c>
      <c r="H270" s="8">
        <v>0.77</v>
      </c>
      <c r="I270" s="8">
        <v>0.88</v>
      </c>
      <c r="J270" s="5" t="str">
        <f>IF(G270&lt;720,"Potential bottleneck","OK")</f>
        <v>OK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x14ac:dyDescent="0.2">
      <c r="A271" s="5" t="s">
        <v>175</v>
      </c>
      <c r="B271" s="5" t="s">
        <v>293</v>
      </c>
      <c r="C271" s="5" t="s">
        <v>200</v>
      </c>
      <c r="D271" s="5">
        <v>4</v>
      </c>
      <c r="E271" s="5">
        <v>2</v>
      </c>
      <c r="F271" s="5">
        <v>1</v>
      </c>
      <c r="G271" s="11">
        <f>E271*8*60*H271*I271</f>
        <v>650.49600000000009</v>
      </c>
      <c r="H271" s="8">
        <v>0.77</v>
      </c>
      <c r="I271" s="8">
        <v>0.88</v>
      </c>
      <c r="J271" s="5" t="str">
        <f>IF(G271&lt;720,"Potential bottleneck","OK")</f>
        <v>Potential bottleneck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x14ac:dyDescent="0.2">
      <c r="A272" s="5" t="s">
        <v>175</v>
      </c>
      <c r="B272" s="5" t="s">
        <v>289</v>
      </c>
      <c r="C272" s="5" t="s">
        <v>200</v>
      </c>
      <c r="D272" s="5">
        <v>8</v>
      </c>
      <c r="E272" s="5">
        <v>7</v>
      </c>
      <c r="F272" s="5">
        <v>6</v>
      </c>
      <c r="G272" s="11">
        <f>E272*8*60*H272*I272</f>
        <v>2276.7360000000003</v>
      </c>
      <c r="H272" s="8">
        <v>0.77</v>
      </c>
      <c r="I272" s="8">
        <v>0.88</v>
      </c>
      <c r="J272" s="5" t="str">
        <f>IF(G272&lt;720,"Potential bottleneck","OK")</f>
        <v>OK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x14ac:dyDescent="0.2">
      <c r="A273" s="5" t="s">
        <v>175</v>
      </c>
      <c r="B273" s="5" t="s">
        <v>286</v>
      </c>
      <c r="C273" s="5" t="s">
        <v>200</v>
      </c>
      <c r="D273" s="5">
        <v>4</v>
      </c>
      <c r="E273" s="5">
        <v>3</v>
      </c>
      <c r="F273" s="5">
        <v>3</v>
      </c>
      <c r="G273" s="11">
        <f>E273*8*60*H273*I273</f>
        <v>975.74399999999991</v>
      </c>
      <c r="H273" s="8">
        <v>0.77</v>
      </c>
      <c r="I273" s="8">
        <v>0.88</v>
      </c>
      <c r="J273" s="5" t="str">
        <f>IF(G273&lt;720,"Potential bottleneck","OK")</f>
        <v>OK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x14ac:dyDescent="0.2">
      <c r="A274" s="5" t="s">
        <v>175</v>
      </c>
      <c r="B274" s="5" t="s">
        <v>278</v>
      </c>
      <c r="C274" s="5" t="s">
        <v>200</v>
      </c>
      <c r="D274" s="5">
        <v>4</v>
      </c>
      <c r="E274" s="5">
        <v>3</v>
      </c>
      <c r="F274" s="5">
        <v>3</v>
      </c>
      <c r="G274" s="11">
        <f>E274*8*60*H274*I274</f>
        <v>975.74399999999991</v>
      </c>
      <c r="H274" s="8">
        <v>0.77</v>
      </c>
      <c r="I274" s="8">
        <v>0.88</v>
      </c>
      <c r="J274" s="5" t="str">
        <f>IF(G274&lt;720,"Potential bottleneck","OK")</f>
        <v>OK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x14ac:dyDescent="0.2">
      <c r="A275" s="5" t="s">
        <v>175</v>
      </c>
      <c r="B275" s="5" t="s">
        <v>269</v>
      </c>
      <c r="C275" s="5" t="s">
        <v>200</v>
      </c>
      <c r="D275" s="5">
        <v>5</v>
      </c>
      <c r="E275" s="5">
        <v>4</v>
      </c>
      <c r="F275" s="5">
        <v>4</v>
      </c>
      <c r="G275" s="11">
        <f>E275*8*60*H275*I275</f>
        <v>1300.9920000000002</v>
      </c>
      <c r="H275" s="8">
        <v>0.77</v>
      </c>
      <c r="I275" s="8">
        <v>0.88</v>
      </c>
      <c r="J275" s="5" t="str">
        <f>IF(G275&lt;720,"Potential bottleneck","OK")</f>
        <v>OK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x14ac:dyDescent="0.2">
      <c r="A276" s="5" t="s">
        <v>175</v>
      </c>
      <c r="B276" s="5" t="s">
        <v>280</v>
      </c>
      <c r="C276" s="5" t="s">
        <v>200</v>
      </c>
      <c r="D276" s="5">
        <v>5</v>
      </c>
      <c r="E276" s="5">
        <v>4</v>
      </c>
      <c r="F276" s="5">
        <v>3</v>
      </c>
      <c r="G276" s="11">
        <f>E276*8*60*H276*I276</f>
        <v>1300.9920000000002</v>
      </c>
      <c r="H276" s="8">
        <v>0.77</v>
      </c>
      <c r="I276" s="8">
        <v>0.88</v>
      </c>
      <c r="J276" s="5" t="str">
        <f>IF(G276&lt;720,"Potential bottleneck","OK")</f>
        <v>OK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x14ac:dyDescent="0.2">
      <c r="A277" s="5" t="s">
        <v>175</v>
      </c>
      <c r="B277" s="5" t="s">
        <v>281</v>
      </c>
      <c r="C277" s="5" t="s">
        <v>200</v>
      </c>
      <c r="D277" s="5">
        <v>7</v>
      </c>
      <c r="E277" s="5">
        <v>5</v>
      </c>
      <c r="F277" s="5">
        <v>4</v>
      </c>
      <c r="G277" s="11">
        <f>E277*8*60*H277*I277</f>
        <v>1626.24</v>
      </c>
      <c r="H277" s="8">
        <v>0.77</v>
      </c>
      <c r="I277" s="8">
        <v>0.88</v>
      </c>
      <c r="J277" s="5" t="str">
        <f>IF(G277&lt;720,"Potential bottleneck","OK")</f>
        <v>OK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x14ac:dyDescent="0.2">
      <c r="A278" s="5" t="s">
        <v>175</v>
      </c>
      <c r="B278" s="5" t="s">
        <v>272</v>
      </c>
      <c r="C278" s="5" t="s">
        <v>273</v>
      </c>
      <c r="D278" s="5">
        <v>2</v>
      </c>
      <c r="E278" s="5">
        <v>1</v>
      </c>
      <c r="F278" s="5">
        <v>0</v>
      </c>
      <c r="G278" s="11">
        <f>E278*8*60*H278*I278</f>
        <v>325.24800000000005</v>
      </c>
      <c r="H278" s="8">
        <v>0.77</v>
      </c>
      <c r="I278" s="8">
        <v>0.88</v>
      </c>
      <c r="J278" s="5" t="str">
        <f>IF(G278&lt;720,"Potential bottleneck","OK")</f>
        <v>Potential bottleneck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x14ac:dyDescent="0.2">
      <c r="A279" s="5" t="s">
        <v>175</v>
      </c>
      <c r="B279" s="5" t="s">
        <v>301</v>
      </c>
      <c r="C279" s="5" t="s">
        <v>200</v>
      </c>
      <c r="D279" s="5">
        <v>5</v>
      </c>
      <c r="E279" s="5">
        <v>4</v>
      </c>
      <c r="F279" s="5">
        <v>3</v>
      </c>
      <c r="G279" s="11">
        <f>E279*8*60*H279*I279</f>
        <v>1300.9920000000002</v>
      </c>
      <c r="H279" s="8">
        <v>0.77</v>
      </c>
      <c r="I279" s="8">
        <v>0.88</v>
      </c>
      <c r="J279" s="5" t="str">
        <f>IF(G279&lt;720,"Potential bottleneck","OK")</f>
        <v>OK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x14ac:dyDescent="0.2">
      <c r="A280" s="5" t="s">
        <v>175</v>
      </c>
      <c r="B280" s="5" t="s">
        <v>290</v>
      </c>
      <c r="C280" s="5" t="s">
        <v>200</v>
      </c>
      <c r="D280" s="5">
        <v>4</v>
      </c>
      <c r="E280" s="5">
        <v>4</v>
      </c>
      <c r="F280" s="5">
        <v>4</v>
      </c>
      <c r="G280" s="11">
        <f>E280*8*60*H280*I280</f>
        <v>1300.9920000000002</v>
      </c>
      <c r="H280" s="8">
        <v>0.77</v>
      </c>
      <c r="I280" s="8">
        <v>0.88</v>
      </c>
      <c r="J280" s="5" t="str">
        <f>IF(G280&lt;720,"Potential bottleneck","OK")</f>
        <v>OK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x14ac:dyDescent="0.2">
      <c r="A281" s="5" t="s">
        <v>175</v>
      </c>
      <c r="B281" s="5" t="s">
        <v>296</v>
      </c>
      <c r="C281" s="5" t="s">
        <v>200</v>
      </c>
      <c r="D281" s="5">
        <v>6</v>
      </c>
      <c r="E281" s="5">
        <v>4</v>
      </c>
      <c r="F281" s="5">
        <v>4</v>
      </c>
      <c r="G281" s="11">
        <f>E281*8*60*H281*I281</f>
        <v>1300.9920000000002</v>
      </c>
      <c r="H281" s="8">
        <v>0.77</v>
      </c>
      <c r="I281" s="8">
        <v>0.88</v>
      </c>
      <c r="J281" s="5" t="str">
        <f>IF(G281&lt;720,"Potential bottleneck","OK")</f>
        <v>OK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x14ac:dyDescent="0.2">
      <c r="A282" s="5" t="s">
        <v>175</v>
      </c>
      <c r="B282" s="5" t="s">
        <v>282</v>
      </c>
      <c r="C282" s="5" t="s">
        <v>200</v>
      </c>
      <c r="D282" s="5">
        <v>7</v>
      </c>
      <c r="E282" s="5">
        <v>5</v>
      </c>
      <c r="F282" s="5">
        <v>5</v>
      </c>
      <c r="G282" s="11">
        <f>E282*8*60*H282*I282</f>
        <v>1626.24</v>
      </c>
      <c r="H282" s="8">
        <v>0.77</v>
      </c>
      <c r="I282" s="8">
        <v>0.88</v>
      </c>
      <c r="J282" s="5" t="str">
        <f>IF(G282&lt;720,"Potential bottleneck","OK")</f>
        <v>OK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x14ac:dyDescent="0.2">
      <c r="A283" s="5" t="s">
        <v>175</v>
      </c>
      <c r="B283" s="5" t="s">
        <v>300</v>
      </c>
      <c r="C283" s="5" t="s">
        <v>200</v>
      </c>
      <c r="D283" s="5">
        <v>7</v>
      </c>
      <c r="E283" s="5">
        <v>6</v>
      </c>
      <c r="F283" s="5">
        <v>6</v>
      </c>
      <c r="G283" s="11">
        <f>E283*8*60*H283*I283</f>
        <v>1951.4879999999998</v>
      </c>
      <c r="H283" s="8">
        <v>0.77</v>
      </c>
      <c r="I283" s="8">
        <v>0.88</v>
      </c>
      <c r="J283" s="5" t="str">
        <f>IF(G283&lt;720,"Potential bottleneck","OK")</f>
        <v>OK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x14ac:dyDescent="0.2">
      <c r="A284" s="5" t="s">
        <v>175</v>
      </c>
      <c r="B284" s="5" t="s">
        <v>302</v>
      </c>
      <c r="C284" s="5" t="s">
        <v>200</v>
      </c>
      <c r="D284" s="5">
        <v>5</v>
      </c>
      <c r="E284" s="5">
        <v>4</v>
      </c>
      <c r="F284" s="5">
        <v>4</v>
      </c>
      <c r="G284" s="11">
        <f>E284*8*60*H284*I284</f>
        <v>1300.9920000000002</v>
      </c>
      <c r="H284" s="8">
        <v>0.77</v>
      </c>
      <c r="I284" s="8">
        <v>0.88</v>
      </c>
      <c r="J284" s="5" t="str">
        <f>IF(G284&lt;720,"Potential bottleneck","OK")</f>
        <v>OK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x14ac:dyDescent="0.2">
      <c r="A285" s="5" t="s">
        <v>175</v>
      </c>
      <c r="B285" s="5" t="s">
        <v>295</v>
      </c>
      <c r="C285" s="5" t="s">
        <v>200</v>
      </c>
      <c r="D285" s="5">
        <v>8</v>
      </c>
      <c r="E285" s="5">
        <v>7</v>
      </c>
      <c r="F285" s="5">
        <v>6</v>
      </c>
      <c r="G285" s="11">
        <f>E285*8*60*H285*I285</f>
        <v>2276.7360000000003</v>
      </c>
      <c r="H285" s="8">
        <v>0.77</v>
      </c>
      <c r="I285" s="8">
        <v>0.88</v>
      </c>
      <c r="J285" s="5" t="str">
        <f>IF(G285&lt;720,"Potential bottleneck","OK")</f>
        <v>OK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x14ac:dyDescent="0.2">
      <c r="A286" s="5" t="s">
        <v>175</v>
      </c>
      <c r="B286" s="5" t="s">
        <v>304</v>
      </c>
      <c r="C286" s="5" t="s">
        <v>200</v>
      </c>
      <c r="D286" s="5">
        <v>3</v>
      </c>
      <c r="E286" s="5">
        <v>1</v>
      </c>
      <c r="F286" s="5">
        <v>1</v>
      </c>
      <c r="G286" s="11">
        <f>E286*8*60*H286*I286</f>
        <v>325.24800000000005</v>
      </c>
      <c r="H286" s="8">
        <v>0.77</v>
      </c>
      <c r="I286" s="8">
        <v>0.88</v>
      </c>
      <c r="J286" s="5" t="str">
        <f>IF(G286&lt;720,"Potential bottleneck","OK")</f>
        <v>Potential bottleneck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x14ac:dyDescent="0.2">
      <c r="A287" s="5" t="s">
        <v>175</v>
      </c>
      <c r="B287" s="5" t="s">
        <v>303</v>
      </c>
      <c r="C287" s="5" t="s">
        <v>200</v>
      </c>
      <c r="D287" s="5">
        <v>3</v>
      </c>
      <c r="E287" s="5">
        <v>2</v>
      </c>
      <c r="F287" s="5">
        <v>2</v>
      </c>
      <c r="G287" s="11">
        <f>E287*8*60*H287*I287</f>
        <v>650.49600000000009</v>
      </c>
      <c r="H287" s="8">
        <v>0.77</v>
      </c>
      <c r="I287" s="8">
        <v>0.88</v>
      </c>
      <c r="J287" s="5" t="str">
        <f>IF(G287&lt;720,"Potential bottleneck","OK")</f>
        <v>Potential bottleneck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x14ac:dyDescent="0.2">
      <c r="A288" s="5" t="s">
        <v>175</v>
      </c>
      <c r="B288" s="5" t="s">
        <v>268</v>
      </c>
      <c r="C288" s="5" t="s">
        <v>200</v>
      </c>
      <c r="D288" s="5">
        <v>7</v>
      </c>
      <c r="E288" s="5">
        <v>6</v>
      </c>
      <c r="F288" s="5">
        <v>5</v>
      </c>
      <c r="G288" s="11">
        <f>E288*8*60*H288*I288</f>
        <v>1951.4879999999998</v>
      </c>
      <c r="H288" s="8">
        <v>0.77</v>
      </c>
      <c r="I288" s="8">
        <v>0.88</v>
      </c>
      <c r="J288" s="5" t="str">
        <f>IF(G288&lt;720,"Potential bottleneck","OK")</f>
        <v>OK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x14ac:dyDescent="0.2">
      <c r="A289" s="5" t="s">
        <v>175</v>
      </c>
      <c r="B289" s="5" t="s">
        <v>291</v>
      </c>
      <c r="C289" s="5" t="s">
        <v>200</v>
      </c>
      <c r="D289" s="5">
        <v>2</v>
      </c>
      <c r="E289" s="5">
        <v>1</v>
      </c>
      <c r="F289" s="5">
        <v>1</v>
      </c>
      <c r="G289" s="11">
        <f>E289*8*60*H289*I289</f>
        <v>325.24800000000005</v>
      </c>
      <c r="H289" s="8">
        <v>0.77</v>
      </c>
      <c r="I289" s="8">
        <v>0.88</v>
      </c>
      <c r="J289" s="5" t="str">
        <f>IF(G289&lt;720,"Potential bottleneck","OK")</f>
        <v>Potential bottleneck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x14ac:dyDescent="0.2">
      <c r="A290" s="5" t="s">
        <v>175</v>
      </c>
      <c r="B290" s="5" t="s">
        <v>276</v>
      </c>
      <c r="C290" s="5" t="s">
        <v>200</v>
      </c>
      <c r="D290" s="5">
        <v>6</v>
      </c>
      <c r="E290" s="5">
        <v>5</v>
      </c>
      <c r="F290" s="5">
        <v>4</v>
      </c>
      <c r="G290" s="11">
        <f>E290*8*60*H290*I290</f>
        <v>1626.24</v>
      </c>
      <c r="H290" s="8">
        <v>0.77</v>
      </c>
      <c r="I290" s="8">
        <v>0.88</v>
      </c>
      <c r="J290" s="5" t="str">
        <f>IF(G290&lt;720,"Potential bottleneck","OK")</f>
        <v>OK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x14ac:dyDescent="0.2">
      <c r="A291" s="5" t="s">
        <v>175</v>
      </c>
      <c r="B291" s="5" t="s">
        <v>305</v>
      </c>
      <c r="C291" s="5" t="s">
        <v>200</v>
      </c>
      <c r="D291" s="5">
        <v>6</v>
      </c>
      <c r="E291" s="5">
        <v>6</v>
      </c>
      <c r="F291" s="5">
        <v>5</v>
      </c>
      <c r="G291" s="11">
        <f>E291*8*60*H291*I291</f>
        <v>1951.4879999999998</v>
      </c>
      <c r="H291" s="8">
        <v>0.77</v>
      </c>
      <c r="I291" s="8">
        <v>0.88</v>
      </c>
      <c r="J291" s="5" t="str">
        <f>IF(G291&lt;720,"Potential bottleneck","OK")</f>
        <v>OK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x14ac:dyDescent="0.2">
      <c r="A292" s="5" t="s">
        <v>175</v>
      </c>
      <c r="B292" s="5" t="s">
        <v>274</v>
      </c>
      <c r="C292" s="5" t="s">
        <v>238</v>
      </c>
      <c r="D292" s="5">
        <v>1</v>
      </c>
      <c r="E292" s="5">
        <v>1</v>
      </c>
      <c r="F292" s="5">
        <v>1</v>
      </c>
      <c r="G292" s="11">
        <f>E292*8*60*H292*I292</f>
        <v>325.24800000000005</v>
      </c>
      <c r="H292" s="8">
        <v>0.77</v>
      </c>
      <c r="I292" s="8">
        <v>0.88</v>
      </c>
      <c r="J292" s="5" t="str">
        <f>IF(G292&lt;720,"Potential bottleneck","OK")</f>
        <v>Potential bottleneck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x14ac:dyDescent="0.2">
      <c r="A293" s="5" t="s">
        <v>175</v>
      </c>
      <c r="B293" s="5" t="s">
        <v>294</v>
      </c>
      <c r="C293" s="5" t="s">
        <v>200</v>
      </c>
      <c r="D293" s="5">
        <v>7</v>
      </c>
      <c r="E293" s="5">
        <v>5</v>
      </c>
      <c r="F293" s="5">
        <v>4</v>
      </c>
      <c r="G293" s="11">
        <f>E293*8*60*H293*I293</f>
        <v>1626.24</v>
      </c>
      <c r="H293" s="8">
        <v>0.77</v>
      </c>
      <c r="I293" s="8">
        <v>0.88</v>
      </c>
      <c r="J293" s="5" t="str">
        <f>IF(G293&lt;720,"Potential bottleneck","OK")</f>
        <v>OK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x14ac:dyDescent="0.2">
      <c r="A294" s="5" t="s">
        <v>175</v>
      </c>
      <c r="B294" s="5" t="s">
        <v>285</v>
      </c>
      <c r="C294" s="5" t="s">
        <v>200</v>
      </c>
      <c r="D294" s="5">
        <v>3</v>
      </c>
      <c r="E294" s="5">
        <v>1</v>
      </c>
      <c r="F294" s="5">
        <v>1</v>
      </c>
      <c r="G294" s="11">
        <f>E294*8*60*H294*I294</f>
        <v>325.24800000000005</v>
      </c>
      <c r="H294" s="8">
        <v>0.77</v>
      </c>
      <c r="I294" s="8">
        <v>0.88</v>
      </c>
      <c r="J294" s="5" t="str">
        <f>IF(G294&lt;720,"Potential bottleneck","OK")</f>
        <v>Potential bottleneck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x14ac:dyDescent="0.2">
      <c r="A295" s="5" t="s">
        <v>175</v>
      </c>
      <c r="B295" s="5" t="s">
        <v>277</v>
      </c>
      <c r="C295" s="5" t="s">
        <v>238</v>
      </c>
      <c r="D295" s="5">
        <v>4</v>
      </c>
      <c r="E295" s="5">
        <v>3</v>
      </c>
      <c r="F295" s="5">
        <v>2</v>
      </c>
      <c r="G295" s="11">
        <f>E295*8*60*H295*I295</f>
        <v>975.74399999999991</v>
      </c>
      <c r="H295" s="8">
        <v>0.77</v>
      </c>
      <c r="I295" s="8">
        <v>0.88</v>
      </c>
      <c r="J295" s="5" t="str">
        <f>IF(G295&lt;720,"Potential bottleneck","OK")</f>
        <v>OK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x14ac:dyDescent="0.2">
      <c r="A296" s="5" t="s">
        <v>175</v>
      </c>
      <c r="B296" s="5" t="s">
        <v>271</v>
      </c>
      <c r="C296" s="5" t="s">
        <v>238</v>
      </c>
      <c r="D296" s="5">
        <v>1</v>
      </c>
      <c r="E296" s="5">
        <v>1</v>
      </c>
      <c r="F296" s="5">
        <v>1</v>
      </c>
      <c r="G296" s="11">
        <f>E296*8*60*H296*I296</f>
        <v>325.24800000000005</v>
      </c>
      <c r="H296" s="8">
        <v>0.77</v>
      </c>
      <c r="I296" s="8">
        <v>0.88</v>
      </c>
      <c r="J296" s="5" t="str">
        <f>IF(G296&lt;720,"Potential bottleneck","OK")</f>
        <v>Potential bottleneck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x14ac:dyDescent="0.2">
      <c r="A297" s="5" t="s">
        <v>175</v>
      </c>
      <c r="B297" s="5" t="s">
        <v>287</v>
      </c>
      <c r="C297" s="5" t="s">
        <v>238</v>
      </c>
      <c r="D297" s="5">
        <v>3</v>
      </c>
      <c r="E297" s="5">
        <v>3</v>
      </c>
      <c r="F297" s="5">
        <v>3</v>
      </c>
      <c r="G297" s="11">
        <f>E297*8*60*H297*I297</f>
        <v>975.74399999999991</v>
      </c>
      <c r="H297" s="8">
        <v>0.77</v>
      </c>
      <c r="I297" s="8">
        <v>0.88</v>
      </c>
      <c r="J297" s="5" t="str">
        <f>IF(G297&lt;720,"Potential bottleneck","OK")</f>
        <v>OK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x14ac:dyDescent="0.2">
      <c r="A298" s="5" t="s">
        <v>175</v>
      </c>
      <c r="B298" s="5" t="s">
        <v>264</v>
      </c>
      <c r="C298" s="5" t="s">
        <v>197</v>
      </c>
      <c r="D298" s="5">
        <v>4</v>
      </c>
      <c r="E298" s="5">
        <v>3</v>
      </c>
      <c r="F298" s="5">
        <v>2</v>
      </c>
      <c r="G298" s="11">
        <f>E298*8*60*H298*I298</f>
        <v>975.74399999999991</v>
      </c>
      <c r="H298" s="8">
        <v>0.77</v>
      </c>
      <c r="I298" s="8">
        <v>0.88</v>
      </c>
      <c r="J298" s="5" t="str">
        <f>IF(G298&lt;720,"Potential bottleneck","OK")</f>
        <v>OK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x14ac:dyDescent="0.2">
      <c r="A299" s="5" t="s">
        <v>175</v>
      </c>
      <c r="B299" s="5" t="s">
        <v>288</v>
      </c>
      <c r="C299" s="5" t="s">
        <v>200</v>
      </c>
      <c r="D299" s="5">
        <v>5</v>
      </c>
      <c r="E299" s="5">
        <v>3</v>
      </c>
      <c r="F299" s="5">
        <v>3</v>
      </c>
      <c r="G299" s="11">
        <f>E299*8*60*H299*I299</f>
        <v>975.74399999999991</v>
      </c>
      <c r="H299" s="8">
        <v>0.77</v>
      </c>
      <c r="I299" s="8">
        <v>0.88</v>
      </c>
      <c r="J299" s="5" t="str">
        <f>IF(G299&lt;720,"Potential bottleneck","OK")</f>
        <v>OK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x14ac:dyDescent="0.2">
      <c r="A300" s="5" t="s">
        <v>189</v>
      </c>
      <c r="B300" s="5" t="s">
        <v>266</v>
      </c>
      <c r="C300" s="5" t="s">
        <v>197</v>
      </c>
      <c r="D300" s="5">
        <v>3</v>
      </c>
      <c r="E300" s="5">
        <v>3</v>
      </c>
      <c r="F300" s="5">
        <v>2</v>
      </c>
      <c r="G300" s="11">
        <f>E300*8*60*H300*I300</f>
        <v>1062.72</v>
      </c>
      <c r="H300" s="8">
        <v>0.82</v>
      </c>
      <c r="I300" s="8">
        <v>0.9</v>
      </c>
      <c r="J300" s="5" t="str">
        <f>IF(G300&lt;720,"Potential bottleneck","OK")</f>
        <v>OK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x14ac:dyDescent="0.2">
      <c r="A301" s="5" t="s">
        <v>189</v>
      </c>
      <c r="B301" s="5" t="s">
        <v>298</v>
      </c>
      <c r="C301" s="5" t="s">
        <v>200</v>
      </c>
      <c r="D301" s="5">
        <v>2</v>
      </c>
      <c r="E301" s="5">
        <v>1</v>
      </c>
      <c r="F301" s="5">
        <v>1</v>
      </c>
      <c r="G301" s="11">
        <f>E301*8*60*H301*I301</f>
        <v>354.23999999999995</v>
      </c>
      <c r="H301" s="8">
        <v>0.82</v>
      </c>
      <c r="I301" s="8">
        <v>0.9</v>
      </c>
      <c r="J301" s="5" t="str">
        <f>IF(G301&lt;720,"Potential bottleneck","OK")</f>
        <v>Potential bottleneck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x14ac:dyDescent="0.2">
      <c r="A302" s="5" t="s">
        <v>189</v>
      </c>
      <c r="B302" s="5" t="s">
        <v>270</v>
      </c>
      <c r="C302" s="5" t="s">
        <v>200</v>
      </c>
      <c r="D302" s="5">
        <v>2</v>
      </c>
      <c r="E302" s="5">
        <v>2</v>
      </c>
      <c r="F302" s="5">
        <v>2</v>
      </c>
      <c r="G302" s="11">
        <f>E302*8*60*H302*I302</f>
        <v>708.4799999999999</v>
      </c>
      <c r="H302" s="8">
        <v>0.82</v>
      </c>
      <c r="I302" s="8">
        <v>0.9</v>
      </c>
      <c r="J302" s="5" t="str">
        <f>IF(G302&lt;720,"Potential bottleneck","OK")</f>
        <v>Potential bottleneck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x14ac:dyDescent="0.2">
      <c r="A303" s="5" t="s">
        <v>189</v>
      </c>
      <c r="B303" s="5" t="s">
        <v>275</v>
      </c>
      <c r="C303" s="5" t="s">
        <v>200</v>
      </c>
      <c r="D303" s="5">
        <v>4</v>
      </c>
      <c r="E303" s="5">
        <v>3</v>
      </c>
      <c r="F303" s="5">
        <v>2</v>
      </c>
      <c r="G303" s="11">
        <f>E303*8*60*H303*I303</f>
        <v>1062.72</v>
      </c>
      <c r="H303" s="8">
        <v>0.82</v>
      </c>
      <c r="I303" s="8">
        <v>0.9</v>
      </c>
      <c r="J303" s="5" t="str">
        <f>IF(G303&lt;720,"Potential bottleneck","OK")</f>
        <v>OK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x14ac:dyDescent="0.2">
      <c r="A304" s="5" t="s">
        <v>189</v>
      </c>
      <c r="B304" s="5" t="s">
        <v>279</v>
      </c>
      <c r="C304" s="5" t="s">
        <v>200</v>
      </c>
      <c r="D304" s="5">
        <v>5</v>
      </c>
      <c r="E304" s="5">
        <v>5</v>
      </c>
      <c r="F304" s="5">
        <v>4</v>
      </c>
      <c r="G304" s="11">
        <f>E304*8*60*H304*I304</f>
        <v>1771.1999999999998</v>
      </c>
      <c r="H304" s="8">
        <v>0.82</v>
      </c>
      <c r="I304" s="8">
        <v>0.9</v>
      </c>
      <c r="J304" s="5" t="str">
        <f>IF(G304&lt;720,"Potential bottleneck","OK")</f>
        <v>OK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x14ac:dyDescent="0.2">
      <c r="A305" s="5" t="s">
        <v>189</v>
      </c>
      <c r="B305" s="5" t="s">
        <v>297</v>
      </c>
      <c r="C305" s="5" t="s">
        <v>200</v>
      </c>
      <c r="D305" s="5">
        <v>4</v>
      </c>
      <c r="E305" s="5">
        <v>3</v>
      </c>
      <c r="F305" s="5">
        <v>3</v>
      </c>
      <c r="G305" s="11">
        <f>E305*8*60*H305*I305</f>
        <v>1062.72</v>
      </c>
      <c r="H305" s="8">
        <v>0.82</v>
      </c>
      <c r="I305" s="8">
        <v>0.9</v>
      </c>
      <c r="J305" s="5" t="str">
        <f>IF(G305&lt;720,"Potential bottleneck","OK")</f>
        <v>OK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x14ac:dyDescent="0.2">
      <c r="A306" s="5" t="s">
        <v>189</v>
      </c>
      <c r="B306" s="5" t="s">
        <v>292</v>
      </c>
      <c r="C306" s="5" t="s">
        <v>200</v>
      </c>
      <c r="D306" s="5">
        <v>5</v>
      </c>
      <c r="E306" s="5">
        <v>3</v>
      </c>
      <c r="F306" s="5">
        <v>2</v>
      </c>
      <c r="G306" s="11">
        <f>E306*8*60*H306*I306</f>
        <v>1062.72</v>
      </c>
      <c r="H306" s="8">
        <v>0.82</v>
      </c>
      <c r="I306" s="8">
        <v>0.9</v>
      </c>
      <c r="J306" s="5" t="str">
        <f>IF(G306&lt;720,"Potential bottleneck","OK")</f>
        <v>OK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x14ac:dyDescent="0.2">
      <c r="A307" s="5" t="s">
        <v>189</v>
      </c>
      <c r="B307" s="5" t="s">
        <v>299</v>
      </c>
      <c r="C307" s="5" t="s">
        <v>200</v>
      </c>
      <c r="D307" s="5">
        <v>4</v>
      </c>
      <c r="E307" s="5">
        <v>4</v>
      </c>
      <c r="F307" s="5">
        <v>3</v>
      </c>
      <c r="G307" s="11">
        <f>E307*8*60*H307*I307</f>
        <v>1416.9599999999998</v>
      </c>
      <c r="H307" s="8">
        <v>0.82</v>
      </c>
      <c r="I307" s="8">
        <v>0.9</v>
      </c>
      <c r="J307" s="5" t="str">
        <f>IF(G307&lt;720,"Potential bottleneck","OK")</f>
        <v>OK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x14ac:dyDescent="0.2">
      <c r="A308" s="5" t="s">
        <v>189</v>
      </c>
      <c r="B308" s="5" t="s">
        <v>293</v>
      </c>
      <c r="C308" s="5" t="s">
        <v>200</v>
      </c>
      <c r="D308" s="5">
        <v>2</v>
      </c>
      <c r="E308" s="5">
        <v>1</v>
      </c>
      <c r="F308" s="5">
        <v>1</v>
      </c>
      <c r="G308" s="11">
        <f>E308*8*60*H308*I308</f>
        <v>354.23999999999995</v>
      </c>
      <c r="H308" s="8">
        <v>0.82</v>
      </c>
      <c r="I308" s="8">
        <v>0.9</v>
      </c>
      <c r="J308" s="5" t="str">
        <f>IF(G308&lt;720,"Potential bottleneck","OK")</f>
        <v>Potential bottleneck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x14ac:dyDescent="0.2">
      <c r="A309" s="5" t="s">
        <v>189</v>
      </c>
      <c r="B309" s="5" t="s">
        <v>289</v>
      </c>
      <c r="C309" s="5" t="s">
        <v>200</v>
      </c>
      <c r="D309" s="5">
        <v>2</v>
      </c>
      <c r="E309" s="5">
        <v>1</v>
      </c>
      <c r="F309" s="5">
        <v>1</v>
      </c>
      <c r="G309" s="11">
        <f>E309*8*60*H309*I309</f>
        <v>354.23999999999995</v>
      </c>
      <c r="H309" s="8">
        <v>0.82</v>
      </c>
      <c r="I309" s="8">
        <v>0.9</v>
      </c>
      <c r="J309" s="5" t="str">
        <f>IF(G309&lt;720,"Potential bottleneck","OK")</f>
        <v>Potential bottleneck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x14ac:dyDescent="0.2">
      <c r="A310" s="5" t="s">
        <v>189</v>
      </c>
      <c r="B310" s="5" t="s">
        <v>286</v>
      </c>
      <c r="C310" s="5" t="s">
        <v>200</v>
      </c>
      <c r="D310" s="5">
        <v>7</v>
      </c>
      <c r="E310" s="5">
        <v>7</v>
      </c>
      <c r="F310" s="5">
        <v>7</v>
      </c>
      <c r="G310" s="11">
        <f>E310*8*60*H310*I310</f>
        <v>2479.6799999999998</v>
      </c>
      <c r="H310" s="8">
        <v>0.82</v>
      </c>
      <c r="I310" s="8">
        <v>0.9</v>
      </c>
      <c r="J310" s="5" t="str">
        <f>IF(G310&lt;720,"Potential bottleneck","OK")</f>
        <v>OK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x14ac:dyDescent="0.2">
      <c r="A311" s="5" t="s">
        <v>189</v>
      </c>
      <c r="B311" s="5" t="s">
        <v>278</v>
      </c>
      <c r="C311" s="5" t="s">
        <v>200</v>
      </c>
      <c r="D311" s="5">
        <v>6</v>
      </c>
      <c r="E311" s="5">
        <v>6</v>
      </c>
      <c r="F311" s="5">
        <v>6</v>
      </c>
      <c r="G311" s="11">
        <f>E311*8*60*H311*I311</f>
        <v>2125.44</v>
      </c>
      <c r="H311" s="8">
        <v>0.82</v>
      </c>
      <c r="I311" s="8">
        <v>0.9</v>
      </c>
      <c r="J311" s="5" t="str">
        <f>IF(G311&lt;720,"Potential bottleneck","OK")</f>
        <v>OK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x14ac:dyDescent="0.2">
      <c r="A312" s="5" t="s">
        <v>189</v>
      </c>
      <c r="B312" s="5" t="s">
        <v>269</v>
      </c>
      <c r="C312" s="5" t="s">
        <v>200</v>
      </c>
      <c r="D312" s="5">
        <v>4</v>
      </c>
      <c r="E312" s="5">
        <v>2</v>
      </c>
      <c r="F312" s="5">
        <v>1</v>
      </c>
      <c r="G312" s="11">
        <f>E312*8*60*H312*I312</f>
        <v>708.4799999999999</v>
      </c>
      <c r="H312" s="8">
        <v>0.82</v>
      </c>
      <c r="I312" s="8">
        <v>0.9</v>
      </c>
      <c r="J312" s="5" t="str">
        <f>IF(G312&lt;720,"Potential bottleneck","OK")</f>
        <v>Potential bottleneck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x14ac:dyDescent="0.2">
      <c r="A313" s="5" t="s">
        <v>189</v>
      </c>
      <c r="B313" s="5" t="s">
        <v>280</v>
      </c>
      <c r="C313" s="5" t="s">
        <v>200</v>
      </c>
      <c r="D313" s="5">
        <v>5</v>
      </c>
      <c r="E313" s="5">
        <v>5</v>
      </c>
      <c r="F313" s="5">
        <v>4</v>
      </c>
      <c r="G313" s="11">
        <f>E313*8*60*H313*I313</f>
        <v>1771.1999999999998</v>
      </c>
      <c r="H313" s="8">
        <v>0.82</v>
      </c>
      <c r="I313" s="8">
        <v>0.9</v>
      </c>
      <c r="J313" s="5" t="str">
        <f>IF(G313&lt;720,"Potential bottleneck","OK")</f>
        <v>OK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x14ac:dyDescent="0.2">
      <c r="A314" s="5" t="s">
        <v>189</v>
      </c>
      <c r="B314" s="5" t="s">
        <v>281</v>
      </c>
      <c r="C314" s="5" t="s">
        <v>200</v>
      </c>
      <c r="D314" s="5">
        <v>7</v>
      </c>
      <c r="E314" s="5">
        <v>7</v>
      </c>
      <c r="F314" s="5">
        <v>7</v>
      </c>
      <c r="G314" s="11">
        <f>E314*8*60*H314*I314</f>
        <v>2479.6799999999998</v>
      </c>
      <c r="H314" s="8">
        <v>0.82</v>
      </c>
      <c r="I314" s="8">
        <v>0.9</v>
      </c>
      <c r="J314" s="5" t="str">
        <f>IF(G314&lt;720,"Potential bottleneck","OK")</f>
        <v>OK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x14ac:dyDescent="0.2">
      <c r="A315" s="5" t="s">
        <v>189</v>
      </c>
      <c r="B315" s="5" t="s">
        <v>272</v>
      </c>
      <c r="C315" s="5" t="s">
        <v>273</v>
      </c>
      <c r="D315" s="5">
        <v>4</v>
      </c>
      <c r="E315" s="5">
        <v>3</v>
      </c>
      <c r="F315" s="5">
        <v>0</v>
      </c>
      <c r="G315" s="11">
        <f>E315*8*60*H315*I315</f>
        <v>1062.72</v>
      </c>
      <c r="H315" s="8">
        <v>0.82</v>
      </c>
      <c r="I315" s="8">
        <v>0.9</v>
      </c>
      <c r="J315" s="5" t="str">
        <f>IF(G315&lt;720,"Potential bottleneck","OK")</f>
        <v>OK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x14ac:dyDescent="0.2">
      <c r="A316" s="5" t="s">
        <v>189</v>
      </c>
      <c r="B316" s="5" t="s">
        <v>301</v>
      </c>
      <c r="C316" s="5" t="s">
        <v>200</v>
      </c>
      <c r="D316" s="5">
        <v>2</v>
      </c>
      <c r="E316" s="5">
        <v>1</v>
      </c>
      <c r="F316" s="5">
        <v>1</v>
      </c>
      <c r="G316" s="11">
        <f>E316*8*60*H316*I316</f>
        <v>354.23999999999995</v>
      </c>
      <c r="H316" s="8">
        <v>0.82</v>
      </c>
      <c r="I316" s="8">
        <v>0.9</v>
      </c>
      <c r="J316" s="5" t="str">
        <f>IF(G316&lt;720,"Potential bottleneck","OK")</f>
        <v>Potential bottleneck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x14ac:dyDescent="0.2">
      <c r="A317" s="5" t="s">
        <v>189</v>
      </c>
      <c r="B317" s="5" t="s">
        <v>290</v>
      </c>
      <c r="C317" s="5" t="s">
        <v>200</v>
      </c>
      <c r="D317" s="5">
        <v>5</v>
      </c>
      <c r="E317" s="5">
        <v>3</v>
      </c>
      <c r="F317" s="5">
        <v>2</v>
      </c>
      <c r="G317" s="11">
        <f>E317*8*60*H317*I317</f>
        <v>1062.72</v>
      </c>
      <c r="H317" s="8">
        <v>0.82</v>
      </c>
      <c r="I317" s="8">
        <v>0.9</v>
      </c>
      <c r="J317" s="5" t="str">
        <f>IF(G317&lt;720,"Potential bottleneck","OK")</f>
        <v>OK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x14ac:dyDescent="0.2">
      <c r="A318" s="5" t="s">
        <v>189</v>
      </c>
      <c r="B318" s="5" t="s">
        <v>296</v>
      </c>
      <c r="C318" s="5" t="s">
        <v>200</v>
      </c>
      <c r="D318" s="5">
        <v>5</v>
      </c>
      <c r="E318" s="5">
        <v>5</v>
      </c>
      <c r="F318" s="5">
        <v>5</v>
      </c>
      <c r="G318" s="11">
        <f>E318*8*60*H318*I318</f>
        <v>1771.1999999999998</v>
      </c>
      <c r="H318" s="8">
        <v>0.82</v>
      </c>
      <c r="I318" s="8">
        <v>0.9</v>
      </c>
      <c r="J318" s="5" t="str">
        <f>IF(G318&lt;720,"Potential bottleneck","OK")</f>
        <v>OK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x14ac:dyDescent="0.2">
      <c r="A319" s="5" t="s">
        <v>189</v>
      </c>
      <c r="B319" s="5" t="s">
        <v>282</v>
      </c>
      <c r="C319" s="5" t="s">
        <v>200</v>
      </c>
      <c r="D319" s="5">
        <v>3</v>
      </c>
      <c r="E319" s="5">
        <v>2</v>
      </c>
      <c r="F319" s="5">
        <v>2</v>
      </c>
      <c r="G319" s="11">
        <f>E319*8*60*H319*I319</f>
        <v>708.4799999999999</v>
      </c>
      <c r="H319" s="8">
        <v>0.82</v>
      </c>
      <c r="I319" s="8">
        <v>0.9</v>
      </c>
      <c r="J319" s="5" t="str">
        <f>IF(G319&lt;720,"Potential bottleneck","OK")</f>
        <v>Potential bottleneck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x14ac:dyDescent="0.2">
      <c r="A320" s="5" t="s">
        <v>189</v>
      </c>
      <c r="B320" s="5" t="s">
        <v>300</v>
      </c>
      <c r="C320" s="5" t="s">
        <v>200</v>
      </c>
      <c r="D320" s="5">
        <v>6</v>
      </c>
      <c r="E320" s="5">
        <v>6</v>
      </c>
      <c r="F320" s="5">
        <v>6</v>
      </c>
      <c r="G320" s="11">
        <f>E320*8*60*H320*I320</f>
        <v>2125.44</v>
      </c>
      <c r="H320" s="8">
        <v>0.82</v>
      </c>
      <c r="I320" s="8">
        <v>0.9</v>
      </c>
      <c r="J320" s="5" t="str">
        <f>IF(G320&lt;720,"Potential bottleneck","OK")</f>
        <v>OK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x14ac:dyDescent="0.2">
      <c r="A321" s="5" t="s">
        <v>189</v>
      </c>
      <c r="B321" s="5" t="s">
        <v>302</v>
      </c>
      <c r="C321" s="5" t="s">
        <v>200</v>
      </c>
      <c r="D321" s="5">
        <v>4</v>
      </c>
      <c r="E321" s="5">
        <v>3</v>
      </c>
      <c r="F321" s="5">
        <v>3</v>
      </c>
      <c r="G321" s="11">
        <f>E321*8*60*H321*I321</f>
        <v>1062.72</v>
      </c>
      <c r="H321" s="8">
        <v>0.82</v>
      </c>
      <c r="I321" s="8">
        <v>0.9</v>
      </c>
      <c r="J321" s="5" t="str">
        <f>IF(G321&lt;720,"Potential bottleneck","OK")</f>
        <v>OK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x14ac:dyDescent="0.2">
      <c r="A322" s="5" t="s">
        <v>189</v>
      </c>
      <c r="B322" s="5" t="s">
        <v>295</v>
      </c>
      <c r="C322" s="5" t="s">
        <v>200</v>
      </c>
      <c r="D322" s="5">
        <v>5</v>
      </c>
      <c r="E322" s="5">
        <v>5</v>
      </c>
      <c r="F322" s="5">
        <v>4</v>
      </c>
      <c r="G322" s="11">
        <f>E322*8*60*H322*I322</f>
        <v>1771.1999999999998</v>
      </c>
      <c r="H322" s="8">
        <v>0.82</v>
      </c>
      <c r="I322" s="8">
        <v>0.9</v>
      </c>
      <c r="J322" s="5" t="str">
        <f>IF(G322&lt;720,"Potential bottleneck","OK")</f>
        <v>OK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x14ac:dyDescent="0.2">
      <c r="A323" s="5" t="s">
        <v>189</v>
      </c>
      <c r="B323" s="5" t="s">
        <v>304</v>
      </c>
      <c r="C323" s="5" t="s">
        <v>200</v>
      </c>
      <c r="D323" s="5">
        <v>7</v>
      </c>
      <c r="E323" s="5">
        <v>6</v>
      </c>
      <c r="F323" s="5">
        <v>5</v>
      </c>
      <c r="G323" s="11">
        <f>E323*8*60*H323*I323</f>
        <v>2125.44</v>
      </c>
      <c r="H323" s="8">
        <v>0.82</v>
      </c>
      <c r="I323" s="8">
        <v>0.9</v>
      </c>
      <c r="J323" s="5" t="str">
        <f>IF(G323&lt;720,"Potential bottleneck","OK")</f>
        <v>OK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x14ac:dyDescent="0.2">
      <c r="A324" s="5" t="s">
        <v>189</v>
      </c>
      <c r="B324" s="5" t="s">
        <v>303</v>
      </c>
      <c r="C324" s="5" t="s">
        <v>200</v>
      </c>
      <c r="D324" s="5">
        <v>6</v>
      </c>
      <c r="E324" s="5">
        <v>5</v>
      </c>
      <c r="F324" s="5">
        <v>4</v>
      </c>
      <c r="G324" s="11">
        <f>E324*8*60*H324*I324</f>
        <v>1771.1999999999998</v>
      </c>
      <c r="H324" s="8">
        <v>0.82</v>
      </c>
      <c r="I324" s="8">
        <v>0.9</v>
      </c>
      <c r="J324" s="5" t="str">
        <f>IF(G324&lt;720,"Potential bottleneck","OK")</f>
        <v>OK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x14ac:dyDescent="0.2">
      <c r="A325" s="5" t="s">
        <v>189</v>
      </c>
      <c r="B325" s="5" t="s">
        <v>268</v>
      </c>
      <c r="C325" s="5" t="s">
        <v>200</v>
      </c>
      <c r="D325" s="5">
        <v>6</v>
      </c>
      <c r="E325" s="5">
        <v>6</v>
      </c>
      <c r="F325" s="5">
        <v>5</v>
      </c>
      <c r="G325" s="11">
        <f>E325*8*60*H325*I325</f>
        <v>2125.44</v>
      </c>
      <c r="H325" s="8">
        <v>0.82</v>
      </c>
      <c r="I325" s="8">
        <v>0.9</v>
      </c>
      <c r="J325" s="5" t="str">
        <f>IF(G325&lt;720,"Potential bottleneck","OK")</f>
        <v>OK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x14ac:dyDescent="0.2">
      <c r="A326" s="5" t="s">
        <v>189</v>
      </c>
      <c r="B326" s="5" t="s">
        <v>283</v>
      </c>
      <c r="C326" s="5" t="s">
        <v>284</v>
      </c>
      <c r="D326" s="5">
        <v>3</v>
      </c>
      <c r="E326" s="5">
        <v>2</v>
      </c>
      <c r="F326" s="5">
        <v>2</v>
      </c>
      <c r="G326" s="11">
        <f>E326*8*60*H326*I326</f>
        <v>708.4799999999999</v>
      </c>
      <c r="H326" s="8">
        <v>0.82</v>
      </c>
      <c r="I326" s="8">
        <v>0.9</v>
      </c>
      <c r="J326" s="5" t="str">
        <f>IF(G326&lt;720,"Potential bottleneck","OK")</f>
        <v>Potential bottleneck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x14ac:dyDescent="0.2">
      <c r="A327" s="5" t="s">
        <v>189</v>
      </c>
      <c r="B327" s="5" t="s">
        <v>291</v>
      </c>
      <c r="C327" s="5" t="s">
        <v>200</v>
      </c>
      <c r="D327" s="5">
        <v>8</v>
      </c>
      <c r="E327" s="5">
        <v>6</v>
      </c>
      <c r="F327" s="5">
        <v>5</v>
      </c>
      <c r="G327" s="11">
        <f>E327*8*60*H327*I327</f>
        <v>2125.44</v>
      </c>
      <c r="H327" s="8">
        <v>0.82</v>
      </c>
      <c r="I327" s="8">
        <v>0.9</v>
      </c>
      <c r="J327" s="5" t="str">
        <f>IF(G327&lt;720,"Potential bottleneck","OK")</f>
        <v>OK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x14ac:dyDescent="0.2">
      <c r="A328" s="5" t="s">
        <v>189</v>
      </c>
      <c r="B328" s="5" t="s">
        <v>276</v>
      </c>
      <c r="C328" s="5" t="s">
        <v>200</v>
      </c>
      <c r="D328" s="5">
        <v>6</v>
      </c>
      <c r="E328" s="5">
        <v>4</v>
      </c>
      <c r="F328" s="5">
        <v>4</v>
      </c>
      <c r="G328" s="11">
        <f>E328*8*60*H328*I328</f>
        <v>1416.9599999999998</v>
      </c>
      <c r="H328" s="8">
        <v>0.82</v>
      </c>
      <c r="I328" s="8">
        <v>0.9</v>
      </c>
      <c r="J328" s="5" t="str">
        <f>IF(G328&lt;720,"Potential bottleneck","OK")</f>
        <v>OK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x14ac:dyDescent="0.2">
      <c r="A329" s="5" t="s">
        <v>189</v>
      </c>
      <c r="B329" s="5" t="s">
        <v>305</v>
      </c>
      <c r="C329" s="5" t="s">
        <v>200</v>
      </c>
      <c r="D329" s="5">
        <v>7</v>
      </c>
      <c r="E329" s="5">
        <v>7</v>
      </c>
      <c r="F329" s="5">
        <v>6</v>
      </c>
      <c r="G329" s="11">
        <f>E329*8*60*H329*I329</f>
        <v>2479.6799999999998</v>
      </c>
      <c r="H329" s="8">
        <v>0.82</v>
      </c>
      <c r="I329" s="8">
        <v>0.9</v>
      </c>
      <c r="J329" s="5" t="str">
        <f>IF(G329&lt;720,"Potential bottleneck","OK")</f>
        <v>OK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x14ac:dyDescent="0.2">
      <c r="A330" s="5" t="s">
        <v>189</v>
      </c>
      <c r="B330" s="5" t="s">
        <v>274</v>
      </c>
      <c r="C330" s="5" t="s">
        <v>238</v>
      </c>
      <c r="D330" s="5">
        <v>1</v>
      </c>
      <c r="E330" s="5">
        <v>1</v>
      </c>
      <c r="F330" s="5">
        <v>1</v>
      </c>
      <c r="G330" s="11">
        <f>E330*8*60*H330*I330</f>
        <v>354.23999999999995</v>
      </c>
      <c r="H330" s="8">
        <v>0.82</v>
      </c>
      <c r="I330" s="8">
        <v>0.9</v>
      </c>
      <c r="J330" s="5" t="str">
        <f>IF(G330&lt;720,"Potential bottleneck","OK")</f>
        <v>Potential bottleneck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x14ac:dyDescent="0.2">
      <c r="A331" s="5" t="s">
        <v>189</v>
      </c>
      <c r="B331" s="5" t="s">
        <v>294</v>
      </c>
      <c r="C331" s="5" t="s">
        <v>200</v>
      </c>
      <c r="D331" s="5">
        <v>2</v>
      </c>
      <c r="E331" s="5">
        <v>2</v>
      </c>
      <c r="F331" s="5">
        <v>1</v>
      </c>
      <c r="G331" s="11">
        <f>E331*8*60*H331*I331</f>
        <v>708.4799999999999</v>
      </c>
      <c r="H331" s="8">
        <v>0.82</v>
      </c>
      <c r="I331" s="8">
        <v>0.9</v>
      </c>
      <c r="J331" s="5" t="str">
        <f>IF(G331&lt;720,"Potential bottleneck","OK")</f>
        <v>Potential bottleneck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x14ac:dyDescent="0.2">
      <c r="A332" s="5" t="s">
        <v>189</v>
      </c>
      <c r="B332" s="5" t="s">
        <v>285</v>
      </c>
      <c r="C332" s="5" t="s">
        <v>200</v>
      </c>
      <c r="D332" s="5">
        <v>7</v>
      </c>
      <c r="E332" s="5">
        <v>7</v>
      </c>
      <c r="F332" s="5">
        <v>6</v>
      </c>
      <c r="G332" s="11">
        <f>E332*8*60*H332*I332</f>
        <v>2479.6799999999998</v>
      </c>
      <c r="H332" s="8">
        <v>0.82</v>
      </c>
      <c r="I332" s="8">
        <v>0.9</v>
      </c>
      <c r="J332" s="5" t="str">
        <f>IF(G332&lt;720,"Potential bottleneck","OK")</f>
        <v>OK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x14ac:dyDescent="0.2">
      <c r="A333" s="5" t="s">
        <v>189</v>
      </c>
      <c r="B333" s="5" t="s">
        <v>277</v>
      </c>
      <c r="C333" s="5" t="s">
        <v>238</v>
      </c>
      <c r="D333" s="5">
        <v>4</v>
      </c>
      <c r="E333" s="5">
        <v>2</v>
      </c>
      <c r="F333" s="5">
        <v>2</v>
      </c>
      <c r="G333" s="11">
        <f>E333*8*60*H333*I333</f>
        <v>708.4799999999999</v>
      </c>
      <c r="H333" s="8">
        <v>0.82</v>
      </c>
      <c r="I333" s="8">
        <v>0.9</v>
      </c>
      <c r="J333" s="5" t="str">
        <f>IF(G333&lt;720,"Potential bottleneck","OK")</f>
        <v>Potential bottleneck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x14ac:dyDescent="0.2">
      <c r="A334" s="5" t="s">
        <v>189</v>
      </c>
      <c r="B334" s="5" t="s">
        <v>271</v>
      </c>
      <c r="C334" s="5" t="s">
        <v>238</v>
      </c>
      <c r="D334" s="5">
        <v>4</v>
      </c>
      <c r="E334" s="5">
        <v>3</v>
      </c>
      <c r="F334" s="5">
        <v>3</v>
      </c>
      <c r="G334" s="11">
        <f>E334*8*60*H334*I334</f>
        <v>1062.72</v>
      </c>
      <c r="H334" s="8">
        <v>0.82</v>
      </c>
      <c r="I334" s="8">
        <v>0.9</v>
      </c>
      <c r="J334" s="5" t="str">
        <f>IF(G334&lt;720,"Potential bottleneck","OK")</f>
        <v>OK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x14ac:dyDescent="0.2">
      <c r="A335" s="5" t="s">
        <v>189</v>
      </c>
      <c r="B335" s="5" t="s">
        <v>287</v>
      </c>
      <c r="C335" s="5" t="s">
        <v>238</v>
      </c>
      <c r="D335" s="5">
        <v>4</v>
      </c>
      <c r="E335" s="5">
        <v>2</v>
      </c>
      <c r="F335" s="5">
        <v>2</v>
      </c>
      <c r="G335" s="11">
        <f>E335*8*60*H335*I335</f>
        <v>708.4799999999999</v>
      </c>
      <c r="H335" s="8">
        <v>0.82</v>
      </c>
      <c r="I335" s="8">
        <v>0.9</v>
      </c>
      <c r="J335" s="5" t="str">
        <f>IF(G335&lt;720,"Potential bottleneck","OK")</f>
        <v>Potential bottleneck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x14ac:dyDescent="0.2">
      <c r="A336" s="5" t="s">
        <v>189</v>
      </c>
      <c r="B336" s="5" t="s">
        <v>264</v>
      </c>
      <c r="C336" s="5" t="s">
        <v>197</v>
      </c>
      <c r="D336" s="5">
        <v>2</v>
      </c>
      <c r="E336" s="5">
        <v>1</v>
      </c>
      <c r="F336" s="5">
        <v>1</v>
      </c>
      <c r="G336" s="11">
        <f>E336*8*60*H336*I336</f>
        <v>354.23999999999995</v>
      </c>
      <c r="H336" s="8">
        <v>0.82</v>
      </c>
      <c r="I336" s="8">
        <v>0.9</v>
      </c>
      <c r="J336" s="5" t="str">
        <f>IF(G336&lt;720,"Potential bottleneck","OK")</f>
        <v>Potential bottleneck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x14ac:dyDescent="0.2">
      <c r="A337" s="5" t="s">
        <v>189</v>
      </c>
      <c r="B337" s="5" t="s">
        <v>288</v>
      </c>
      <c r="C337" s="5" t="s">
        <v>200</v>
      </c>
      <c r="D337" s="5">
        <v>3</v>
      </c>
      <c r="E337" s="5">
        <v>3</v>
      </c>
      <c r="F337" s="5">
        <v>2</v>
      </c>
      <c r="G337" s="11">
        <f>E337*8*60*H337*I337</f>
        <v>1062.72</v>
      </c>
      <c r="H337" s="8">
        <v>0.82</v>
      </c>
      <c r="I337" s="8">
        <v>0.9</v>
      </c>
      <c r="J337" s="5" t="str">
        <f>IF(G337&lt;720,"Potential bottleneck","OK")</f>
        <v>OK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x14ac:dyDescent="0.2">
      <c r="A338" s="5" t="s">
        <v>209</v>
      </c>
      <c r="B338" s="5" t="s">
        <v>266</v>
      </c>
      <c r="C338" s="5" t="s">
        <v>197</v>
      </c>
      <c r="D338" s="5">
        <v>4</v>
      </c>
      <c r="E338" s="5">
        <v>2</v>
      </c>
      <c r="F338" s="5">
        <v>2</v>
      </c>
      <c r="G338" s="11">
        <f>E338*8*60*H338*I338</f>
        <v>674.97600000000011</v>
      </c>
      <c r="H338" s="8">
        <v>0.79</v>
      </c>
      <c r="I338" s="8">
        <v>0.89</v>
      </c>
      <c r="J338" s="5" t="str">
        <f>IF(G338&lt;720,"Potential bottleneck","OK")</f>
        <v>Potential bottleneck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x14ac:dyDescent="0.2">
      <c r="A339" s="5" t="s">
        <v>209</v>
      </c>
      <c r="B339" s="5" t="s">
        <v>298</v>
      </c>
      <c r="C339" s="5" t="s">
        <v>200</v>
      </c>
      <c r="D339" s="5">
        <v>8</v>
      </c>
      <c r="E339" s="5">
        <v>7</v>
      </c>
      <c r="F339" s="5">
        <v>7</v>
      </c>
      <c r="G339" s="11">
        <f>E339*8*60*H339*I339</f>
        <v>2362.4160000000002</v>
      </c>
      <c r="H339" s="8">
        <v>0.79</v>
      </c>
      <c r="I339" s="8">
        <v>0.89</v>
      </c>
      <c r="J339" s="5" t="str">
        <f>IF(G339&lt;720,"Potential bottleneck","OK")</f>
        <v>OK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x14ac:dyDescent="0.2">
      <c r="A340" s="5" t="s">
        <v>209</v>
      </c>
      <c r="B340" s="5" t="s">
        <v>270</v>
      </c>
      <c r="C340" s="5" t="s">
        <v>200</v>
      </c>
      <c r="D340" s="5">
        <v>5</v>
      </c>
      <c r="E340" s="5">
        <v>5</v>
      </c>
      <c r="F340" s="5">
        <v>5</v>
      </c>
      <c r="G340" s="11">
        <f>E340*8*60*H340*I340</f>
        <v>1687.44</v>
      </c>
      <c r="H340" s="8">
        <v>0.79</v>
      </c>
      <c r="I340" s="8">
        <v>0.89</v>
      </c>
      <c r="J340" s="5" t="str">
        <f>IF(G340&lt;720,"Potential bottleneck","OK")</f>
        <v>OK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x14ac:dyDescent="0.2">
      <c r="A341" s="5" t="s">
        <v>209</v>
      </c>
      <c r="B341" s="5" t="s">
        <v>275</v>
      </c>
      <c r="C341" s="5" t="s">
        <v>200</v>
      </c>
      <c r="D341" s="5">
        <v>8</v>
      </c>
      <c r="E341" s="5">
        <v>7</v>
      </c>
      <c r="F341" s="5">
        <v>6</v>
      </c>
      <c r="G341" s="11">
        <f>E341*8*60*H341*I341</f>
        <v>2362.4160000000002</v>
      </c>
      <c r="H341" s="8">
        <v>0.79</v>
      </c>
      <c r="I341" s="8">
        <v>0.89</v>
      </c>
      <c r="J341" s="5" t="str">
        <f>IF(G341&lt;720,"Potential bottleneck","OK")</f>
        <v>OK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x14ac:dyDescent="0.2">
      <c r="A342" s="5" t="s">
        <v>209</v>
      </c>
      <c r="B342" s="5" t="s">
        <v>279</v>
      </c>
      <c r="C342" s="5" t="s">
        <v>200</v>
      </c>
      <c r="D342" s="5">
        <v>5</v>
      </c>
      <c r="E342" s="5">
        <v>3</v>
      </c>
      <c r="F342" s="5">
        <v>2</v>
      </c>
      <c r="G342" s="11">
        <f>E342*8*60*H342*I342</f>
        <v>1012.4640000000002</v>
      </c>
      <c r="H342" s="8">
        <v>0.79</v>
      </c>
      <c r="I342" s="8">
        <v>0.89</v>
      </c>
      <c r="J342" s="5" t="str">
        <f>IF(G342&lt;720,"Potential bottleneck","OK")</f>
        <v>OK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x14ac:dyDescent="0.2">
      <c r="A343" s="5" t="s">
        <v>209</v>
      </c>
      <c r="B343" s="5" t="s">
        <v>297</v>
      </c>
      <c r="C343" s="5" t="s">
        <v>200</v>
      </c>
      <c r="D343" s="5">
        <v>5</v>
      </c>
      <c r="E343" s="5">
        <v>3</v>
      </c>
      <c r="F343" s="5">
        <v>2</v>
      </c>
      <c r="G343" s="11">
        <f>E343*8*60*H343*I343</f>
        <v>1012.4640000000002</v>
      </c>
      <c r="H343" s="8">
        <v>0.79</v>
      </c>
      <c r="I343" s="8">
        <v>0.89</v>
      </c>
      <c r="J343" s="5" t="str">
        <f>IF(G343&lt;720,"Potential bottleneck","OK")</f>
        <v>OK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x14ac:dyDescent="0.2">
      <c r="A344" s="5" t="s">
        <v>209</v>
      </c>
      <c r="B344" s="5" t="s">
        <v>292</v>
      </c>
      <c r="C344" s="5" t="s">
        <v>200</v>
      </c>
      <c r="D344" s="5">
        <v>5</v>
      </c>
      <c r="E344" s="5">
        <v>5</v>
      </c>
      <c r="F344" s="5">
        <v>5</v>
      </c>
      <c r="G344" s="11">
        <f>E344*8*60*H344*I344</f>
        <v>1687.44</v>
      </c>
      <c r="H344" s="8">
        <v>0.79</v>
      </c>
      <c r="I344" s="8">
        <v>0.89</v>
      </c>
      <c r="J344" s="5" t="str">
        <f>IF(G344&lt;720,"Potential bottleneck","OK")</f>
        <v>OK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x14ac:dyDescent="0.2">
      <c r="A345" s="5" t="s">
        <v>209</v>
      </c>
      <c r="B345" s="5" t="s">
        <v>299</v>
      </c>
      <c r="C345" s="5" t="s">
        <v>200</v>
      </c>
      <c r="D345" s="5">
        <v>6</v>
      </c>
      <c r="E345" s="5">
        <v>6</v>
      </c>
      <c r="F345" s="5">
        <v>6</v>
      </c>
      <c r="G345" s="11">
        <f>E345*8*60*H345*I345</f>
        <v>2024.9280000000003</v>
      </c>
      <c r="H345" s="8">
        <v>0.79</v>
      </c>
      <c r="I345" s="8">
        <v>0.89</v>
      </c>
      <c r="J345" s="5" t="str">
        <f>IF(G345&lt;720,"Potential bottleneck","OK")</f>
        <v>OK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x14ac:dyDescent="0.2">
      <c r="A346" s="5" t="s">
        <v>209</v>
      </c>
      <c r="B346" s="5" t="s">
        <v>293</v>
      </c>
      <c r="C346" s="5" t="s">
        <v>200</v>
      </c>
      <c r="D346" s="5">
        <v>4</v>
      </c>
      <c r="E346" s="5">
        <v>4</v>
      </c>
      <c r="F346" s="5">
        <v>3</v>
      </c>
      <c r="G346" s="11">
        <f>E346*8*60*H346*I346</f>
        <v>1349.9520000000002</v>
      </c>
      <c r="H346" s="8">
        <v>0.79</v>
      </c>
      <c r="I346" s="8">
        <v>0.89</v>
      </c>
      <c r="J346" s="5" t="str">
        <f>IF(G346&lt;720,"Potential bottleneck","OK")</f>
        <v>OK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x14ac:dyDescent="0.2">
      <c r="A347" s="5" t="s">
        <v>209</v>
      </c>
      <c r="B347" s="5" t="s">
        <v>289</v>
      </c>
      <c r="C347" s="5" t="s">
        <v>200</v>
      </c>
      <c r="D347" s="5">
        <v>3</v>
      </c>
      <c r="E347" s="5">
        <v>1</v>
      </c>
      <c r="F347" s="5">
        <v>1</v>
      </c>
      <c r="G347" s="11">
        <f>E347*8*60*H347*I347</f>
        <v>337.48800000000006</v>
      </c>
      <c r="H347" s="8">
        <v>0.79</v>
      </c>
      <c r="I347" s="8">
        <v>0.89</v>
      </c>
      <c r="J347" s="5" t="str">
        <f>IF(G347&lt;720,"Potential bottleneck","OK")</f>
        <v>Potential bottleneck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x14ac:dyDescent="0.2">
      <c r="A348" s="5" t="s">
        <v>209</v>
      </c>
      <c r="B348" s="5" t="s">
        <v>286</v>
      </c>
      <c r="C348" s="5" t="s">
        <v>200</v>
      </c>
      <c r="D348" s="5">
        <v>3</v>
      </c>
      <c r="E348" s="5">
        <v>2</v>
      </c>
      <c r="F348" s="5">
        <v>1</v>
      </c>
      <c r="G348" s="11">
        <f>E348*8*60*H348*I348</f>
        <v>674.97600000000011</v>
      </c>
      <c r="H348" s="8">
        <v>0.79</v>
      </c>
      <c r="I348" s="8">
        <v>0.89</v>
      </c>
      <c r="J348" s="5" t="str">
        <f>IF(G348&lt;720,"Potential bottleneck","OK")</f>
        <v>Potential bottleneck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x14ac:dyDescent="0.2">
      <c r="A349" s="5" t="s">
        <v>209</v>
      </c>
      <c r="B349" s="5" t="s">
        <v>278</v>
      </c>
      <c r="C349" s="5" t="s">
        <v>200</v>
      </c>
      <c r="D349" s="5">
        <v>6</v>
      </c>
      <c r="E349" s="5">
        <v>4</v>
      </c>
      <c r="F349" s="5">
        <v>4</v>
      </c>
      <c r="G349" s="11">
        <f>E349*8*60*H349*I349</f>
        <v>1349.9520000000002</v>
      </c>
      <c r="H349" s="8">
        <v>0.79</v>
      </c>
      <c r="I349" s="8">
        <v>0.89</v>
      </c>
      <c r="J349" s="5" t="str">
        <f>IF(G349&lt;720,"Potential bottleneck","OK")</f>
        <v>OK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x14ac:dyDescent="0.2">
      <c r="A350" s="5" t="s">
        <v>209</v>
      </c>
      <c r="B350" s="5" t="s">
        <v>269</v>
      </c>
      <c r="C350" s="5" t="s">
        <v>200</v>
      </c>
      <c r="D350" s="5">
        <v>6</v>
      </c>
      <c r="E350" s="5">
        <v>6</v>
      </c>
      <c r="F350" s="5">
        <v>5</v>
      </c>
      <c r="G350" s="11">
        <f>E350*8*60*H350*I350</f>
        <v>2024.9280000000003</v>
      </c>
      <c r="H350" s="8">
        <v>0.79</v>
      </c>
      <c r="I350" s="8">
        <v>0.89</v>
      </c>
      <c r="J350" s="5" t="str">
        <f>IF(G350&lt;720,"Potential bottleneck","OK")</f>
        <v>OK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x14ac:dyDescent="0.2">
      <c r="A351" s="5" t="s">
        <v>209</v>
      </c>
      <c r="B351" s="5" t="s">
        <v>280</v>
      </c>
      <c r="C351" s="5" t="s">
        <v>200</v>
      </c>
      <c r="D351" s="5">
        <v>8</v>
      </c>
      <c r="E351" s="5">
        <v>6</v>
      </c>
      <c r="F351" s="5">
        <v>5</v>
      </c>
      <c r="G351" s="11">
        <f>E351*8*60*H351*I351</f>
        <v>2024.9280000000003</v>
      </c>
      <c r="H351" s="8">
        <v>0.79</v>
      </c>
      <c r="I351" s="8">
        <v>0.89</v>
      </c>
      <c r="J351" s="5" t="str">
        <f>IF(G351&lt;720,"Potential bottleneck","OK")</f>
        <v>OK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x14ac:dyDescent="0.2">
      <c r="A352" s="5" t="s">
        <v>209</v>
      </c>
      <c r="B352" s="5" t="s">
        <v>281</v>
      </c>
      <c r="C352" s="5" t="s">
        <v>200</v>
      </c>
      <c r="D352" s="5">
        <v>6</v>
      </c>
      <c r="E352" s="5">
        <v>6</v>
      </c>
      <c r="F352" s="5">
        <v>5</v>
      </c>
      <c r="G352" s="11">
        <f>E352*8*60*H352*I352</f>
        <v>2024.9280000000003</v>
      </c>
      <c r="H352" s="8">
        <v>0.79</v>
      </c>
      <c r="I352" s="8">
        <v>0.89</v>
      </c>
      <c r="J352" s="5" t="str">
        <f>IF(G352&lt;720,"Potential bottleneck","OK")</f>
        <v>OK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x14ac:dyDescent="0.2">
      <c r="A353" s="5" t="s">
        <v>209</v>
      </c>
      <c r="B353" s="5" t="s">
        <v>272</v>
      </c>
      <c r="C353" s="5" t="s">
        <v>273</v>
      </c>
      <c r="D353" s="5">
        <v>2</v>
      </c>
      <c r="E353" s="5">
        <v>1</v>
      </c>
      <c r="F353" s="5">
        <v>0</v>
      </c>
      <c r="G353" s="11">
        <f>E353*8*60*H353*I353</f>
        <v>337.48800000000006</v>
      </c>
      <c r="H353" s="8">
        <v>0.79</v>
      </c>
      <c r="I353" s="8">
        <v>0.89</v>
      </c>
      <c r="J353" s="5" t="str">
        <f>IF(G353&lt;720,"Potential bottleneck","OK")</f>
        <v>Potential bottleneck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x14ac:dyDescent="0.2">
      <c r="A354" s="5" t="s">
        <v>209</v>
      </c>
      <c r="B354" s="5" t="s">
        <v>301</v>
      </c>
      <c r="C354" s="5" t="s">
        <v>200</v>
      </c>
      <c r="D354" s="5">
        <v>2</v>
      </c>
      <c r="E354" s="5">
        <v>1</v>
      </c>
      <c r="F354" s="5">
        <v>1</v>
      </c>
      <c r="G354" s="11">
        <f>E354*8*60*H354*I354</f>
        <v>337.48800000000006</v>
      </c>
      <c r="H354" s="8">
        <v>0.79</v>
      </c>
      <c r="I354" s="8">
        <v>0.89</v>
      </c>
      <c r="J354" s="5" t="str">
        <f>IF(G354&lt;720,"Potential bottleneck","OK")</f>
        <v>Potential bottleneck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x14ac:dyDescent="0.2">
      <c r="A355" s="5" t="s">
        <v>209</v>
      </c>
      <c r="B355" s="5" t="s">
        <v>290</v>
      </c>
      <c r="C355" s="5" t="s">
        <v>200</v>
      </c>
      <c r="D355" s="5">
        <v>4</v>
      </c>
      <c r="E355" s="5">
        <v>4</v>
      </c>
      <c r="F355" s="5">
        <v>3</v>
      </c>
      <c r="G355" s="11">
        <f>E355*8*60*H355*I355</f>
        <v>1349.9520000000002</v>
      </c>
      <c r="H355" s="8">
        <v>0.79</v>
      </c>
      <c r="I355" s="8">
        <v>0.89</v>
      </c>
      <c r="J355" s="5" t="str">
        <f>IF(G355&lt;720,"Potential bottleneck","OK")</f>
        <v>OK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x14ac:dyDescent="0.2">
      <c r="A356" s="5" t="s">
        <v>209</v>
      </c>
      <c r="B356" s="5" t="s">
        <v>296</v>
      </c>
      <c r="C356" s="5" t="s">
        <v>200</v>
      </c>
      <c r="D356" s="5">
        <v>4</v>
      </c>
      <c r="E356" s="5">
        <v>3</v>
      </c>
      <c r="F356" s="5">
        <v>3</v>
      </c>
      <c r="G356" s="11">
        <f>E356*8*60*H356*I356</f>
        <v>1012.4640000000002</v>
      </c>
      <c r="H356" s="8">
        <v>0.79</v>
      </c>
      <c r="I356" s="8">
        <v>0.89</v>
      </c>
      <c r="J356" s="5" t="str">
        <f>IF(G356&lt;720,"Potential bottleneck","OK")</f>
        <v>OK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x14ac:dyDescent="0.2">
      <c r="A357" s="5" t="s">
        <v>209</v>
      </c>
      <c r="B357" s="5" t="s">
        <v>282</v>
      </c>
      <c r="C357" s="5" t="s">
        <v>200</v>
      </c>
      <c r="D357" s="5">
        <v>5</v>
      </c>
      <c r="E357" s="5">
        <v>5</v>
      </c>
      <c r="F357" s="5">
        <v>5</v>
      </c>
      <c r="G357" s="11">
        <f>E357*8*60*H357*I357</f>
        <v>1687.44</v>
      </c>
      <c r="H357" s="8">
        <v>0.79</v>
      </c>
      <c r="I357" s="8">
        <v>0.89</v>
      </c>
      <c r="J357" s="5" t="str">
        <f>IF(G357&lt;720,"Potential bottleneck","OK")</f>
        <v>OK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x14ac:dyDescent="0.2">
      <c r="A358" s="5" t="s">
        <v>209</v>
      </c>
      <c r="B358" s="5" t="s">
        <v>300</v>
      </c>
      <c r="C358" s="5" t="s">
        <v>200</v>
      </c>
      <c r="D358" s="5">
        <v>3</v>
      </c>
      <c r="E358" s="5">
        <v>1</v>
      </c>
      <c r="F358" s="5">
        <v>1</v>
      </c>
      <c r="G358" s="11">
        <f>E358*8*60*H358*I358</f>
        <v>337.48800000000006</v>
      </c>
      <c r="H358" s="8">
        <v>0.79</v>
      </c>
      <c r="I358" s="8">
        <v>0.89</v>
      </c>
      <c r="J358" s="5" t="str">
        <f>IF(G358&lt;720,"Potential bottleneck","OK")</f>
        <v>Potential bottleneck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x14ac:dyDescent="0.2">
      <c r="A359" s="5" t="s">
        <v>209</v>
      </c>
      <c r="B359" s="5" t="s">
        <v>302</v>
      </c>
      <c r="C359" s="5" t="s">
        <v>200</v>
      </c>
      <c r="D359" s="5">
        <v>8</v>
      </c>
      <c r="E359" s="5">
        <v>6</v>
      </c>
      <c r="F359" s="5">
        <v>5</v>
      </c>
      <c r="G359" s="11">
        <f>E359*8*60*H359*I359</f>
        <v>2024.9280000000003</v>
      </c>
      <c r="H359" s="8">
        <v>0.79</v>
      </c>
      <c r="I359" s="8">
        <v>0.89</v>
      </c>
      <c r="J359" s="5" t="str">
        <f>IF(G359&lt;720,"Potential bottleneck","OK")</f>
        <v>OK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x14ac:dyDescent="0.2">
      <c r="A360" s="5" t="s">
        <v>209</v>
      </c>
      <c r="B360" s="5" t="s">
        <v>295</v>
      </c>
      <c r="C360" s="5" t="s">
        <v>200</v>
      </c>
      <c r="D360" s="5">
        <v>3</v>
      </c>
      <c r="E360" s="5">
        <v>1</v>
      </c>
      <c r="F360" s="5">
        <v>1</v>
      </c>
      <c r="G360" s="11">
        <f>E360*8*60*H360*I360</f>
        <v>337.48800000000006</v>
      </c>
      <c r="H360" s="8">
        <v>0.79</v>
      </c>
      <c r="I360" s="8">
        <v>0.89</v>
      </c>
      <c r="J360" s="5" t="str">
        <f>IF(G360&lt;720,"Potential bottleneck","OK")</f>
        <v>Potential bottleneck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x14ac:dyDescent="0.2">
      <c r="A361" s="5" t="s">
        <v>209</v>
      </c>
      <c r="B361" s="5" t="s">
        <v>304</v>
      </c>
      <c r="C361" s="5" t="s">
        <v>200</v>
      </c>
      <c r="D361" s="5">
        <v>8</v>
      </c>
      <c r="E361" s="5">
        <v>8</v>
      </c>
      <c r="F361" s="5">
        <v>8</v>
      </c>
      <c r="G361" s="11">
        <f>E361*8*60*H361*I361</f>
        <v>2699.9040000000005</v>
      </c>
      <c r="H361" s="8">
        <v>0.79</v>
      </c>
      <c r="I361" s="8">
        <v>0.89</v>
      </c>
      <c r="J361" s="5" t="str">
        <f>IF(G361&lt;720,"Potential bottleneck","OK")</f>
        <v>OK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x14ac:dyDescent="0.2">
      <c r="A362" s="5" t="s">
        <v>209</v>
      </c>
      <c r="B362" s="5" t="s">
        <v>303</v>
      </c>
      <c r="C362" s="5" t="s">
        <v>200</v>
      </c>
      <c r="D362" s="5">
        <v>8</v>
      </c>
      <c r="E362" s="5">
        <v>8</v>
      </c>
      <c r="F362" s="5">
        <v>7</v>
      </c>
      <c r="G362" s="11">
        <f>E362*8*60*H362*I362</f>
        <v>2699.9040000000005</v>
      </c>
      <c r="H362" s="8">
        <v>0.79</v>
      </c>
      <c r="I362" s="8">
        <v>0.89</v>
      </c>
      <c r="J362" s="5" t="str">
        <f>IF(G362&lt;720,"Potential bottleneck","OK")</f>
        <v>OK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x14ac:dyDescent="0.2">
      <c r="A363" s="5" t="s">
        <v>209</v>
      </c>
      <c r="B363" s="5" t="s">
        <v>268</v>
      </c>
      <c r="C363" s="5" t="s">
        <v>200</v>
      </c>
      <c r="D363" s="5">
        <v>6</v>
      </c>
      <c r="E363" s="5">
        <v>5</v>
      </c>
      <c r="F363" s="5">
        <v>5</v>
      </c>
      <c r="G363" s="11">
        <f>E363*8*60*H363*I363</f>
        <v>1687.44</v>
      </c>
      <c r="H363" s="8">
        <v>0.79</v>
      </c>
      <c r="I363" s="8">
        <v>0.89</v>
      </c>
      <c r="J363" s="5" t="str">
        <f>IF(G363&lt;720,"Potential bottleneck","OK")</f>
        <v>OK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x14ac:dyDescent="0.2">
      <c r="A364" s="5" t="s">
        <v>209</v>
      </c>
      <c r="B364" s="5" t="s">
        <v>291</v>
      </c>
      <c r="C364" s="5" t="s">
        <v>200</v>
      </c>
      <c r="D364" s="5">
        <v>4</v>
      </c>
      <c r="E364" s="5">
        <v>2</v>
      </c>
      <c r="F364" s="5">
        <v>1</v>
      </c>
      <c r="G364" s="11">
        <f>E364*8*60*H364*I364</f>
        <v>674.97600000000011</v>
      </c>
      <c r="H364" s="8">
        <v>0.79</v>
      </c>
      <c r="I364" s="8">
        <v>0.89</v>
      </c>
      <c r="J364" s="5" t="str">
        <f>IF(G364&lt;720,"Potential bottleneck","OK")</f>
        <v>Potential bottleneck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x14ac:dyDescent="0.2">
      <c r="A365" s="5" t="s">
        <v>209</v>
      </c>
      <c r="B365" s="5" t="s">
        <v>276</v>
      </c>
      <c r="C365" s="5" t="s">
        <v>200</v>
      </c>
      <c r="D365" s="5">
        <v>4</v>
      </c>
      <c r="E365" s="5">
        <v>2</v>
      </c>
      <c r="F365" s="5">
        <v>1</v>
      </c>
      <c r="G365" s="11">
        <f>E365*8*60*H365*I365</f>
        <v>674.97600000000011</v>
      </c>
      <c r="H365" s="8">
        <v>0.79</v>
      </c>
      <c r="I365" s="8">
        <v>0.89</v>
      </c>
      <c r="J365" s="5" t="str">
        <f>IF(G365&lt;720,"Potential bottleneck","OK")</f>
        <v>Potential bottleneck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x14ac:dyDescent="0.2">
      <c r="A366" s="5" t="s">
        <v>209</v>
      </c>
      <c r="B366" s="5" t="s">
        <v>305</v>
      </c>
      <c r="C366" s="5" t="s">
        <v>200</v>
      </c>
      <c r="D366" s="5">
        <v>8</v>
      </c>
      <c r="E366" s="5">
        <v>6</v>
      </c>
      <c r="F366" s="5">
        <v>6</v>
      </c>
      <c r="G366" s="11">
        <f>E366*8*60*H366*I366</f>
        <v>2024.9280000000003</v>
      </c>
      <c r="H366" s="8">
        <v>0.79</v>
      </c>
      <c r="I366" s="8">
        <v>0.89</v>
      </c>
      <c r="J366" s="5" t="str">
        <f>IF(G366&lt;720,"Potential bottleneck","OK")</f>
        <v>OK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x14ac:dyDescent="0.2">
      <c r="A367" s="5" t="s">
        <v>209</v>
      </c>
      <c r="B367" s="5" t="s">
        <v>274</v>
      </c>
      <c r="C367" s="5" t="s">
        <v>238</v>
      </c>
      <c r="D367" s="5">
        <v>2</v>
      </c>
      <c r="E367" s="5">
        <v>1</v>
      </c>
      <c r="F367" s="5">
        <v>1</v>
      </c>
      <c r="G367" s="11">
        <f>E367*8*60*H367*I367</f>
        <v>337.48800000000006</v>
      </c>
      <c r="H367" s="8">
        <v>0.79</v>
      </c>
      <c r="I367" s="8">
        <v>0.89</v>
      </c>
      <c r="J367" s="5" t="str">
        <f>IF(G367&lt;720,"Potential bottleneck","OK")</f>
        <v>Potential bottleneck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x14ac:dyDescent="0.2">
      <c r="A368" s="5" t="s">
        <v>209</v>
      </c>
      <c r="B368" s="5" t="s">
        <v>294</v>
      </c>
      <c r="C368" s="5" t="s">
        <v>200</v>
      </c>
      <c r="D368" s="5">
        <v>4</v>
      </c>
      <c r="E368" s="5">
        <v>2</v>
      </c>
      <c r="F368" s="5">
        <v>2</v>
      </c>
      <c r="G368" s="11">
        <f>E368*8*60*H368*I368</f>
        <v>674.97600000000011</v>
      </c>
      <c r="H368" s="8">
        <v>0.79</v>
      </c>
      <c r="I368" s="8">
        <v>0.89</v>
      </c>
      <c r="J368" s="5" t="str">
        <f>IF(G368&lt;720,"Potential bottleneck","OK")</f>
        <v>Potential bottleneck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x14ac:dyDescent="0.2">
      <c r="A369" s="5" t="s">
        <v>209</v>
      </c>
      <c r="B369" s="5" t="s">
        <v>285</v>
      </c>
      <c r="C369" s="5" t="s">
        <v>200</v>
      </c>
      <c r="D369" s="5">
        <v>7</v>
      </c>
      <c r="E369" s="5">
        <v>7</v>
      </c>
      <c r="F369" s="5">
        <v>7</v>
      </c>
      <c r="G369" s="11">
        <f>E369*8*60*H369*I369</f>
        <v>2362.4160000000002</v>
      </c>
      <c r="H369" s="8">
        <v>0.79</v>
      </c>
      <c r="I369" s="8">
        <v>0.89</v>
      </c>
      <c r="J369" s="5" t="str">
        <f>IF(G369&lt;720,"Potential bottleneck","OK")</f>
        <v>OK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x14ac:dyDescent="0.2">
      <c r="A370" s="5" t="s">
        <v>209</v>
      </c>
      <c r="B370" s="5" t="s">
        <v>277</v>
      </c>
      <c r="C370" s="5" t="s">
        <v>238</v>
      </c>
      <c r="D370" s="5">
        <v>2</v>
      </c>
      <c r="E370" s="5">
        <v>1</v>
      </c>
      <c r="F370" s="5">
        <v>1</v>
      </c>
      <c r="G370" s="11">
        <f>E370*8*60*H370*I370</f>
        <v>337.48800000000006</v>
      </c>
      <c r="H370" s="8">
        <v>0.79</v>
      </c>
      <c r="I370" s="8">
        <v>0.89</v>
      </c>
      <c r="J370" s="5" t="str">
        <f>IF(G370&lt;720,"Potential bottleneck","OK")</f>
        <v>Potential bottleneck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x14ac:dyDescent="0.2">
      <c r="A371" s="5" t="s">
        <v>209</v>
      </c>
      <c r="B371" s="5" t="s">
        <v>271</v>
      </c>
      <c r="C371" s="5" t="s">
        <v>238</v>
      </c>
      <c r="D371" s="5">
        <v>2</v>
      </c>
      <c r="E371" s="5">
        <v>1</v>
      </c>
      <c r="F371" s="5">
        <v>1</v>
      </c>
      <c r="G371" s="11">
        <f>E371*8*60*H371*I371</f>
        <v>337.48800000000006</v>
      </c>
      <c r="H371" s="8">
        <v>0.79</v>
      </c>
      <c r="I371" s="8">
        <v>0.89</v>
      </c>
      <c r="J371" s="5" t="str">
        <f>IF(G371&lt;720,"Potential bottleneck","OK")</f>
        <v>Potential bottleneck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x14ac:dyDescent="0.2">
      <c r="A372" s="5" t="s">
        <v>209</v>
      </c>
      <c r="B372" s="5" t="s">
        <v>287</v>
      </c>
      <c r="C372" s="5" t="s">
        <v>238</v>
      </c>
      <c r="D372" s="5">
        <v>4</v>
      </c>
      <c r="E372" s="5">
        <v>4</v>
      </c>
      <c r="F372" s="5">
        <v>3</v>
      </c>
      <c r="G372" s="11">
        <f>E372*8*60*H372*I372</f>
        <v>1349.9520000000002</v>
      </c>
      <c r="H372" s="8">
        <v>0.79</v>
      </c>
      <c r="I372" s="8">
        <v>0.89</v>
      </c>
      <c r="J372" s="5" t="str">
        <f>IF(G372&lt;720,"Potential bottleneck","OK")</f>
        <v>OK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x14ac:dyDescent="0.2">
      <c r="A373" s="5" t="s">
        <v>209</v>
      </c>
      <c r="B373" s="5" t="s">
        <v>264</v>
      </c>
      <c r="C373" s="5" t="s">
        <v>197</v>
      </c>
      <c r="D373" s="5">
        <v>4</v>
      </c>
      <c r="E373" s="5">
        <v>3</v>
      </c>
      <c r="F373" s="5">
        <v>2</v>
      </c>
      <c r="G373" s="11">
        <f>E373*8*60*H373*I373</f>
        <v>1012.4640000000002</v>
      </c>
      <c r="H373" s="8">
        <v>0.79</v>
      </c>
      <c r="I373" s="8">
        <v>0.89</v>
      </c>
      <c r="J373" s="5" t="str">
        <f>IF(G373&lt;720,"Potential bottleneck","OK")</f>
        <v>OK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x14ac:dyDescent="0.2">
      <c r="A374" s="5" t="s">
        <v>209</v>
      </c>
      <c r="B374" s="5" t="s">
        <v>288</v>
      </c>
      <c r="C374" s="5" t="s">
        <v>200</v>
      </c>
      <c r="D374" s="5">
        <v>2</v>
      </c>
      <c r="E374" s="5">
        <v>1</v>
      </c>
      <c r="F374" s="5">
        <v>1</v>
      </c>
      <c r="G374" s="11">
        <f>E374*8*60*H374*I374</f>
        <v>337.48800000000006</v>
      </c>
      <c r="H374" s="8">
        <v>0.79</v>
      </c>
      <c r="I374" s="8">
        <v>0.89</v>
      </c>
      <c r="J374" s="5" t="str">
        <f>IF(G374&lt;720,"Potential bottleneck","OK")</f>
        <v>Potential bottleneck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</sheetData>
  <conditionalFormatting sqref="J2:J374">
    <cfRule type="expression" dxfId="2" priority="1">
      <formula>J2="Potential bottleneck"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641"/>
  <sheetViews>
    <sheetView tabSelected="1" zoomScaleNormal="150" zoomScaleSheetLayoutView="100" workbookViewId="0"/>
  </sheetViews>
  <sheetFormatPr defaultRowHeight="15" x14ac:dyDescent="0.2"/>
  <cols>
    <col min="1" max="1" width="9.55078125" customWidth="1"/>
    <col min="2" max="2" width="9.68359375" customWidth="1"/>
    <col min="3" max="3" width="27.98046875" customWidth="1"/>
    <col min="4" max="4" width="13.98828125" customWidth="1"/>
    <col min="5" max="5" width="12.23828125" customWidth="1"/>
    <col min="6" max="6" width="11.703125" customWidth="1"/>
    <col min="7" max="7" width="27.98046875" customWidth="1"/>
    <col min="8" max="8" width="12.77734375" customWidth="1"/>
  </cols>
  <sheetData>
    <row r="1" spans="1:23" ht="27.95" customHeight="1" x14ac:dyDescent="0.2">
      <c r="A1" s="4" t="s">
        <v>403</v>
      </c>
      <c r="B1" s="4" t="s">
        <v>137</v>
      </c>
      <c r="C1" s="4" t="s">
        <v>404</v>
      </c>
      <c r="D1" s="4" t="s">
        <v>405</v>
      </c>
      <c r="E1" s="4" t="s">
        <v>406</v>
      </c>
      <c r="F1" s="4" t="s">
        <v>407</v>
      </c>
      <c r="G1" s="4" t="s">
        <v>146</v>
      </c>
      <c r="H1" s="4" t="s">
        <v>408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5" t="s">
        <v>409</v>
      </c>
      <c r="B2" s="5" t="s">
        <v>153</v>
      </c>
      <c r="C2" s="5" t="s">
        <v>410</v>
      </c>
      <c r="D2" s="7">
        <v>46144</v>
      </c>
      <c r="E2" s="7">
        <v>46144</v>
      </c>
      <c r="F2" s="10">
        <f>IF(E2="","",E2-D2)</f>
        <v>0</v>
      </c>
      <c r="G2" s="5" t="str">
        <f>IF(E2="","Open",IF(F2&gt;0,"Delayed","Done"))</f>
        <v>Done</v>
      </c>
      <c r="H2" s="5" t="s">
        <v>321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">
      <c r="A3" s="5" t="s">
        <v>411</v>
      </c>
      <c r="B3" s="5" t="s">
        <v>153</v>
      </c>
      <c r="C3" s="5" t="s">
        <v>412</v>
      </c>
      <c r="D3" s="7">
        <v>46147</v>
      </c>
      <c r="E3" s="7"/>
      <c r="F3" s="10" t="str">
        <f>IF(E3="","",E3-D3)</f>
        <v/>
      </c>
      <c r="G3" s="5" t="str">
        <f>IF(E3="","Open",IF(F3&gt;0,"Delayed","Done"))</f>
        <v>Open</v>
      </c>
      <c r="H3" s="5" t="s">
        <v>321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x14ac:dyDescent="0.2">
      <c r="A4" s="5" t="s">
        <v>413</v>
      </c>
      <c r="B4" s="5" t="s">
        <v>153</v>
      </c>
      <c r="C4" s="5" t="s">
        <v>414</v>
      </c>
      <c r="D4" s="7">
        <v>46149</v>
      </c>
      <c r="E4" s="7"/>
      <c r="F4" s="10" t="str">
        <f>IF(E4="","",E4-D4)</f>
        <v/>
      </c>
      <c r="G4" s="5" t="str">
        <f>IF(E4="","Open",IF(F4&gt;0,"Delayed","Done"))</f>
        <v>Open</v>
      </c>
      <c r="H4" s="5" t="s">
        <v>321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2">
      <c r="A5" s="5" t="s">
        <v>415</v>
      </c>
      <c r="B5" s="5" t="s">
        <v>153</v>
      </c>
      <c r="C5" s="5" t="s">
        <v>416</v>
      </c>
      <c r="D5" s="7">
        <v>46151</v>
      </c>
      <c r="E5" s="7">
        <v>46154</v>
      </c>
      <c r="F5" s="10">
        <f>IF(E5="","",E5-D5)</f>
        <v>3</v>
      </c>
      <c r="G5" s="5" t="str">
        <f>IF(E5="","Open",IF(F5&gt;0,"Delayed","Done"))</f>
        <v>Delayed</v>
      </c>
      <c r="H5" s="5" t="s">
        <v>321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2">
      <c r="A6" s="5" t="s">
        <v>417</v>
      </c>
      <c r="B6" s="5" t="s">
        <v>153</v>
      </c>
      <c r="C6" s="5" t="s">
        <v>418</v>
      </c>
      <c r="D6" s="7">
        <v>46155</v>
      </c>
      <c r="E6" s="7">
        <v>46153</v>
      </c>
      <c r="F6" s="10">
        <f>IF(E6="","",E6-D6)</f>
        <v>-2</v>
      </c>
      <c r="G6" s="5" t="str">
        <f>IF(E6="","Open",IF(F6&gt;0,"Delayed","Done"))</f>
        <v>Done</v>
      </c>
      <c r="H6" s="5" t="s">
        <v>321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">
      <c r="A7" s="5" t="s">
        <v>419</v>
      </c>
      <c r="B7" s="5" t="s">
        <v>153</v>
      </c>
      <c r="C7" s="5" t="s">
        <v>420</v>
      </c>
      <c r="D7" s="7">
        <v>46161</v>
      </c>
      <c r="E7" s="7"/>
      <c r="F7" s="10" t="str">
        <f>IF(E7="","",E7-D7)</f>
        <v/>
      </c>
      <c r="G7" s="5" t="str">
        <f>IF(E7="","Open",IF(F7&gt;0,"Delayed","Done"))</f>
        <v>Open</v>
      </c>
      <c r="H7" s="5" t="s">
        <v>321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2">
      <c r="A8" s="5" t="s">
        <v>421</v>
      </c>
      <c r="B8" s="5" t="s">
        <v>153</v>
      </c>
      <c r="C8" s="5" t="s">
        <v>422</v>
      </c>
      <c r="D8" s="7">
        <v>46165</v>
      </c>
      <c r="E8" s="7"/>
      <c r="F8" s="10" t="str">
        <f>IF(E8="","",E8-D8)</f>
        <v/>
      </c>
      <c r="G8" s="5" t="str">
        <f>IF(E8="","Open",IF(F8&gt;0,"Delayed","Done"))</f>
        <v>Open</v>
      </c>
      <c r="H8" s="5" t="s">
        <v>321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2">
      <c r="A9" s="5" t="s">
        <v>423</v>
      </c>
      <c r="B9" s="5" t="s">
        <v>153</v>
      </c>
      <c r="C9" s="5" t="s">
        <v>424</v>
      </c>
      <c r="D9" s="7">
        <v>46171</v>
      </c>
      <c r="E9" s="7">
        <v>46174</v>
      </c>
      <c r="F9" s="10">
        <f>IF(E9="","",E9-D9)</f>
        <v>3</v>
      </c>
      <c r="G9" s="5" t="str">
        <f>IF(E9="","Open",IF(F9&gt;0,"Delayed","Done"))</f>
        <v>Delayed</v>
      </c>
      <c r="H9" s="5" t="s">
        <v>326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2">
      <c r="A10" s="5" t="s">
        <v>425</v>
      </c>
      <c r="B10" s="5" t="s">
        <v>153</v>
      </c>
      <c r="C10" s="5" t="s">
        <v>426</v>
      </c>
      <c r="D10" s="7">
        <v>46173</v>
      </c>
      <c r="E10" s="7">
        <v>46174</v>
      </c>
      <c r="F10" s="10">
        <f>IF(E10="","",E10-D10)</f>
        <v>1</v>
      </c>
      <c r="G10" s="5" t="str">
        <f>IF(E10="","Open",IF(F10&gt;0,"Delayed","Done"))</f>
        <v>Delayed</v>
      </c>
      <c r="H10" s="5" t="s">
        <v>326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">
      <c r="A11" s="5" t="s">
        <v>427</v>
      </c>
      <c r="B11" s="5" t="s">
        <v>153</v>
      </c>
      <c r="C11" s="5" t="s">
        <v>428</v>
      </c>
      <c r="D11" s="7">
        <v>46175</v>
      </c>
      <c r="E11" s="7"/>
      <c r="F11" s="10" t="str">
        <f>IF(E11="","",E11-D11)</f>
        <v/>
      </c>
      <c r="G11" s="5" t="str">
        <f>IF(E11="","Open",IF(F11&gt;0,"Delayed","Done"))</f>
        <v>Open</v>
      </c>
      <c r="H11" s="5" t="s">
        <v>326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">
      <c r="A12" s="5" t="s">
        <v>429</v>
      </c>
      <c r="B12" s="5" t="s">
        <v>153</v>
      </c>
      <c r="C12" s="5" t="s">
        <v>430</v>
      </c>
      <c r="D12" s="7">
        <v>46178</v>
      </c>
      <c r="E12" s="7"/>
      <c r="F12" s="10" t="str">
        <f>IF(E12="","",E12-D12)</f>
        <v/>
      </c>
      <c r="G12" s="5" t="str">
        <f>IF(E12="","Open",IF(F12&gt;0,"Delayed","Done"))</f>
        <v>Open</v>
      </c>
      <c r="H12" s="5" t="s">
        <v>326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2">
      <c r="A13" s="5" t="s">
        <v>431</v>
      </c>
      <c r="B13" s="5" t="s">
        <v>153</v>
      </c>
      <c r="C13" s="5" t="s">
        <v>432</v>
      </c>
      <c r="D13" s="7">
        <v>46182</v>
      </c>
      <c r="E13" s="7">
        <v>46184</v>
      </c>
      <c r="F13" s="10">
        <f>IF(E13="","",E13-D13)</f>
        <v>2</v>
      </c>
      <c r="G13" s="5" t="str">
        <f>IF(E13="","Open",IF(F13&gt;0,"Delayed","Done"))</f>
        <v>Delayed</v>
      </c>
      <c r="H13" s="5" t="s">
        <v>321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2">
      <c r="A14" s="5" t="s">
        <v>433</v>
      </c>
      <c r="B14" s="5" t="s">
        <v>153</v>
      </c>
      <c r="C14" s="5" t="s">
        <v>434</v>
      </c>
      <c r="D14" s="7">
        <v>46184</v>
      </c>
      <c r="E14" s="7"/>
      <c r="F14" s="10" t="str">
        <f>IF(E14="","",E14-D14)</f>
        <v/>
      </c>
      <c r="G14" s="5" t="str">
        <f>IF(E14="","Open",IF(F14&gt;0,"Delayed","Done"))</f>
        <v>Open</v>
      </c>
      <c r="H14" s="5" t="s">
        <v>321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2">
      <c r="A15" s="5" t="s">
        <v>435</v>
      </c>
      <c r="B15" s="5" t="s">
        <v>153</v>
      </c>
      <c r="C15" s="5" t="s">
        <v>436</v>
      </c>
      <c r="D15" s="7">
        <v>46186</v>
      </c>
      <c r="E15" s="7">
        <v>46187</v>
      </c>
      <c r="F15" s="10">
        <f>IF(E15="","",E15-D15)</f>
        <v>1</v>
      </c>
      <c r="G15" s="5" t="str">
        <f>IF(E15="","Open",IF(F15&gt;0,"Delayed","Done"))</f>
        <v>Delayed</v>
      </c>
      <c r="H15" s="5" t="s">
        <v>326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">
      <c r="A16" s="5" t="s">
        <v>437</v>
      </c>
      <c r="B16" s="5" t="s">
        <v>153</v>
      </c>
      <c r="C16" s="5" t="s">
        <v>274</v>
      </c>
      <c r="D16" s="7">
        <v>46187</v>
      </c>
      <c r="E16" s="7"/>
      <c r="F16" s="10" t="str">
        <f>IF(E16="","",E16-D16)</f>
        <v/>
      </c>
      <c r="G16" s="5" t="str">
        <f>IF(E16="","Open",IF(F16&gt;0,"Delayed","Done"))</f>
        <v>Open</v>
      </c>
      <c r="H16" s="5" t="s">
        <v>321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2">
      <c r="A17" s="5" t="s">
        <v>438</v>
      </c>
      <c r="B17" s="5" t="s">
        <v>153</v>
      </c>
      <c r="C17" s="5" t="s">
        <v>439</v>
      </c>
      <c r="D17" s="7">
        <v>46189</v>
      </c>
      <c r="E17" s="7">
        <v>46189</v>
      </c>
      <c r="F17" s="10">
        <f>IF(E17="","",E17-D17)</f>
        <v>0</v>
      </c>
      <c r="G17" s="5" t="str">
        <f>IF(E17="","Open",IF(F17&gt;0,"Delayed","Done"))</f>
        <v>Done</v>
      </c>
      <c r="H17" s="5" t="s">
        <v>326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2">
      <c r="A18" s="5" t="s">
        <v>440</v>
      </c>
      <c r="B18" s="5" t="s">
        <v>159</v>
      </c>
      <c r="C18" s="5" t="s">
        <v>410</v>
      </c>
      <c r="D18" s="7">
        <v>46139</v>
      </c>
      <c r="E18" s="7">
        <v>46142</v>
      </c>
      <c r="F18" s="10">
        <f>IF(E18="","",E18-D18)</f>
        <v>3</v>
      </c>
      <c r="G18" s="5" t="str">
        <f>IF(E18="","Open",IF(F18&gt;0,"Delayed","Done"))</f>
        <v>Delayed</v>
      </c>
      <c r="H18" s="5" t="s">
        <v>321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2">
      <c r="A19" s="5" t="s">
        <v>441</v>
      </c>
      <c r="B19" s="5" t="s">
        <v>159</v>
      </c>
      <c r="C19" s="5" t="s">
        <v>412</v>
      </c>
      <c r="D19" s="7">
        <v>46142</v>
      </c>
      <c r="E19" s="7"/>
      <c r="F19" s="10" t="str">
        <f>IF(E19="","",E19-D19)</f>
        <v/>
      </c>
      <c r="G19" s="5" t="str">
        <f>IF(E19="","Open",IF(F19&gt;0,"Delayed","Done"))</f>
        <v>Open</v>
      </c>
      <c r="H19" s="5" t="s">
        <v>321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2">
      <c r="A20" s="5" t="s">
        <v>442</v>
      </c>
      <c r="B20" s="5" t="s">
        <v>159</v>
      </c>
      <c r="C20" s="5" t="s">
        <v>414</v>
      </c>
      <c r="D20" s="7">
        <v>46144</v>
      </c>
      <c r="E20" s="7"/>
      <c r="F20" s="10" t="str">
        <f>IF(E20="","",E20-D20)</f>
        <v/>
      </c>
      <c r="G20" s="5" t="str">
        <f>IF(E20="","Open",IF(F20&gt;0,"Delayed","Done"))</f>
        <v>Open</v>
      </c>
      <c r="H20" s="5" t="s">
        <v>321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">
      <c r="A21" s="5" t="s">
        <v>443</v>
      </c>
      <c r="B21" s="5" t="s">
        <v>159</v>
      </c>
      <c r="C21" s="5" t="s">
        <v>416</v>
      </c>
      <c r="D21" s="7">
        <v>46146</v>
      </c>
      <c r="E21" s="7"/>
      <c r="F21" s="10" t="str">
        <f>IF(E21="","",E21-D21)</f>
        <v/>
      </c>
      <c r="G21" s="5" t="str">
        <f>IF(E21="","Open",IF(F21&gt;0,"Delayed","Done"))</f>
        <v>Open</v>
      </c>
      <c r="H21" s="5" t="s">
        <v>321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2">
      <c r="A22" s="5" t="s">
        <v>444</v>
      </c>
      <c r="B22" s="5" t="s">
        <v>159</v>
      </c>
      <c r="C22" s="5" t="s">
        <v>418</v>
      </c>
      <c r="D22" s="7">
        <v>46150</v>
      </c>
      <c r="E22" s="7">
        <v>46153</v>
      </c>
      <c r="F22" s="10">
        <f>IF(E22="","",E22-D22)</f>
        <v>3</v>
      </c>
      <c r="G22" s="5" t="str">
        <f>IF(E22="","Open",IF(F22&gt;0,"Delayed","Done"))</f>
        <v>Delayed</v>
      </c>
      <c r="H22" s="5" t="s">
        <v>321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">
      <c r="A23" s="5" t="s">
        <v>445</v>
      </c>
      <c r="B23" s="5" t="s">
        <v>159</v>
      </c>
      <c r="C23" s="5" t="s">
        <v>420</v>
      </c>
      <c r="D23" s="7">
        <v>46156</v>
      </c>
      <c r="E23" s="7">
        <v>46156</v>
      </c>
      <c r="F23" s="10">
        <f>IF(E23="","",E23-D23)</f>
        <v>0</v>
      </c>
      <c r="G23" s="5" t="str">
        <f>IF(E23="","Open",IF(F23&gt;0,"Delayed","Done"))</f>
        <v>Done</v>
      </c>
      <c r="H23" s="5" t="s">
        <v>321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2">
      <c r="A24" s="5" t="s">
        <v>446</v>
      </c>
      <c r="B24" s="5" t="s">
        <v>159</v>
      </c>
      <c r="C24" s="5" t="s">
        <v>422</v>
      </c>
      <c r="D24" s="7">
        <v>46160</v>
      </c>
      <c r="E24" s="7">
        <v>46158</v>
      </c>
      <c r="F24" s="10">
        <f>IF(E24="","",E24-D24)</f>
        <v>-2</v>
      </c>
      <c r="G24" s="5" t="str">
        <f>IF(E24="","Open",IF(F24&gt;0,"Delayed","Done"))</f>
        <v>Done</v>
      </c>
      <c r="H24" s="5" t="s">
        <v>321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">
      <c r="A25" s="5" t="s">
        <v>447</v>
      </c>
      <c r="B25" s="5" t="s">
        <v>159</v>
      </c>
      <c r="C25" s="5" t="s">
        <v>424</v>
      </c>
      <c r="D25" s="7">
        <v>46166</v>
      </c>
      <c r="E25" s="7"/>
      <c r="F25" s="10" t="str">
        <f>IF(E25="","",E25-D25)</f>
        <v/>
      </c>
      <c r="G25" s="5" t="str">
        <f>IF(E25="","Open",IF(F25&gt;0,"Delayed","Done"))</f>
        <v>Open</v>
      </c>
      <c r="H25" s="5" t="s">
        <v>326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2">
      <c r="A26" s="5" t="s">
        <v>448</v>
      </c>
      <c r="B26" s="5" t="s">
        <v>159</v>
      </c>
      <c r="C26" s="5" t="s">
        <v>426</v>
      </c>
      <c r="D26" s="7">
        <v>46168</v>
      </c>
      <c r="E26" s="7">
        <v>46168</v>
      </c>
      <c r="F26" s="10">
        <f>IF(E26="","",E26-D26)</f>
        <v>0</v>
      </c>
      <c r="G26" s="5" t="str">
        <f>IF(E26="","Open",IF(F26&gt;0,"Delayed","Done"))</f>
        <v>Done</v>
      </c>
      <c r="H26" s="5" t="s">
        <v>326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">
      <c r="A27" s="5" t="s">
        <v>449</v>
      </c>
      <c r="B27" s="5" t="s">
        <v>159</v>
      </c>
      <c r="C27" s="5" t="s">
        <v>428</v>
      </c>
      <c r="D27" s="7">
        <v>46170</v>
      </c>
      <c r="E27" s="7"/>
      <c r="F27" s="10" t="str">
        <f>IF(E27="","",E27-D27)</f>
        <v/>
      </c>
      <c r="G27" s="5" t="str">
        <f>IF(E27="","Open",IF(F27&gt;0,"Delayed","Done"))</f>
        <v>Open</v>
      </c>
      <c r="H27" s="5" t="s">
        <v>326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2">
      <c r="A28" s="5" t="s">
        <v>450</v>
      </c>
      <c r="B28" s="5" t="s">
        <v>159</v>
      </c>
      <c r="C28" s="5" t="s">
        <v>430</v>
      </c>
      <c r="D28" s="7">
        <v>46173</v>
      </c>
      <c r="E28" s="7">
        <v>46173</v>
      </c>
      <c r="F28" s="10">
        <f>IF(E28="","",E28-D28)</f>
        <v>0</v>
      </c>
      <c r="G28" s="5" t="str">
        <f>IF(E28="","Open",IF(F28&gt;0,"Delayed","Done"))</f>
        <v>Done</v>
      </c>
      <c r="H28" s="5" t="s">
        <v>326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2">
      <c r="A29" s="5" t="s">
        <v>451</v>
      </c>
      <c r="B29" s="5" t="s">
        <v>159</v>
      </c>
      <c r="C29" s="5" t="s">
        <v>432</v>
      </c>
      <c r="D29" s="7">
        <v>46177</v>
      </c>
      <c r="E29" s="7">
        <v>46178</v>
      </c>
      <c r="F29" s="10">
        <f>IF(E29="","",E29-D29)</f>
        <v>1</v>
      </c>
      <c r="G29" s="5" t="str">
        <f>IF(E29="","Open",IF(F29&gt;0,"Delayed","Done"))</f>
        <v>Delayed</v>
      </c>
      <c r="H29" s="5" t="s">
        <v>321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">
      <c r="A30" s="5" t="s">
        <v>452</v>
      </c>
      <c r="B30" s="5" t="s">
        <v>159</v>
      </c>
      <c r="C30" s="5" t="s">
        <v>434</v>
      </c>
      <c r="D30" s="7">
        <v>46179</v>
      </c>
      <c r="E30" s="7">
        <v>46180</v>
      </c>
      <c r="F30" s="10">
        <f>IF(E30="","",E30-D30)</f>
        <v>1</v>
      </c>
      <c r="G30" s="5" t="str">
        <f>IF(E30="","Open",IF(F30&gt;0,"Delayed","Done"))</f>
        <v>Delayed</v>
      </c>
      <c r="H30" s="5" t="s">
        <v>321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2">
      <c r="A31" s="5" t="s">
        <v>453</v>
      </c>
      <c r="B31" s="5" t="s">
        <v>159</v>
      </c>
      <c r="C31" s="5" t="s">
        <v>436</v>
      </c>
      <c r="D31" s="7">
        <v>46181</v>
      </c>
      <c r="E31" s="7"/>
      <c r="F31" s="10" t="str">
        <f>IF(E31="","",E31-D31)</f>
        <v/>
      </c>
      <c r="G31" s="5" t="str">
        <f>IF(E31="","Open",IF(F31&gt;0,"Delayed","Done"))</f>
        <v>Open</v>
      </c>
      <c r="H31" s="5" t="s">
        <v>326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">
      <c r="A32" s="5" t="s">
        <v>454</v>
      </c>
      <c r="B32" s="5" t="s">
        <v>159</v>
      </c>
      <c r="C32" s="5" t="s">
        <v>274</v>
      </c>
      <c r="D32" s="7">
        <v>46182</v>
      </c>
      <c r="E32" s="7">
        <v>46180</v>
      </c>
      <c r="F32" s="10">
        <f>IF(E32="","",E32-D32)</f>
        <v>-2</v>
      </c>
      <c r="G32" s="5" t="str">
        <f>IF(E32="","Open",IF(F32&gt;0,"Delayed","Done"))</f>
        <v>Done</v>
      </c>
      <c r="H32" s="5" t="s">
        <v>321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2">
      <c r="A33" s="5" t="s">
        <v>455</v>
      </c>
      <c r="B33" s="5" t="s">
        <v>159</v>
      </c>
      <c r="C33" s="5" t="s">
        <v>439</v>
      </c>
      <c r="D33" s="7">
        <v>46184</v>
      </c>
      <c r="E33" s="7">
        <v>46184</v>
      </c>
      <c r="F33" s="10">
        <f>IF(E33="","",E33-D33)</f>
        <v>0</v>
      </c>
      <c r="G33" s="5" t="str">
        <f>IF(E33="","Open",IF(F33&gt;0,"Delayed","Done"))</f>
        <v>Done</v>
      </c>
      <c r="H33" s="5" t="s">
        <v>326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2">
      <c r="A34" s="5" t="s">
        <v>456</v>
      </c>
      <c r="B34" s="5" t="s">
        <v>163</v>
      </c>
      <c r="C34" s="5" t="s">
        <v>410</v>
      </c>
      <c r="D34" s="7">
        <v>46147</v>
      </c>
      <c r="E34" s="7"/>
      <c r="F34" s="10" t="str">
        <f>IF(E34="","",E34-D34)</f>
        <v/>
      </c>
      <c r="G34" s="5" t="str">
        <f>IF(E34="","Open",IF(F34&gt;0,"Delayed","Done"))</f>
        <v>Open</v>
      </c>
      <c r="H34" s="5" t="s">
        <v>321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2">
      <c r="A35" s="5" t="s">
        <v>457</v>
      </c>
      <c r="B35" s="5" t="s">
        <v>163</v>
      </c>
      <c r="C35" s="5" t="s">
        <v>412</v>
      </c>
      <c r="D35" s="7">
        <v>46150</v>
      </c>
      <c r="E35" s="7"/>
      <c r="F35" s="10" t="str">
        <f>IF(E35="","",E35-D35)</f>
        <v/>
      </c>
      <c r="G35" s="5" t="str">
        <f>IF(E35="","Open",IF(F35&gt;0,"Delayed","Done"))</f>
        <v>Open</v>
      </c>
      <c r="H35" s="5" t="s">
        <v>321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2">
      <c r="A36" s="5" t="s">
        <v>458</v>
      </c>
      <c r="B36" s="5" t="s">
        <v>163</v>
      </c>
      <c r="C36" s="5" t="s">
        <v>414</v>
      </c>
      <c r="D36" s="7">
        <v>46152</v>
      </c>
      <c r="E36" s="7">
        <v>46151</v>
      </c>
      <c r="F36" s="10">
        <f>IF(E36="","",E36-D36)</f>
        <v>-1</v>
      </c>
      <c r="G36" s="5" t="str">
        <f>IF(E36="","Open",IF(F36&gt;0,"Delayed","Done"))</f>
        <v>Done</v>
      </c>
      <c r="H36" s="5" t="s">
        <v>321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2">
      <c r="A37" s="5" t="s">
        <v>459</v>
      </c>
      <c r="B37" s="5" t="s">
        <v>163</v>
      </c>
      <c r="C37" s="5" t="s">
        <v>416</v>
      </c>
      <c r="D37" s="7">
        <v>46154</v>
      </c>
      <c r="E37" s="7"/>
      <c r="F37" s="10" t="str">
        <f>IF(E37="","",E37-D37)</f>
        <v/>
      </c>
      <c r="G37" s="5" t="str">
        <f>IF(E37="","Open",IF(F37&gt;0,"Delayed","Done"))</f>
        <v>Open</v>
      </c>
      <c r="H37" s="5" t="s">
        <v>321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">
      <c r="A38" s="5" t="s">
        <v>460</v>
      </c>
      <c r="B38" s="5" t="s">
        <v>163</v>
      </c>
      <c r="C38" s="5" t="s">
        <v>418</v>
      </c>
      <c r="D38" s="7">
        <v>46158</v>
      </c>
      <c r="E38" s="7">
        <v>46161</v>
      </c>
      <c r="F38" s="10">
        <f>IF(E38="","",E38-D38)</f>
        <v>3</v>
      </c>
      <c r="G38" s="5" t="str">
        <f>IF(E38="","Open",IF(F38&gt;0,"Delayed","Done"))</f>
        <v>Delayed</v>
      </c>
      <c r="H38" s="5" t="s">
        <v>321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2">
      <c r="A39" s="5" t="s">
        <v>461</v>
      </c>
      <c r="B39" s="5" t="s">
        <v>163</v>
      </c>
      <c r="C39" s="5" t="s">
        <v>420</v>
      </c>
      <c r="D39" s="7">
        <v>46164</v>
      </c>
      <c r="E39" s="7">
        <v>46164</v>
      </c>
      <c r="F39" s="10">
        <f>IF(E39="","",E39-D39)</f>
        <v>0</v>
      </c>
      <c r="G39" s="5" t="str">
        <f>IF(E39="","Open",IF(F39&gt;0,"Delayed","Done"))</f>
        <v>Done</v>
      </c>
      <c r="H39" s="5" t="s">
        <v>321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">
      <c r="A40" s="5" t="s">
        <v>462</v>
      </c>
      <c r="B40" s="5" t="s">
        <v>163</v>
      </c>
      <c r="C40" s="5" t="s">
        <v>422</v>
      </c>
      <c r="D40" s="7">
        <v>46168</v>
      </c>
      <c r="E40" s="7">
        <v>46171</v>
      </c>
      <c r="F40" s="10">
        <f>IF(E40="","",E40-D40)</f>
        <v>3</v>
      </c>
      <c r="G40" s="5" t="str">
        <f>IF(E40="","Open",IF(F40&gt;0,"Delayed","Done"))</f>
        <v>Delayed</v>
      </c>
      <c r="H40" s="5" t="s">
        <v>321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2">
      <c r="A41" s="5" t="s">
        <v>463</v>
      </c>
      <c r="B41" s="5" t="s">
        <v>163</v>
      </c>
      <c r="C41" s="5" t="s">
        <v>424</v>
      </c>
      <c r="D41" s="7">
        <v>46174</v>
      </c>
      <c r="E41" s="7">
        <v>46175</v>
      </c>
      <c r="F41" s="10">
        <f>IF(E41="","",E41-D41)</f>
        <v>1</v>
      </c>
      <c r="G41" s="5" t="str">
        <f>IF(E41="","Open",IF(F41&gt;0,"Delayed","Done"))</f>
        <v>Delayed</v>
      </c>
      <c r="H41" s="5" t="s">
        <v>326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">
      <c r="A42" s="5" t="s">
        <v>464</v>
      </c>
      <c r="B42" s="5" t="s">
        <v>163</v>
      </c>
      <c r="C42" s="5" t="s">
        <v>426</v>
      </c>
      <c r="D42" s="7">
        <v>46176</v>
      </c>
      <c r="E42" s="7"/>
      <c r="F42" s="10" t="str">
        <f>IF(E42="","",E42-D42)</f>
        <v/>
      </c>
      <c r="G42" s="5" t="str">
        <f>IF(E42="","Open",IF(F42&gt;0,"Delayed","Done"))</f>
        <v>Open</v>
      </c>
      <c r="H42" s="5" t="s">
        <v>326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2">
      <c r="A43" s="5" t="s">
        <v>465</v>
      </c>
      <c r="B43" s="5" t="s">
        <v>163</v>
      </c>
      <c r="C43" s="5" t="s">
        <v>428</v>
      </c>
      <c r="D43" s="7">
        <v>46178</v>
      </c>
      <c r="E43" s="7"/>
      <c r="F43" s="10" t="str">
        <f>IF(E43="","",E43-D43)</f>
        <v/>
      </c>
      <c r="G43" s="5" t="str">
        <f>IF(E43="","Open",IF(F43&gt;0,"Delayed","Done"))</f>
        <v>Open</v>
      </c>
      <c r="H43" s="5" t="s">
        <v>326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">
      <c r="A44" s="5" t="s">
        <v>466</v>
      </c>
      <c r="B44" s="5" t="s">
        <v>163</v>
      </c>
      <c r="C44" s="5" t="s">
        <v>430</v>
      </c>
      <c r="D44" s="7">
        <v>46181</v>
      </c>
      <c r="E44" s="7">
        <v>46181</v>
      </c>
      <c r="F44" s="10">
        <f>IF(E44="","",E44-D44)</f>
        <v>0</v>
      </c>
      <c r="G44" s="5" t="str">
        <f>IF(E44="","Open",IF(F44&gt;0,"Delayed","Done"))</f>
        <v>Done</v>
      </c>
      <c r="H44" s="5" t="s">
        <v>326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2">
      <c r="A45" s="5" t="s">
        <v>467</v>
      </c>
      <c r="B45" s="5" t="s">
        <v>163</v>
      </c>
      <c r="C45" s="5" t="s">
        <v>432</v>
      </c>
      <c r="D45" s="7">
        <v>46185</v>
      </c>
      <c r="E45" s="7">
        <v>46185</v>
      </c>
      <c r="F45" s="10">
        <f>IF(E45="","",E45-D45)</f>
        <v>0</v>
      </c>
      <c r="G45" s="5" t="str">
        <f>IF(E45="","Open",IF(F45&gt;0,"Delayed","Done"))</f>
        <v>Done</v>
      </c>
      <c r="H45" s="5" t="s">
        <v>321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2">
      <c r="A46" s="5" t="s">
        <v>468</v>
      </c>
      <c r="B46" s="5" t="s">
        <v>163</v>
      </c>
      <c r="C46" s="5" t="s">
        <v>434</v>
      </c>
      <c r="D46" s="7">
        <v>46187</v>
      </c>
      <c r="E46" s="7">
        <v>46186</v>
      </c>
      <c r="F46" s="10">
        <f>IF(E46="","",E46-D46)</f>
        <v>-1</v>
      </c>
      <c r="G46" s="5" t="str">
        <f>IF(E46="","Open",IF(F46&gt;0,"Delayed","Done"))</f>
        <v>Done</v>
      </c>
      <c r="H46" s="5" t="s">
        <v>321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2">
      <c r="A47" s="5" t="s">
        <v>469</v>
      </c>
      <c r="B47" s="5" t="s">
        <v>163</v>
      </c>
      <c r="C47" s="5" t="s">
        <v>436</v>
      </c>
      <c r="D47" s="7">
        <v>46189</v>
      </c>
      <c r="E47" s="7">
        <v>46190</v>
      </c>
      <c r="F47" s="10">
        <f>IF(E47="","",E47-D47)</f>
        <v>1</v>
      </c>
      <c r="G47" s="5" t="str">
        <f>IF(E47="","Open",IF(F47&gt;0,"Delayed","Done"))</f>
        <v>Delayed</v>
      </c>
      <c r="H47" s="5" t="s">
        <v>326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">
      <c r="A48" s="5" t="s">
        <v>470</v>
      </c>
      <c r="B48" s="5" t="s">
        <v>163</v>
      </c>
      <c r="C48" s="5" t="s">
        <v>274</v>
      </c>
      <c r="D48" s="7">
        <v>46190</v>
      </c>
      <c r="E48" s="7"/>
      <c r="F48" s="10" t="str">
        <f>IF(E48="","",E48-D48)</f>
        <v/>
      </c>
      <c r="G48" s="5" t="str">
        <f>IF(E48="","Open",IF(F48&gt;0,"Delayed","Done"))</f>
        <v>Open</v>
      </c>
      <c r="H48" s="5" t="s">
        <v>321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2">
      <c r="A49" s="5" t="s">
        <v>471</v>
      </c>
      <c r="B49" s="5" t="s">
        <v>163</v>
      </c>
      <c r="C49" s="5" t="s">
        <v>439</v>
      </c>
      <c r="D49" s="7">
        <v>46192</v>
      </c>
      <c r="E49" s="7">
        <v>46192</v>
      </c>
      <c r="F49" s="10">
        <f>IF(E49="","",E49-D49)</f>
        <v>0</v>
      </c>
      <c r="G49" s="5" t="str">
        <f>IF(E49="","Open",IF(F49&gt;0,"Delayed","Done"))</f>
        <v>Done</v>
      </c>
      <c r="H49" s="5" t="s">
        <v>326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2">
      <c r="A50" s="5" t="s">
        <v>472</v>
      </c>
      <c r="B50" s="5" t="s">
        <v>168</v>
      </c>
      <c r="C50" s="5" t="s">
        <v>410</v>
      </c>
      <c r="D50" s="7">
        <v>46137</v>
      </c>
      <c r="E50" s="7">
        <v>46137</v>
      </c>
      <c r="F50" s="10">
        <f>IF(E50="","",E50-D50)</f>
        <v>0</v>
      </c>
      <c r="G50" s="5" t="str">
        <f>IF(E50="","Open",IF(F50&gt;0,"Delayed","Done"))</f>
        <v>Done</v>
      </c>
      <c r="H50" s="5" t="s">
        <v>321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2">
      <c r="A51" s="5" t="s">
        <v>473</v>
      </c>
      <c r="B51" s="5" t="s">
        <v>168</v>
      </c>
      <c r="C51" s="5" t="s">
        <v>412</v>
      </c>
      <c r="D51" s="7">
        <v>46140</v>
      </c>
      <c r="E51" s="7">
        <v>46138</v>
      </c>
      <c r="F51" s="10">
        <f>IF(E51="","",E51-D51)</f>
        <v>-2</v>
      </c>
      <c r="G51" s="5" t="str">
        <f>IF(E51="","Open",IF(F51&gt;0,"Delayed","Done"))</f>
        <v>Done</v>
      </c>
      <c r="H51" s="5" t="s">
        <v>321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2">
      <c r="A52" s="5" t="s">
        <v>474</v>
      </c>
      <c r="B52" s="5" t="s">
        <v>168</v>
      </c>
      <c r="C52" s="5" t="s">
        <v>414</v>
      </c>
      <c r="D52" s="7">
        <v>46142</v>
      </c>
      <c r="E52" s="7">
        <v>46142</v>
      </c>
      <c r="F52" s="10">
        <f>IF(E52="","",E52-D52)</f>
        <v>0</v>
      </c>
      <c r="G52" s="5" t="str">
        <f>IF(E52="","Open",IF(F52&gt;0,"Delayed","Done"))</f>
        <v>Done</v>
      </c>
      <c r="H52" s="5" t="s">
        <v>321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2">
      <c r="A53" s="5" t="s">
        <v>475</v>
      </c>
      <c r="B53" s="5" t="s">
        <v>168</v>
      </c>
      <c r="C53" s="5" t="s">
        <v>416</v>
      </c>
      <c r="D53" s="7">
        <v>46144</v>
      </c>
      <c r="E53" s="7">
        <v>46144</v>
      </c>
      <c r="F53" s="10">
        <f>IF(E53="","",E53-D53)</f>
        <v>0</v>
      </c>
      <c r="G53" s="5" t="str">
        <f>IF(E53="","Open",IF(F53&gt;0,"Delayed","Done"))</f>
        <v>Done</v>
      </c>
      <c r="H53" s="5" t="s">
        <v>321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2">
      <c r="A54" s="5" t="s">
        <v>476</v>
      </c>
      <c r="B54" s="5" t="s">
        <v>168</v>
      </c>
      <c r="C54" s="5" t="s">
        <v>418</v>
      </c>
      <c r="D54" s="7">
        <v>46148</v>
      </c>
      <c r="E54" s="7">
        <v>46148</v>
      </c>
      <c r="F54" s="10">
        <f>IF(E54="","",E54-D54)</f>
        <v>0</v>
      </c>
      <c r="G54" s="5" t="str">
        <f>IF(E54="","Open",IF(F54&gt;0,"Delayed","Done"))</f>
        <v>Done</v>
      </c>
      <c r="H54" s="5" t="s">
        <v>321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2">
      <c r="A55" s="5" t="s">
        <v>477</v>
      </c>
      <c r="B55" s="5" t="s">
        <v>168</v>
      </c>
      <c r="C55" s="5" t="s">
        <v>420</v>
      </c>
      <c r="D55" s="7">
        <v>46154</v>
      </c>
      <c r="E55" s="7"/>
      <c r="F55" s="10" t="str">
        <f>IF(E55="","",E55-D55)</f>
        <v/>
      </c>
      <c r="G55" s="5" t="str">
        <f>IF(E55="","Open",IF(F55&gt;0,"Delayed","Done"))</f>
        <v>Open</v>
      </c>
      <c r="H55" s="5" t="s">
        <v>321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2">
      <c r="A56" s="5" t="s">
        <v>478</v>
      </c>
      <c r="B56" s="5" t="s">
        <v>168</v>
      </c>
      <c r="C56" s="5" t="s">
        <v>422</v>
      </c>
      <c r="D56" s="7">
        <v>46158</v>
      </c>
      <c r="E56" s="7">
        <v>46161</v>
      </c>
      <c r="F56" s="10">
        <f>IF(E56="","",E56-D56)</f>
        <v>3</v>
      </c>
      <c r="G56" s="5" t="str">
        <f>IF(E56="","Open",IF(F56&gt;0,"Delayed","Done"))</f>
        <v>Delayed</v>
      </c>
      <c r="H56" s="5" t="s">
        <v>321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2">
      <c r="A57" s="5" t="s">
        <v>479</v>
      </c>
      <c r="B57" s="5" t="s">
        <v>168</v>
      </c>
      <c r="C57" s="5" t="s">
        <v>424</v>
      </c>
      <c r="D57" s="7">
        <v>46164</v>
      </c>
      <c r="E57" s="7"/>
      <c r="F57" s="10" t="str">
        <f>IF(E57="","",E57-D57)</f>
        <v/>
      </c>
      <c r="G57" s="5" t="str">
        <f>IF(E57="","Open",IF(F57&gt;0,"Delayed","Done"))</f>
        <v>Open</v>
      </c>
      <c r="H57" s="5" t="s">
        <v>326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2">
      <c r="A58" s="5" t="s">
        <v>480</v>
      </c>
      <c r="B58" s="5" t="s">
        <v>168</v>
      </c>
      <c r="C58" s="5" t="s">
        <v>426</v>
      </c>
      <c r="D58" s="7">
        <v>46166</v>
      </c>
      <c r="E58" s="7">
        <v>46165</v>
      </c>
      <c r="F58" s="10">
        <f>IF(E58="","",E58-D58)</f>
        <v>-1</v>
      </c>
      <c r="G58" s="5" t="str">
        <f>IF(E58="","Open",IF(F58&gt;0,"Delayed","Done"))</f>
        <v>Done</v>
      </c>
      <c r="H58" s="5" t="s">
        <v>326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2">
      <c r="A59" s="5" t="s">
        <v>481</v>
      </c>
      <c r="B59" s="5" t="s">
        <v>168</v>
      </c>
      <c r="C59" s="5" t="s">
        <v>428</v>
      </c>
      <c r="D59" s="7">
        <v>46168</v>
      </c>
      <c r="E59" s="7">
        <v>46167</v>
      </c>
      <c r="F59" s="10">
        <f>IF(E59="","",E59-D59)</f>
        <v>-1</v>
      </c>
      <c r="G59" s="5" t="str">
        <f>IF(E59="","Open",IF(F59&gt;0,"Delayed","Done"))</f>
        <v>Done</v>
      </c>
      <c r="H59" s="5" t="s">
        <v>326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2">
      <c r="A60" s="5" t="s">
        <v>482</v>
      </c>
      <c r="B60" s="5" t="s">
        <v>168</v>
      </c>
      <c r="C60" s="5" t="s">
        <v>430</v>
      </c>
      <c r="D60" s="7">
        <v>46171</v>
      </c>
      <c r="E60" s="7">
        <v>46173</v>
      </c>
      <c r="F60" s="10">
        <f>IF(E60="","",E60-D60)</f>
        <v>2</v>
      </c>
      <c r="G60" s="5" t="str">
        <f>IF(E60="","Open",IF(F60&gt;0,"Delayed","Done"))</f>
        <v>Delayed</v>
      </c>
      <c r="H60" s="5" t="s">
        <v>326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2">
      <c r="A61" s="5" t="s">
        <v>483</v>
      </c>
      <c r="B61" s="5" t="s">
        <v>168</v>
      </c>
      <c r="C61" s="5" t="s">
        <v>432</v>
      </c>
      <c r="D61" s="7">
        <v>46175</v>
      </c>
      <c r="E61" s="7">
        <v>46177</v>
      </c>
      <c r="F61" s="10">
        <f>IF(E61="","",E61-D61)</f>
        <v>2</v>
      </c>
      <c r="G61" s="5" t="str">
        <f>IF(E61="","Open",IF(F61&gt;0,"Delayed","Done"))</f>
        <v>Delayed</v>
      </c>
      <c r="H61" s="5" t="s">
        <v>321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2">
      <c r="A62" s="5" t="s">
        <v>484</v>
      </c>
      <c r="B62" s="5" t="s">
        <v>168</v>
      </c>
      <c r="C62" s="5" t="s">
        <v>434</v>
      </c>
      <c r="D62" s="7">
        <v>46177</v>
      </c>
      <c r="E62" s="7">
        <v>46177</v>
      </c>
      <c r="F62" s="10">
        <f>IF(E62="","",E62-D62)</f>
        <v>0</v>
      </c>
      <c r="G62" s="5" t="str">
        <f>IF(E62="","Open",IF(F62&gt;0,"Delayed","Done"))</f>
        <v>Done</v>
      </c>
      <c r="H62" s="5" t="s">
        <v>321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2">
      <c r="A63" s="5" t="s">
        <v>485</v>
      </c>
      <c r="B63" s="5" t="s">
        <v>168</v>
      </c>
      <c r="C63" s="5" t="s">
        <v>436</v>
      </c>
      <c r="D63" s="7">
        <v>46179</v>
      </c>
      <c r="E63" s="7">
        <v>46178</v>
      </c>
      <c r="F63" s="10">
        <f>IF(E63="","",E63-D63)</f>
        <v>-1</v>
      </c>
      <c r="G63" s="5" t="str">
        <f>IF(E63="","Open",IF(F63&gt;0,"Delayed","Done"))</f>
        <v>Done</v>
      </c>
      <c r="H63" s="5" t="s">
        <v>326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2">
      <c r="A64" s="5" t="s">
        <v>486</v>
      </c>
      <c r="B64" s="5" t="s">
        <v>168</v>
      </c>
      <c r="C64" s="5" t="s">
        <v>274</v>
      </c>
      <c r="D64" s="7">
        <v>46180</v>
      </c>
      <c r="E64" s="7">
        <v>46180</v>
      </c>
      <c r="F64" s="10">
        <f>IF(E64="","",E64-D64)</f>
        <v>0</v>
      </c>
      <c r="G64" s="5" t="str">
        <f>IF(E64="","Open",IF(F64&gt;0,"Delayed","Done"))</f>
        <v>Done</v>
      </c>
      <c r="H64" s="5" t="s">
        <v>321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2">
      <c r="A65" s="5" t="s">
        <v>487</v>
      </c>
      <c r="B65" s="5" t="s">
        <v>168</v>
      </c>
      <c r="C65" s="5" t="s">
        <v>439</v>
      </c>
      <c r="D65" s="7">
        <v>46182</v>
      </c>
      <c r="E65" s="7"/>
      <c r="F65" s="10" t="str">
        <f>IF(E65="","",E65-D65)</f>
        <v/>
      </c>
      <c r="G65" s="5" t="str">
        <f>IF(E65="","Open",IF(F65&gt;0,"Delayed","Done"))</f>
        <v>Open</v>
      </c>
      <c r="H65" s="5" t="s">
        <v>326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2">
      <c r="A66" s="5" t="s">
        <v>488</v>
      </c>
      <c r="B66" s="5" t="s">
        <v>172</v>
      </c>
      <c r="C66" s="5" t="s">
        <v>410</v>
      </c>
      <c r="D66" s="7">
        <v>46142</v>
      </c>
      <c r="E66" s="7"/>
      <c r="F66" s="10" t="str">
        <f>IF(E66="","",E66-D66)</f>
        <v/>
      </c>
      <c r="G66" s="5" t="str">
        <f>IF(E66="","Open",IF(F66&gt;0,"Delayed","Done"))</f>
        <v>Open</v>
      </c>
      <c r="H66" s="5" t="s">
        <v>321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2">
      <c r="A67" s="5" t="s">
        <v>489</v>
      </c>
      <c r="B67" s="5" t="s">
        <v>172</v>
      </c>
      <c r="C67" s="5" t="s">
        <v>412</v>
      </c>
      <c r="D67" s="7">
        <v>46145</v>
      </c>
      <c r="E67" s="7"/>
      <c r="F67" s="10" t="str">
        <f>IF(E67="","",E67-D67)</f>
        <v/>
      </c>
      <c r="G67" s="5" t="str">
        <f>IF(E67="","Open",IF(F67&gt;0,"Delayed","Done"))</f>
        <v>Open</v>
      </c>
      <c r="H67" s="5" t="s">
        <v>321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2">
      <c r="A68" s="5" t="s">
        <v>490</v>
      </c>
      <c r="B68" s="5" t="s">
        <v>172</v>
      </c>
      <c r="C68" s="5" t="s">
        <v>414</v>
      </c>
      <c r="D68" s="7">
        <v>46147</v>
      </c>
      <c r="E68" s="7"/>
      <c r="F68" s="10" t="str">
        <f>IF(E68="","",E68-D68)</f>
        <v/>
      </c>
      <c r="G68" s="5" t="str">
        <f>IF(E68="","Open",IF(F68&gt;0,"Delayed","Done"))</f>
        <v>Open</v>
      </c>
      <c r="H68" s="5" t="s">
        <v>321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2">
      <c r="A69" s="5" t="s">
        <v>491</v>
      </c>
      <c r="B69" s="5" t="s">
        <v>172</v>
      </c>
      <c r="C69" s="5" t="s">
        <v>416</v>
      </c>
      <c r="D69" s="7">
        <v>46149</v>
      </c>
      <c r="E69" s="7">
        <v>46154</v>
      </c>
      <c r="F69" s="10">
        <f>IF(E69="","",E69-D69)</f>
        <v>5</v>
      </c>
      <c r="G69" s="5" t="str">
        <f>IF(E69="","Open",IF(F69&gt;0,"Delayed","Done"))</f>
        <v>Delayed</v>
      </c>
      <c r="H69" s="5" t="s">
        <v>321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2">
      <c r="A70" s="5" t="s">
        <v>492</v>
      </c>
      <c r="B70" s="5" t="s">
        <v>172</v>
      </c>
      <c r="C70" s="5" t="s">
        <v>418</v>
      </c>
      <c r="D70" s="7">
        <v>46153</v>
      </c>
      <c r="E70" s="7">
        <v>46153</v>
      </c>
      <c r="F70" s="10">
        <f>IF(E70="","",E70-D70)</f>
        <v>0</v>
      </c>
      <c r="G70" s="5" t="str">
        <f>IF(E70="","Open",IF(F70&gt;0,"Delayed","Done"))</f>
        <v>Done</v>
      </c>
      <c r="H70" s="5" t="s">
        <v>321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2">
      <c r="A71" s="5" t="s">
        <v>493</v>
      </c>
      <c r="B71" s="5" t="s">
        <v>172</v>
      </c>
      <c r="C71" s="5" t="s">
        <v>420</v>
      </c>
      <c r="D71" s="7">
        <v>46159</v>
      </c>
      <c r="E71" s="7"/>
      <c r="F71" s="10" t="str">
        <f>IF(E71="","",E71-D71)</f>
        <v/>
      </c>
      <c r="G71" s="5" t="str">
        <f>IF(E71="","Open",IF(F71&gt;0,"Delayed","Done"))</f>
        <v>Open</v>
      </c>
      <c r="H71" s="5" t="s">
        <v>321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2">
      <c r="A72" s="5" t="s">
        <v>494</v>
      </c>
      <c r="B72" s="5" t="s">
        <v>172</v>
      </c>
      <c r="C72" s="5" t="s">
        <v>422</v>
      </c>
      <c r="D72" s="7">
        <v>46163</v>
      </c>
      <c r="E72" s="7">
        <v>46161</v>
      </c>
      <c r="F72" s="10">
        <f>IF(E72="","",E72-D72)</f>
        <v>-2</v>
      </c>
      <c r="G72" s="5" t="str">
        <f>IF(E72="","Open",IF(F72&gt;0,"Delayed","Done"))</f>
        <v>Done</v>
      </c>
      <c r="H72" s="5" t="s">
        <v>321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2">
      <c r="A73" s="5" t="s">
        <v>495</v>
      </c>
      <c r="B73" s="5" t="s">
        <v>172</v>
      </c>
      <c r="C73" s="5" t="s">
        <v>424</v>
      </c>
      <c r="D73" s="7">
        <v>46169</v>
      </c>
      <c r="E73" s="7"/>
      <c r="F73" s="10" t="str">
        <f>IF(E73="","",E73-D73)</f>
        <v/>
      </c>
      <c r="G73" s="5" t="str">
        <f>IF(E73="","Open",IF(F73&gt;0,"Delayed","Done"))</f>
        <v>Open</v>
      </c>
      <c r="H73" s="5" t="s">
        <v>326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2">
      <c r="A74" s="5" t="s">
        <v>496</v>
      </c>
      <c r="B74" s="5" t="s">
        <v>172</v>
      </c>
      <c r="C74" s="5" t="s">
        <v>426</v>
      </c>
      <c r="D74" s="7">
        <v>46171</v>
      </c>
      <c r="E74" s="7"/>
      <c r="F74" s="10" t="str">
        <f>IF(E74="","",E74-D74)</f>
        <v/>
      </c>
      <c r="G74" s="5" t="str">
        <f>IF(E74="","Open",IF(F74&gt;0,"Delayed","Done"))</f>
        <v>Open</v>
      </c>
      <c r="H74" s="5" t="s">
        <v>326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2">
      <c r="A75" s="5" t="s">
        <v>497</v>
      </c>
      <c r="B75" s="5" t="s">
        <v>172</v>
      </c>
      <c r="C75" s="5" t="s">
        <v>428</v>
      </c>
      <c r="D75" s="7">
        <v>46173</v>
      </c>
      <c r="E75" s="7">
        <v>46175</v>
      </c>
      <c r="F75" s="10">
        <f>IF(E75="","",E75-D75)</f>
        <v>2</v>
      </c>
      <c r="G75" s="5" t="str">
        <f>IF(E75="","Open",IF(F75&gt;0,"Delayed","Done"))</f>
        <v>Delayed</v>
      </c>
      <c r="H75" s="5" t="s">
        <v>326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2">
      <c r="A76" s="5" t="s">
        <v>498</v>
      </c>
      <c r="B76" s="5" t="s">
        <v>172</v>
      </c>
      <c r="C76" s="5" t="s">
        <v>430</v>
      </c>
      <c r="D76" s="7">
        <v>46176</v>
      </c>
      <c r="E76" s="7">
        <v>46179</v>
      </c>
      <c r="F76" s="10">
        <f>IF(E76="","",E76-D76)</f>
        <v>3</v>
      </c>
      <c r="G76" s="5" t="str">
        <f>IF(E76="","Open",IF(F76&gt;0,"Delayed","Done"))</f>
        <v>Delayed</v>
      </c>
      <c r="H76" s="5" t="s">
        <v>326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2">
      <c r="A77" s="5" t="s">
        <v>499</v>
      </c>
      <c r="B77" s="5" t="s">
        <v>172</v>
      </c>
      <c r="C77" s="5" t="s">
        <v>432</v>
      </c>
      <c r="D77" s="7">
        <v>46180</v>
      </c>
      <c r="E77" s="7">
        <v>46179</v>
      </c>
      <c r="F77" s="10">
        <f>IF(E77="","",E77-D77)</f>
        <v>-1</v>
      </c>
      <c r="G77" s="5" t="str">
        <f>IF(E77="","Open",IF(F77&gt;0,"Delayed","Done"))</f>
        <v>Done</v>
      </c>
      <c r="H77" s="5" t="s">
        <v>321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2">
      <c r="A78" s="5" t="s">
        <v>500</v>
      </c>
      <c r="B78" s="5" t="s">
        <v>172</v>
      </c>
      <c r="C78" s="5" t="s">
        <v>434</v>
      </c>
      <c r="D78" s="7">
        <v>46182</v>
      </c>
      <c r="E78" s="7">
        <v>46180</v>
      </c>
      <c r="F78" s="10">
        <f>IF(E78="","",E78-D78)</f>
        <v>-2</v>
      </c>
      <c r="G78" s="5" t="str">
        <f>IF(E78="","Open",IF(F78&gt;0,"Delayed","Done"))</f>
        <v>Done</v>
      </c>
      <c r="H78" s="5" t="s">
        <v>321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2">
      <c r="A79" s="5" t="s">
        <v>501</v>
      </c>
      <c r="B79" s="5" t="s">
        <v>172</v>
      </c>
      <c r="C79" s="5" t="s">
        <v>436</v>
      </c>
      <c r="D79" s="7">
        <v>46184</v>
      </c>
      <c r="E79" s="7"/>
      <c r="F79" s="10" t="str">
        <f>IF(E79="","",E79-D79)</f>
        <v/>
      </c>
      <c r="G79" s="5" t="str">
        <f>IF(E79="","Open",IF(F79&gt;0,"Delayed","Done"))</f>
        <v>Open</v>
      </c>
      <c r="H79" s="5" t="s">
        <v>326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2">
      <c r="A80" s="5" t="s">
        <v>502</v>
      </c>
      <c r="B80" s="5" t="s">
        <v>172</v>
      </c>
      <c r="C80" s="5" t="s">
        <v>274</v>
      </c>
      <c r="D80" s="7">
        <v>46185</v>
      </c>
      <c r="E80" s="7"/>
      <c r="F80" s="10" t="str">
        <f>IF(E80="","",E80-D80)</f>
        <v/>
      </c>
      <c r="G80" s="5" t="str">
        <f>IF(E80="","Open",IF(F80&gt;0,"Delayed","Done"))</f>
        <v>Open</v>
      </c>
      <c r="H80" s="5" t="s">
        <v>321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x14ac:dyDescent="0.2">
      <c r="A81" s="5" t="s">
        <v>503</v>
      </c>
      <c r="B81" s="5" t="s">
        <v>172</v>
      </c>
      <c r="C81" s="5" t="s">
        <v>439</v>
      </c>
      <c r="D81" s="7">
        <v>46187</v>
      </c>
      <c r="E81" s="7">
        <v>46189</v>
      </c>
      <c r="F81" s="10">
        <f>IF(E81="","",E81-D81)</f>
        <v>2</v>
      </c>
      <c r="G81" s="5" t="str">
        <f>IF(E81="","Open",IF(F81&gt;0,"Delayed","Done"))</f>
        <v>Delayed</v>
      </c>
      <c r="H81" s="5" t="s">
        <v>326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x14ac:dyDescent="0.2">
      <c r="A82" s="5" t="s">
        <v>504</v>
      </c>
      <c r="B82" s="5" t="s">
        <v>174</v>
      </c>
      <c r="C82" s="5" t="s">
        <v>410</v>
      </c>
      <c r="D82" s="7">
        <v>46186</v>
      </c>
      <c r="E82" s="7">
        <v>46186</v>
      </c>
      <c r="F82" s="10">
        <f>IF(E82="","",E82-D82)</f>
        <v>0</v>
      </c>
      <c r="G82" s="5" t="str">
        <f>IF(E82="","Open",IF(F82&gt;0,"Delayed","Done"))</f>
        <v>Done</v>
      </c>
      <c r="H82" s="5" t="s">
        <v>321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2">
      <c r="A83" s="5" t="s">
        <v>505</v>
      </c>
      <c r="B83" s="5" t="s">
        <v>174</v>
      </c>
      <c r="C83" s="5" t="s">
        <v>412</v>
      </c>
      <c r="D83" s="7">
        <v>46189</v>
      </c>
      <c r="E83" s="7"/>
      <c r="F83" s="10" t="str">
        <f>IF(E83="","",E83-D83)</f>
        <v/>
      </c>
      <c r="G83" s="5" t="str">
        <f>IF(E83="","Open",IF(F83&gt;0,"Delayed","Done"))</f>
        <v>Open</v>
      </c>
      <c r="H83" s="5" t="s">
        <v>321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x14ac:dyDescent="0.2">
      <c r="A84" s="5" t="s">
        <v>506</v>
      </c>
      <c r="B84" s="5" t="s">
        <v>174</v>
      </c>
      <c r="C84" s="5" t="s">
        <v>414</v>
      </c>
      <c r="D84" s="7">
        <v>46191</v>
      </c>
      <c r="E84" s="7"/>
      <c r="F84" s="10" t="str">
        <f>IF(E84="","",E84-D84)</f>
        <v/>
      </c>
      <c r="G84" s="5" t="str">
        <f>IF(E84="","Open",IF(F84&gt;0,"Delayed","Done"))</f>
        <v>Open</v>
      </c>
      <c r="H84" s="5" t="s">
        <v>321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x14ac:dyDescent="0.2">
      <c r="A85" s="5" t="s">
        <v>507</v>
      </c>
      <c r="B85" s="5" t="s">
        <v>174</v>
      </c>
      <c r="C85" s="5" t="s">
        <v>416</v>
      </c>
      <c r="D85" s="7">
        <v>46193</v>
      </c>
      <c r="E85" s="7"/>
      <c r="F85" s="10" t="str">
        <f>IF(E85="","",E85-D85)</f>
        <v/>
      </c>
      <c r="G85" s="5" t="str">
        <f>IF(E85="","Open",IF(F85&gt;0,"Delayed","Done"))</f>
        <v>Open</v>
      </c>
      <c r="H85" s="5" t="s">
        <v>321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x14ac:dyDescent="0.2">
      <c r="A86" s="5" t="s">
        <v>508</v>
      </c>
      <c r="B86" s="5" t="s">
        <v>174</v>
      </c>
      <c r="C86" s="5" t="s">
        <v>418</v>
      </c>
      <c r="D86" s="7">
        <v>46197</v>
      </c>
      <c r="E86" s="7">
        <v>46196</v>
      </c>
      <c r="F86" s="10">
        <f>IF(E86="","",E86-D86)</f>
        <v>-1</v>
      </c>
      <c r="G86" s="5" t="str">
        <f>IF(E86="","Open",IF(F86&gt;0,"Delayed","Done"))</f>
        <v>Done</v>
      </c>
      <c r="H86" s="5" t="s">
        <v>321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2">
      <c r="A87" s="5" t="s">
        <v>509</v>
      </c>
      <c r="B87" s="5" t="s">
        <v>174</v>
      </c>
      <c r="C87" s="5" t="s">
        <v>420</v>
      </c>
      <c r="D87" s="7">
        <v>46203</v>
      </c>
      <c r="E87" s="7">
        <v>46203</v>
      </c>
      <c r="F87" s="10">
        <f>IF(E87="","",E87-D87)</f>
        <v>0</v>
      </c>
      <c r="G87" s="5" t="str">
        <f>IF(E87="","Open",IF(F87&gt;0,"Delayed","Done"))</f>
        <v>Done</v>
      </c>
      <c r="H87" s="5" t="s">
        <v>321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2">
      <c r="A88" s="5" t="s">
        <v>510</v>
      </c>
      <c r="B88" s="5" t="s">
        <v>174</v>
      </c>
      <c r="C88" s="5" t="s">
        <v>422</v>
      </c>
      <c r="D88" s="7">
        <v>46207</v>
      </c>
      <c r="E88" s="7">
        <v>46205</v>
      </c>
      <c r="F88" s="10">
        <f>IF(E88="","",E88-D88)</f>
        <v>-2</v>
      </c>
      <c r="G88" s="5" t="str">
        <f>IF(E88="","Open",IF(F88&gt;0,"Delayed","Done"))</f>
        <v>Done</v>
      </c>
      <c r="H88" s="5" t="s">
        <v>321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2">
      <c r="A89" s="5" t="s">
        <v>511</v>
      </c>
      <c r="B89" s="5" t="s">
        <v>174</v>
      </c>
      <c r="C89" s="5" t="s">
        <v>424</v>
      </c>
      <c r="D89" s="7">
        <v>46213</v>
      </c>
      <c r="E89" s="7"/>
      <c r="F89" s="10" t="str">
        <f>IF(E89="","",E89-D89)</f>
        <v/>
      </c>
      <c r="G89" s="5" t="str">
        <f>IF(E89="","Open",IF(F89&gt;0,"Delayed","Done"))</f>
        <v>Open</v>
      </c>
      <c r="H89" s="5" t="s">
        <v>326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x14ac:dyDescent="0.2">
      <c r="A90" s="5" t="s">
        <v>512</v>
      </c>
      <c r="B90" s="5" t="s">
        <v>174</v>
      </c>
      <c r="C90" s="5" t="s">
        <v>426</v>
      </c>
      <c r="D90" s="7">
        <v>46215</v>
      </c>
      <c r="E90" s="7">
        <v>46215</v>
      </c>
      <c r="F90" s="10">
        <f>IF(E90="","",E90-D90)</f>
        <v>0</v>
      </c>
      <c r="G90" s="5" t="str">
        <f>IF(E90="","Open",IF(F90&gt;0,"Delayed","Done"))</f>
        <v>Done</v>
      </c>
      <c r="H90" s="5" t="s">
        <v>326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2">
      <c r="A91" s="5" t="s">
        <v>513</v>
      </c>
      <c r="B91" s="5" t="s">
        <v>174</v>
      </c>
      <c r="C91" s="5" t="s">
        <v>428</v>
      </c>
      <c r="D91" s="7">
        <v>46217</v>
      </c>
      <c r="E91" s="7">
        <v>46222</v>
      </c>
      <c r="F91" s="10">
        <f>IF(E91="","",E91-D91)</f>
        <v>5</v>
      </c>
      <c r="G91" s="5" t="str">
        <f>IF(E91="","Open",IF(F91&gt;0,"Delayed","Done"))</f>
        <v>Delayed</v>
      </c>
      <c r="H91" s="5" t="s">
        <v>326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x14ac:dyDescent="0.2">
      <c r="A92" s="5" t="s">
        <v>514</v>
      </c>
      <c r="B92" s="5" t="s">
        <v>174</v>
      </c>
      <c r="C92" s="5" t="s">
        <v>430</v>
      </c>
      <c r="D92" s="7">
        <v>46220</v>
      </c>
      <c r="E92" s="7"/>
      <c r="F92" s="10" t="str">
        <f>IF(E92="","",E92-D92)</f>
        <v/>
      </c>
      <c r="G92" s="5" t="str">
        <f>IF(E92="","Open",IF(F92&gt;0,"Delayed","Done"))</f>
        <v>Open</v>
      </c>
      <c r="H92" s="5" t="s">
        <v>326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2">
      <c r="A93" s="5" t="s">
        <v>515</v>
      </c>
      <c r="B93" s="5" t="s">
        <v>174</v>
      </c>
      <c r="C93" s="5" t="s">
        <v>432</v>
      </c>
      <c r="D93" s="7">
        <v>46224</v>
      </c>
      <c r="E93" s="7">
        <v>46226</v>
      </c>
      <c r="F93" s="10">
        <f>IF(E93="","",E93-D93)</f>
        <v>2</v>
      </c>
      <c r="G93" s="5" t="str">
        <f>IF(E93="","Open",IF(F93&gt;0,"Delayed","Done"))</f>
        <v>Delayed</v>
      </c>
      <c r="H93" s="5" t="s">
        <v>321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2">
      <c r="A94" s="5" t="s">
        <v>516</v>
      </c>
      <c r="B94" s="5" t="s">
        <v>174</v>
      </c>
      <c r="C94" s="5" t="s">
        <v>434</v>
      </c>
      <c r="D94" s="7">
        <v>46226</v>
      </c>
      <c r="E94" s="7">
        <v>46231</v>
      </c>
      <c r="F94" s="10">
        <f>IF(E94="","",E94-D94)</f>
        <v>5</v>
      </c>
      <c r="G94" s="5" t="str">
        <f>IF(E94="","Open",IF(F94&gt;0,"Delayed","Done"))</f>
        <v>Delayed</v>
      </c>
      <c r="H94" s="5" t="s">
        <v>321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2">
      <c r="A95" s="5" t="s">
        <v>517</v>
      </c>
      <c r="B95" s="5" t="s">
        <v>174</v>
      </c>
      <c r="C95" s="5" t="s">
        <v>436</v>
      </c>
      <c r="D95" s="7">
        <v>46228</v>
      </c>
      <c r="E95" s="7">
        <v>46228</v>
      </c>
      <c r="F95" s="10">
        <f>IF(E95="","",E95-D95)</f>
        <v>0</v>
      </c>
      <c r="G95" s="5" t="str">
        <f>IF(E95="","Open",IF(F95&gt;0,"Delayed","Done"))</f>
        <v>Done</v>
      </c>
      <c r="H95" s="5" t="s">
        <v>326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x14ac:dyDescent="0.2">
      <c r="A96" s="5" t="s">
        <v>518</v>
      </c>
      <c r="B96" s="5" t="s">
        <v>174</v>
      </c>
      <c r="C96" s="5" t="s">
        <v>274</v>
      </c>
      <c r="D96" s="7">
        <v>46229</v>
      </c>
      <c r="E96" s="7">
        <v>46229</v>
      </c>
      <c r="F96" s="10">
        <f>IF(E96="","",E96-D96)</f>
        <v>0</v>
      </c>
      <c r="G96" s="5" t="str">
        <f>IF(E96="","Open",IF(F96&gt;0,"Delayed","Done"))</f>
        <v>Done</v>
      </c>
      <c r="H96" s="5" t="s">
        <v>321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x14ac:dyDescent="0.2">
      <c r="A97" s="5" t="s">
        <v>519</v>
      </c>
      <c r="B97" s="5" t="s">
        <v>174</v>
      </c>
      <c r="C97" s="5" t="s">
        <v>439</v>
      </c>
      <c r="D97" s="7">
        <v>46231</v>
      </c>
      <c r="E97" s="7">
        <v>46231</v>
      </c>
      <c r="F97" s="10">
        <f>IF(E97="","",E97-D97)</f>
        <v>0</v>
      </c>
      <c r="G97" s="5" t="str">
        <f>IF(E97="","Open",IF(F97&gt;0,"Delayed","Done"))</f>
        <v>Done</v>
      </c>
      <c r="H97" s="5" t="s">
        <v>326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x14ac:dyDescent="0.2">
      <c r="A98" s="5" t="s">
        <v>520</v>
      </c>
      <c r="B98" s="5" t="s">
        <v>177</v>
      </c>
      <c r="C98" s="5" t="s">
        <v>410</v>
      </c>
      <c r="D98" s="7">
        <v>46218</v>
      </c>
      <c r="E98" s="7"/>
      <c r="F98" s="10" t="str">
        <f>IF(E98="","",E98-D98)</f>
        <v/>
      </c>
      <c r="G98" s="5" t="str">
        <f>IF(E98="","Open",IF(F98&gt;0,"Delayed","Done"))</f>
        <v>Open</v>
      </c>
      <c r="H98" s="5" t="s">
        <v>321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x14ac:dyDescent="0.2">
      <c r="A99" s="5" t="s">
        <v>521</v>
      </c>
      <c r="B99" s="5" t="s">
        <v>177</v>
      </c>
      <c r="C99" s="5" t="s">
        <v>412</v>
      </c>
      <c r="D99" s="7">
        <v>46221</v>
      </c>
      <c r="E99" s="7">
        <v>46222</v>
      </c>
      <c r="F99" s="10">
        <f>IF(E99="","",E99-D99)</f>
        <v>1</v>
      </c>
      <c r="G99" s="5" t="str">
        <f>IF(E99="","Open",IF(F99&gt;0,"Delayed","Done"))</f>
        <v>Delayed</v>
      </c>
      <c r="H99" s="5" t="s">
        <v>321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x14ac:dyDescent="0.2">
      <c r="A100" s="5" t="s">
        <v>522</v>
      </c>
      <c r="B100" s="5" t="s">
        <v>177</v>
      </c>
      <c r="C100" s="5" t="s">
        <v>414</v>
      </c>
      <c r="D100" s="7">
        <v>46223</v>
      </c>
      <c r="E100" s="7">
        <v>46222</v>
      </c>
      <c r="F100" s="10">
        <f>IF(E100="","",E100-D100)</f>
        <v>-1</v>
      </c>
      <c r="G100" s="5" t="str">
        <f>IF(E100="","Open",IF(F100&gt;0,"Delayed","Done"))</f>
        <v>Done</v>
      </c>
      <c r="H100" s="5" t="s">
        <v>321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x14ac:dyDescent="0.2">
      <c r="A101" s="5" t="s">
        <v>523</v>
      </c>
      <c r="B101" s="5" t="s">
        <v>177</v>
      </c>
      <c r="C101" s="5" t="s">
        <v>416</v>
      </c>
      <c r="D101" s="7">
        <v>46225</v>
      </c>
      <c r="E101" s="7">
        <v>46227</v>
      </c>
      <c r="F101" s="10">
        <f>IF(E101="","",E101-D101)</f>
        <v>2</v>
      </c>
      <c r="G101" s="5" t="str">
        <f>IF(E101="","Open",IF(F101&gt;0,"Delayed","Done"))</f>
        <v>Delayed</v>
      </c>
      <c r="H101" s="5" t="s">
        <v>321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2">
      <c r="A102" s="5" t="s">
        <v>524</v>
      </c>
      <c r="B102" s="5" t="s">
        <v>177</v>
      </c>
      <c r="C102" s="5" t="s">
        <v>418</v>
      </c>
      <c r="D102" s="7">
        <v>46229</v>
      </c>
      <c r="E102" s="7"/>
      <c r="F102" s="10" t="str">
        <f>IF(E102="","",E102-D102)</f>
        <v/>
      </c>
      <c r="G102" s="5" t="str">
        <f>IF(E102="","Open",IF(F102&gt;0,"Delayed","Done"))</f>
        <v>Open</v>
      </c>
      <c r="H102" s="5" t="s">
        <v>321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2">
      <c r="A103" s="5" t="s">
        <v>525</v>
      </c>
      <c r="B103" s="5" t="s">
        <v>177</v>
      </c>
      <c r="C103" s="5" t="s">
        <v>420</v>
      </c>
      <c r="D103" s="7">
        <v>46235</v>
      </c>
      <c r="E103" s="7"/>
      <c r="F103" s="10" t="str">
        <f>IF(E103="","",E103-D103)</f>
        <v/>
      </c>
      <c r="G103" s="5" t="str">
        <f>IF(E103="","Open",IF(F103&gt;0,"Delayed","Done"))</f>
        <v>Open</v>
      </c>
      <c r="H103" s="5" t="s">
        <v>321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2">
      <c r="A104" s="5" t="s">
        <v>526</v>
      </c>
      <c r="B104" s="5" t="s">
        <v>177</v>
      </c>
      <c r="C104" s="5" t="s">
        <v>422</v>
      </c>
      <c r="D104" s="7">
        <v>46239</v>
      </c>
      <c r="E104" s="7">
        <v>46238</v>
      </c>
      <c r="F104" s="10">
        <f>IF(E104="","",E104-D104)</f>
        <v>-1</v>
      </c>
      <c r="G104" s="5" t="str">
        <f>IF(E104="","Open",IF(F104&gt;0,"Delayed","Done"))</f>
        <v>Done</v>
      </c>
      <c r="H104" s="5" t="s">
        <v>321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2">
      <c r="A105" s="5" t="s">
        <v>527</v>
      </c>
      <c r="B105" s="5" t="s">
        <v>177</v>
      </c>
      <c r="C105" s="5" t="s">
        <v>424</v>
      </c>
      <c r="D105" s="7">
        <v>46245</v>
      </c>
      <c r="E105" s="7"/>
      <c r="F105" s="10" t="str">
        <f>IF(E105="","",E105-D105)</f>
        <v/>
      </c>
      <c r="G105" s="5" t="str">
        <f>IF(E105="","Open",IF(F105&gt;0,"Delayed","Done"))</f>
        <v>Open</v>
      </c>
      <c r="H105" s="5" t="s">
        <v>326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2">
      <c r="A106" s="5" t="s">
        <v>528</v>
      </c>
      <c r="B106" s="5" t="s">
        <v>177</v>
      </c>
      <c r="C106" s="5" t="s">
        <v>426</v>
      </c>
      <c r="D106" s="7">
        <v>46247</v>
      </c>
      <c r="E106" s="7">
        <v>46245</v>
      </c>
      <c r="F106" s="10">
        <f>IF(E106="","",E106-D106)</f>
        <v>-2</v>
      </c>
      <c r="G106" s="5" t="str">
        <f>IF(E106="","Open",IF(F106&gt;0,"Delayed","Done"))</f>
        <v>Done</v>
      </c>
      <c r="H106" s="5" t="s">
        <v>326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2">
      <c r="A107" s="5" t="s">
        <v>529</v>
      </c>
      <c r="B107" s="5" t="s">
        <v>177</v>
      </c>
      <c r="C107" s="5" t="s">
        <v>428</v>
      </c>
      <c r="D107" s="7">
        <v>46249</v>
      </c>
      <c r="E107" s="7">
        <v>46249</v>
      </c>
      <c r="F107" s="10">
        <f>IF(E107="","",E107-D107)</f>
        <v>0</v>
      </c>
      <c r="G107" s="5" t="str">
        <f>IF(E107="","Open",IF(F107&gt;0,"Delayed","Done"))</f>
        <v>Done</v>
      </c>
      <c r="H107" s="5" t="s">
        <v>326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x14ac:dyDescent="0.2">
      <c r="A108" s="5" t="s">
        <v>530</v>
      </c>
      <c r="B108" s="5" t="s">
        <v>177</v>
      </c>
      <c r="C108" s="5" t="s">
        <v>430</v>
      </c>
      <c r="D108" s="7">
        <v>46252</v>
      </c>
      <c r="E108" s="7">
        <v>46252</v>
      </c>
      <c r="F108" s="10">
        <f>IF(E108="","",E108-D108)</f>
        <v>0</v>
      </c>
      <c r="G108" s="5" t="str">
        <f>IF(E108="","Open",IF(F108&gt;0,"Delayed","Done"))</f>
        <v>Done</v>
      </c>
      <c r="H108" s="5" t="s">
        <v>326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2">
      <c r="A109" s="5" t="s">
        <v>531</v>
      </c>
      <c r="B109" s="5" t="s">
        <v>177</v>
      </c>
      <c r="C109" s="5" t="s">
        <v>432</v>
      </c>
      <c r="D109" s="7">
        <v>46256</v>
      </c>
      <c r="E109" s="7"/>
      <c r="F109" s="10" t="str">
        <f>IF(E109="","",E109-D109)</f>
        <v/>
      </c>
      <c r="G109" s="5" t="str">
        <f>IF(E109="","Open",IF(F109&gt;0,"Delayed","Done"))</f>
        <v>Open</v>
      </c>
      <c r="H109" s="5" t="s">
        <v>321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x14ac:dyDescent="0.2">
      <c r="A110" s="5" t="s">
        <v>532</v>
      </c>
      <c r="B110" s="5" t="s">
        <v>177</v>
      </c>
      <c r="C110" s="5" t="s">
        <v>434</v>
      </c>
      <c r="D110" s="7">
        <v>46258</v>
      </c>
      <c r="E110" s="7">
        <v>46259</v>
      </c>
      <c r="F110" s="10">
        <f>IF(E110="","",E110-D110)</f>
        <v>1</v>
      </c>
      <c r="G110" s="5" t="str">
        <f>IF(E110="","Open",IF(F110&gt;0,"Delayed","Done"))</f>
        <v>Delayed</v>
      </c>
      <c r="H110" s="5" t="s">
        <v>321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x14ac:dyDescent="0.2">
      <c r="A111" s="5" t="s">
        <v>533</v>
      </c>
      <c r="B111" s="5" t="s">
        <v>177</v>
      </c>
      <c r="C111" s="5" t="s">
        <v>436</v>
      </c>
      <c r="D111" s="7">
        <v>46260</v>
      </c>
      <c r="E111" s="7">
        <v>46260</v>
      </c>
      <c r="F111" s="10">
        <f>IF(E111="","",E111-D111)</f>
        <v>0</v>
      </c>
      <c r="G111" s="5" t="str">
        <f>IF(E111="","Open",IF(F111&gt;0,"Delayed","Done"))</f>
        <v>Done</v>
      </c>
      <c r="H111" s="5" t="s">
        <v>326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2">
      <c r="A112" s="5" t="s">
        <v>534</v>
      </c>
      <c r="B112" s="5" t="s">
        <v>177</v>
      </c>
      <c r="C112" s="5" t="s">
        <v>274</v>
      </c>
      <c r="D112" s="7">
        <v>46261</v>
      </c>
      <c r="E112" s="7">
        <v>46261</v>
      </c>
      <c r="F112" s="10">
        <f>IF(E112="","",E112-D112)</f>
        <v>0</v>
      </c>
      <c r="G112" s="5" t="str">
        <f>IF(E112="","Open",IF(F112&gt;0,"Delayed","Done"))</f>
        <v>Done</v>
      </c>
      <c r="H112" s="5" t="s">
        <v>321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2">
      <c r="A113" s="5" t="s">
        <v>535</v>
      </c>
      <c r="B113" s="5" t="s">
        <v>177</v>
      </c>
      <c r="C113" s="5" t="s">
        <v>439</v>
      </c>
      <c r="D113" s="7">
        <v>46263</v>
      </c>
      <c r="E113" s="7"/>
      <c r="F113" s="10" t="str">
        <f>IF(E113="","",E113-D113)</f>
        <v/>
      </c>
      <c r="G113" s="5" t="str">
        <f>IF(E113="","Open",IF(F113&gt;0,"Delayed","Done"))</f>
        <v>Open</v>
      </c>
      <c r="H113" s="5" t="s">
        <v>326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2">
      <c r="A114" s="5" t="s">
        <v>536</v>
      </c>
      <c r="B114" s="5" t="s">
        <v>178</v>
      </c>
      <c r="C114" s="5" t="s">
        <v>410</v>
      </c>
      <c r="D114" s="7">
        <v>46223</v>
      </c>
      <c r="E114" s="7"/>
      <c r="F114" s="10" t="str">
        <f>IF(E114="","",E114-D114)</f>
        <v/>
      </c>
      <c r="G114" s="5" t="str">
        <f>IF(E114="","Open",IF(F114&gt;0,"Delayed","Done"))</f>
        <v>Open</v>
      </c>
      <c r="H114" s="5" t="s">
        <v>321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2">
      <c r="A115" s="5" t="s">
        <v>537</v>
      </c>
      <c r="B115" s="5" t="s">
        <v>178</v>
      </c>
      <c r="C115" s="5" t="s">
        <v>412</v>
      </c>
      <c r="D115" s="7">
        <v>46226</v>
      </c>
      <c r="E115" s="7"/>
      <c r="F115" s="10" t="str">
        <f>IF(E115="","",E115-D115)</f>
        <v/>
      </c>
      <c r="G115" s="5" t="str">
        <f>IF(E115="","Open",IF(F115&gt;0,"Delayed","Done"))</f>
        <v>Open</v>
      </c>
      <c r="H115" s="5" t="s">
        <v>321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x14ac:dyDescent="0.2">
      <c r="A116" s="5" t="s">
        <v>538</v>
      </c>
      <c r="B116" s="5" t="s">
        <v>178</v>
      </c>
      <c r="C116" s="5" t="s">
        <v>414</v>
      </c>
      <c r="D116" s="7">
        <v>46228</v>
      </c>
      <c r="E116" s="7">
        <v>46226</v>
      </c>
      <c r="F116" s="10">
        <f>IF(E116="","",E116-D116)</f>
        <v>-2</v>
      </c>
      <c r="G116" s="5" t="str">
        <f>IF(E116="","Open",IF(F116&gt;0,"Delayed","Done"))</f>
        <v>Done</v>
      </c>
      <c r="H116" s="5" t="s">
        <v>321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2">
      <c r="A117" s="5" t="s">
        <v>539</v>
      </c>
      <c r="B117" s="5" t="s">
        <v>178</v>
      </c>
      <c r="C117" s="5" t="s">
        <v>416</v>
      </c>
      <c r="D117" s="7">
        <v>46230</v>
      </c>
      <c r="E117" s="7">
        <v>46232</v>
      </c>
      <c r="F117" s="10">
        <f>IF(E117="","",E117-D117)</f>
        <v>2</v>
      </c>
      <c r="G117" s="5" t="str">
        <f>IF(E117="","Open",IF(F117&gt;0,"Delayed","Done"))</f>
        <v>Delayed</v>
      </c>
      <c r="H117" s="5" t="s">
        <v>321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2">
      <c r="A118" s="5" t="s">
        <v>540</v>
      </c>
      <c r="B118" s="5" t="s">
        <v>178</v>
      </c>
      <c r="C118" s="5" t="s">
        <v>418</v>
      </c>
      <c r="D118" s="7">
        <v>46234</v>
      </c>
      <c r="E118" s="7">
        <v>46233</v>
      </c>
      <c r="F118" s="10">
        <f>IF(E118="","",E118-D118)</f>
        <v>-1</v>
      </c>
      <c r="G118" s="5" t="str">
        <f>IF(E118="","Open",IF(F118&gt;0,"Delayed","Done"))</f>
        <v>Done</v>
      </c>
      <c r="H118" s="5" t="s">
        <v>321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2">
      <c r="A119" s="5" t="s">
        <v>541</v>
      </c>
      <c r="B119" s="5" t="s">
        <v>178</v>
      </c>
      <c r="C119" s="5" t="s">
        <v>420</v>
      </c>
      <c r="D119" s="7">
        <v>46240</v>
      </c>
      <c r="E119" s="7">
        <v>46239</v>
      </c>
      <c r="F119" s="10">
        <f>IF(E119="","",E119-D119)</f>
        <v>-1</v>
      </c>
      <c r="G119" s="5" t="str">
        <f>IF(E119="","Open",IF(F119&gt;0,"Delayed","Done"))</f>
        <v>Done</v>
      </c>
      <c r="H119" s="5" t="s">
        <v>321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2">
      <c r="A120" s="5" t="s">
        <v>542</v>
      </c>
      <c r="B120" s="5" t="s">
        <v>178</v>
      </c>
      <c r="C120" s="5" t="s">
        <v>422</v>
      </c>
      <c r="D120" s="7">
        <v>46244</v>
      </c>
      <c r="E120" s="7">
        <v>46249</v>
      </c>
      <c r="F120" s="10">
        <f>IF(E120="","",E120-D120)</f>
        <v>5</v>
      </c>
      <c r="G120" s="5" t="str">
        <f>IF(E120="","Open",IF(F120&gt;0,"Delayed","Done"))</f>
        <v>Delayed</v>
      </c>
      <c r="H120" s="5" t="s">
        <v>321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2">
      <c r="A121" s="5" t="s">
        <v>543</v>
      </c>
      <c r="B121" s="5" t="s">
        <v>178</v>
      </c>
      <c r="C121" s="5" t="s">
        <v>424</v>
      </c>
      <c r="D121" s="7">
        <v>46250</v>
      </c>
      <c r="E121" s="7">
        <v>46253</v>
      </c>
      <c r="F121" s="10">
        <f>IF(E121="","",E121-D121)</f>
        <v>3</v>
      </c>
      <c r="G121" s="5" t="str">
        <f>IF(E121="","Open",IF(F121&gt;0,"Delayed","Done"))</f>
        <v>Delayed</v>
      </c>
      <c r="H121" s="5" t="s">
        <v>326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2">
      <c r="A122" s="5" t="s">
        <v>544</v>
      </c>
      <c r="B122" s="5" t="s">
        <v>178</v>
      </c>
      <c r="C122" s="5" t="s">
        <v>426</v>
      </c>
      <c r="D122" s="7">
        <v>46252</v>
      </c>
      <c r="E122" s="7"/>
      <c r="F122" s="10" t="str">
        <f>IF(E122="","",E122-D122)</f>
        <v/>
      </c>
      <c r="G122" s="5" t="str">
        <f>IF(E122="","Open",IF(F122&gt;0,"Delayed","Done"))</f>
        <v>Open</v>
      </c>
      <c r="H122" s="5" t="s">
        <v>326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2">
      <c r="A123" s="5" t="s">
        <v>545</v>
      </c>
      <c r="B123" s="5" t="s">
        <v>178</v>
      </c>
      <c r="C123" s="5" t="s">
        <v>428</v>
      </c>
      <c r="D123" s="7">
        <v>46254</v>
      </c>
      <c r="E123" s="7">
        <v>46254</v>
      </c>
      <c r="F123" s="10">
        <f>IF(E123="","",E123-D123)</f>
        <v>0</v>
      </c>
      <c r="G123" s="5" t="str">
        <f>IF(E123="","Open",IF(F123&gt;0,"Delayed","Done"))</f>
        <v>Done</v>
      </c>
      <c r="H123" s="5" t="s">
        <v>326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x14ac:dyDescent="0.2">
      <c r="A124" s="5" t="s">
        <v>546</v>
      </c>
      <c r="B124" s="5" t="s">
        <v>178</v>
      </c>
      <c r="C124" s="5" t="s">
        <v>430</v>
      </c>
      <c r="D124" s="7">
        <v>46257</v>
      </c>
      <c r="E124" s="7">
        <v>46256</v>
      </c>
      <c r="F124" s="10">
        <f>IF(E124="","",E124-D124)</f>
        <v>-1</v>
      </c>
      <c r="G124" s="5" t="str">
        <f>IF(E124="","Open",IF(F124&gt;0,"Delayed","Done"))</f>
        <v>Done</v>
      </c>
      <c r="H124" s="5" t="s">
        <v>326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x14ac:dyDescent="0.2">
      <c r="A125" s="5" t="s">
        <v>547</v>
      </c>
      <c r="B125" s="5" t="s">
        <v>178</v>
      </c>
      <c r="C125" s="5" t="s">
        <v>432</v>
      </c>
      <c r="D125" s="7">
        <v>46261</v>
      </c>
      <c r="E125" s="7"/>
      <c r="F125" s="10" t="str">
        <f>IF(E125="","",E125-D125)</f>
        <v/>
      </c>
      <c r="G125" s="5" t="str">
        <f>IF(E125="","Open",IF(F125&gt;0,"Delayed","Done"))</f>
        <v>Open</v>
      </c>
      <c r="H125" s="5" t="s">
        <v>321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2">
      <c r="A126" s="5" t="s">
        <v>548</v>
      </c>
      <c r="B126" s="5" t="s">
        <v>178</v>
      </c>
      <c r="C126" s="5" t="s">
        <v>434</v>
      </c>
      <c r="D126" s="7">
        <v>46263</v>
      </c>
      <c r="E126" s="7"/>
      <c r="F126" s="10" t="str">
        <f>IF(E126="","",E126-D126)</f>
        <v/>
      </c>
      <c r="G126" s="5" t="str">
        <f>IF(E126="","Open",IF(F126&gt;0,"Delayed","Done"))</f>
        <v>Open</v>
      </c>
      <c r="H126" s="5" t="s">
        <v>321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x14ac:dyDescent="0.2">
      <c r="A127" s="5" t="s">
        <v>549</v>
      </c>
      <c r="B127" s="5" t="s">
        <v>178</v>
      </c>
      <c r="C127" s="5" t="s">
        <v>436</v>
      </c>
      <c r="D127" s="7">
        <v>46265</v>
      </c>
      <c r="E127" s="7">
        <v>46270</v>
      </c>
      <c r="F127" s="10">
        <f>IF(E127="","",E127-D127)</f>
        <v>5</v>
      </c>
      <c r="G127" s="5" t="str">
        <f>IF(E127="","Open",IF(F127&gt;0,"Delayed","Done"))</f>
        <v>Delayed</v>
      </c>
      <c r="H127" s="5" t="s">
        <v>326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x14ac:dyDescent="0.2">
      <c r="A128" s="5" t="s">
        <v>550</v>
      </c>
      <c r="B128" s="5" t="s">
        <v>178</v>
      </c>
      <c r="C128" s="5" t="s">
        <v>274</v>
      </c>
      <c r="D128" s="7">
        <v>46266</v>
      </c>
      <c r="E128" s="7">
        <v>46264</v>
      </c>
      <c r="F128" s="10">
        <f>IF(E128="","",E128-D128)</f>
        <v>-2</v>
      </c>
      <c r="G128" s="5" t="str">
        <f>IF(E128="","Open",IF(F128&gt;0,"Delayed","Done"))</f>
        <v>Done</v>
      </c>
      <c r="H128" s="5" t="s">
        <v>321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2">
      <c r="A129" s="5" t="s">
        <v>551</v>
      </c>
      <c r="B129" s="5" t="s">
        <v>178</v>
      </c>
      <c r="C129" s="5" t="s">
        <v>439</v>
      </c>
      <c r="D129" s="7">
        <v>46268</v>
      </c>
      <c r="E129" s="7">
        <v>46271</v>
      </c>
      <c r="F129" s="10">
        <f>IF(E129="","",E129-D129)</f>
        <v>3</v>
      </c>
      <c r="G129" s="5" t="str">
        <f>IF(E129="","Open",IF(F129&gt;0,"Delayed","Done"))</f>
        <v>Delayed</v>
      </c>
      <c r="H129" s="5" t="s">
        <v>326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x14ac:dyDescent="0.2">
      <c r="A130" s="5" t="s">
        <v>552</v>
      </c>
      <c r="B130" s="5" t="s">
        <v>182</v>
      </c>
      <c r="C130" s="5" t="s">
        <v>410</v>
      </c>
      <c r="D130" s="7">
        <v>46235</v>
      </c>
      <c r="E130" s="7">
        <v>46235</v>
      </c>
      <c r="F130" s="10">
        <f>IF(E130="","",E130-D130)</f>
        <v>0</v>
      </c>
      <c r="G130" s="5" t="str">
        <f>IF(E130="","Open",IF(F130&gt;0,"Delayed","Done"))</f>
        <v>Done</v>
      </c>
      <c r="H130" s="5" t="s">
        <v>321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x14ac:dyDescent="0.2">
      <c r="A131" s="5" t="s">
        <v>553</v>
      </c>
      <c r="B131" s="5" t="s">
        <v>182</v>
      </c>
      <c r="C131" s="5" t="s">
        <v>412</v>
      </c>
      <c r="D131" s="7">
        <v>46238</v>
      </c>
      <c r="E131" s="7">
        <v>46236</v>
      </c>
      <c r="F131" s="10">
        <f>IF(E131="","",E131-D131)</f>
        <v>-2</v>
      </c>
      <c r="G131" s="5" t="str">
        <f>IF(E131="","Open",IF(F131&gt;0,"Delayed","Done"))</f>
        <v>Done</v>
      </c>
      <c r="H131" s="5" t="s">
        <v>321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x14ac:dyDescent="0.2">
      <c r="A132" s="5" t="s">
        <v>554</v>
      </c>
      <c r="B132" s="5" t="s">
        <v>182</v>
      </c>
      <c r="C132" s="5" t="s">
        <v>414</v>
      </c>
      <c r="D132" s="7">
        <v>46240</v>
      </c>
      <c r="E132" s="7">
        <v>46242</v>
      </c>
      <c r="F132" s="10">
        <f>IF(E132="","",E132-D132)</f>
        <v>2</v>
      </c>
      <c r="G132" s="5" t="str">
        <f>IF(E132="","Open",IF(F132&gt;0,"Delayed","Done"))</f>
        <v>Delayed</v>
      </c>
      <c r="H132" s="5" t="s">
        <v>321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x14ac:dyDescent="0.2">
      <c r="A133" s="5" t="s">
        <v>555</v>
      </c>
      <c r="B133" s="5" t="s">
        <v>182</v>
      </c>
      <c r="C133" s="5" t="s">
        <v>416</v>
      </c>
      <c r="D133" s="7">
        <v>46242</v>
      </c>
      <c r="E133" s="7">
        <v>46242</v>
      </c>
      <c r="F133" s="10">
        <f>IF(E133="","",E133-D133)</f>
        <v>0</v>
      </c>
      <c r="G133" s="5" t="str">
        <f>IF(E133="","Open",IF(F133&gt;0,"Delayed","Done"))</f>
        <v>Done</v>
      </c>
      <c r="H133" s="5" t="s">
        <v>321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x14ac:dyDescent="0.2">
      <c r="A134" s="5" t="s">
        <v>556</v>
      </c>
      <c r="B134" s="5" t="s">
        <v>182</v>
      </c>
      <c r="C134" s="5" t="s">
        <v>418</v>
      </c>
      <c r="D134" s="7">
        <v>46246</v>
      </c>
      <c r="E134" s="7">
        <v>46247</v>
      </c>
      <c r="F134" s="10">
        <f>IF(E134="","",E134-D134)</f>
        <v>1</v>
      </c>
      <c r="G134" s="5" t="str">
        <f>IF(E134="","Open",IF(F134&gt;0,"Delayed","Done"))</f>
        <v>Delayed</v>
      </c>
      <c r="H134" s="5" t="s">
        <v>321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2">
      <c r="A135" s="5" t="s">
        <v>557</v>
      </c>
      <c r="B135" s="5" t="s">
        <v>182</v>
      </c>
      <c r="C135" s="5" t="s">
        <v>420</v>
      </c>
      <c r="D135" s="7">
        <v>46252</v>
      </c>
      <c r="E135" s="7">
        <v>46251</v>
      </c>
      <c r="F135" s="10">
        <f>IF(E135="","",E135-D135)</f>
        <v>-1</v>
      </c>
      <c r="G135" s="5" t="str">
        <f>IF(E135="","Open",IF(F135&gt;0,"Delayed","Done"))</f>
        <v>Done</v>
      </c>
      <c r="H135" s="5" t="s">
        <v>321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2">
      <c r="A136" s="5" t="s">
        <v>558</v>
      </c>
      <c r="B136" s="5" t="s">
        <v>182</v>
      </c>
      <c r="C136" s="5" t="s">
        <v>422</v>
      </c>
      <c r="D136" s="7">
        <v>46256</v>
      </c>
      <c r="E136" s="7">
        <v>46255</v>
      </c>
      <c r="F136" s="10">
        <f>IF(E136="","",E136-D136)</f>
        <v>-1</v>
      </c>
      <c r="G136" s="5" t="str">
        <f>IF(E136="","Open",IF(F136&gt;0,"Delayed","Done"))</f>
        <v>Done</v>
      </c>
      <c r="H136" s="5" t="s">
        <v>321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2">
      <c r="A137" s="5" t="s">
        <v>559</v>
      </c>
      <c r="B137" s="5" t="s">
        <v>182</v>
      </c>
      <c r="C137" s="5" t="s">
        <v>424</v>
      </c>
      <c r="D137" s="7">
        <v>46262</v>
      </c>
      <c r="E137" s="7">
        <v>46260</v>
      </c>
      <c r="F137" s="10">
        <f>IF(E137="","",E137-D137)</f>
        <v>-2</v>
      </c>
      <c r="G137" s="5" t="str">
        <f>IF(E137="","Open",IF(F137&gt;0,"Delayed","Done"))</f>
        <v>Done</v>
      </c>
      <c r="H137" s="5" t="s">
        <v>326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2">
      <c r="A138" s="5" t="s">
        <v>560</v>
      </c>
      <c r="B138" s="5" t="s">
        <v>182</v>
      </c>
      <c r="C138" s="5" t="s">
        <v>426</v>
      </c>
      <c r="D138" s="7">
        <v>46264</v>
      </c>
      <c r="E138" s="7">
        <v>46269</v>
      </c>
      <c r="F138" s="10">
        <f>IF(E138="","",E138-D138)</f>
        <v>5</v>
      </c>
      <c r="G138" s="5" t="str">
        <f>IF(E138="","Open",IF(F138&gt;0,"Delayed","Done"))</f>
        <v>Delayed</v>
      </c>
      <c r="H138" s="5" t="s">
        <v>326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x14ac:dyDescent="0.2">
      <c r="A139" s="5" t="s">
        <v>561</v>
      </c>
      <c r="B139" s="5" t="s">
        <v>182</v>
      </c>
      <c r="C139" s="5" t="s">
        <v>428</v>
      </c>
      <c r="D139" s="7">
        <v>46266</v>
      </c>
      <c r="E139" s="7"/>
      <c r="F139" s="10" t="str">
        <f>IF(E139="","",E139-D139)</f>
        <v/>
      </c>
      <c r="G139" s="5" t="str">
        <f>IF(E139="","Open",IF(F139&gt;0,"Delayed","Done"))</f>
        <v>Open</v>
      </c>
      <c r="H139" s="5" t="s">
        <v>326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x14ac:dyDescent="0.2">
      <c r="A140" s="5" t="s">
        <v>562</v>
      </c>
      <c r="B140" s="5" t="s">
        <v>182</v>
      </c>
      <c r="C140" s="5" t="s">
        <v>430</v>
      </c>
      <c r="D140" s="7">
        <v>46269</v>
      </c>
      <c r="E140" s="7"/>
      <c r="F140" s="10" t="str">
        <f>IF(E140="","",E140-D140)</f>
        <v/>
      </c>
      <c r="G140" s="5" t="str">
        <f>IF(E140="","Open",IF(F140&gt;0,"Delayed","Done"))</f>
        <v>Open</v>
      </c>
      <c r="H140" s="5" t="s">
        <v>326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2">
      <c r="A141" s="5" t="s">
        <v>563</v>
      </c>
      <c r="B141" s="5" t="s">
        <v>182</v>
      </c>
      <c r="C141" s="5" t="s">
        <v>432</v>
      </c>
      <c r="D141" s="7">
        <v>46273</v>
      </c>
      <c r="E141" s="7">
        <v>46276</v>
      </c>
      <c r="F141" s="10">
        <f>IF(E141="","",E141-D141)</f>
        <v>3</v>
      </c>
      <c r="G141" s="5" t="str">
        <f>IF(E141="","Open",IF(F141&gt;0,"Delayed","Done"))</f>
        <v>Delayed</v>
      </c>
      <c r="H141" s="5" t="s">
        <v>321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x14ac:dyDescent="0.2">
      <c r="A142" s="5" t="s">
        <v>564</v>
      </c>
      <c r="B142" s="5" t="s">
        <v>182</v>
      </c>
      <c r="C142" s="5" t="s">
        <v>434</v>
      </c>
      <c r="D142" s="7">
        <v>46275</v>
      </c>
      <c r="E142" s="7"/>
      <c r="F142" s="10" t="str">
        <f>IF(E142="","",E142-D142)</f>
        <v/>
      </c>
      <c r="G142" s="5" t="str">
        <f>IF(E142="","Open",IF(F142&gt;0,"Delayed","Done"))</f>
        <v>Open</v>
      </c>
      <c r="H142" s="5" t="s">
        <v>321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x14ac:dyDescent="0.2">
      <c r="A143" s="5" t="s">
        <v>565</v>
      </c>
      <c r="B143" s="5" t="s">
        <v>182</v>
      </c>
      <c r="C143" s="5" t="s">
        <v>436</v>
      </c>
      <c r="D143" s="7">
        <v>46277</v>
      </c>
      <c r="E143" s="7"/>
      <c r="F143" s="10" t="str">
        <f>IF(E143="","",E143-D143)</f>
        <v/>
      </c>
      <c r="G143" s="5" t="str">
        <f>IF(E143="","Open",IF(F143&gt;0,"Delayed","Done"))</f>
        <v>Open</v>
      </c>
      <c r="H143" s="5" t="s">
        <v>326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2">
      <c r="A144" s="5" t="s">
        <v>566</v>
      </c>
      <c r="B144" s="5" t="s">
        <v>182</v>
      </c>
      <c r="C144" s="5" t="s">
        <v>274</v>
      </c>
      <c r="D144" s="7">
        <v>46278</v>
      </c>
      <c r="E144" s="7">
        <v>46277</v>
      </c>
      <c r="F144" s="10">
        <f>IF(E144="","",E144-D144)</f>
        <v>-1</v>
      </c>
      <c r="G144" s="5" t="str">
        <f>IF(E144="","Open",IF(F144&gt;0,"Delayed","Done"))</f>
        <v>Done</v>
      </c>
      <c r="H144" s="5" t="s">
        <v>321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x14ac:dyDescent="0.2">
      <c r="A145" s="5" t="s">
        <v>567</v>
      </c>
      <c r="B145" s="5" t="s">
        <v>182</v>
      </c>
      <c r="C145" s="5" t="s">
        <v>439</v>
      </c>
      <c r="D145" s="7">
        <v>46280</v>
      </c>
      <c r="E145" s="7">
        <v>46278</v>
      </c>
      <c r="F145" s="10">
        <f>IF(E145="","",E145-D145)</f>
        <v>-2</v>
      </c>
      <c r="G145" s="5" t="str">
        <f>IF(E145="","Open",IF(F145&gt;0,"Delayed","Done"))</f>
        <v>Done</v>
      </c>
      <c r="H145" s="5" t="s">
        <v>326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x14ac:dyDescent="0.2">
      <c r="A146" s="5" t="s">
        <v>568</v>
      </c>
      <c r="B146" s="5" t="s">
        <v>184</v>
      </c>
      <c r="C146" s="5" t="s">
        <v>410</v>
      </c>
      <c r="D146" s="7">
        <v>46142</v>
      </c>
      <c r="E146" s="7">
        <v>46142</v>
      </c>
      <c r="F146" s="10">
        <f>IF(E146="","",E146-D146)</f>
        <v>0</v>
      </c>
      <c r="G146" s="5" t="str">
        <f>IF(E146="","Open",IF(F146&gt;0,"Delayed","Done"))</f>
        <v>Done</v>
      </c>
      <c r="H146" s="5" t="s">
        <v>321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x14ac:dyDescent="0.2">
      <c r="A147" s="5" t="s">
        <v>569</v>
      </c>
      <c r="B147" s="5" t="s">
        <v>184</v>
      </c>
      <c r="C147" s="5" t="s">
        <v>412</v>
      </c>
      <c r="D147" s="7">
        <v>46145</v>
      </c>
      <c r="E147" s="7">
        <v>46145</v>
      </c>
      <c r="F147" s="10">
        <f>IF(E147="","",E147-D147)</f>
        <v>0</v>
      </c>
      <c r="G147" s="5" t="str">
        <f>IF(E147="","Open",IF(F147&gt;0,"Delayed","Done"))</f>
        <v>Done</v>
      </c>
      <c r="H147" s="5" t="s">
        <v>321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2">
      <c r="A148" s="5" t="s">
        <v>570</v>
      </c>
      <c r="B148" s="5" t="s">
        <v>184</v>
      </c>
      <c r="C148" s="5" t="s">
        <v>414</v>
      </c>
      <c r="D148" s="7">
        <v>46147</v>
      </c>
      <c r="E148" s="7"/>
      <c r="F148" s="10" t="str">
        <f>IF(E148="","",E148-D148)</f>
        <v/>
      </c>
      <c r="G148" s="5" t="str">
        <f>IF(E148="","Open",IF(F148&gt;0,"Delayed","Done"))</f>
        <v>Open</v>
      </c>
      <c r="H148" s="5" t="s">
        <v>321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2">
      <c r="A149" s="5" t="s">
        <v>571</v>
      </c>
      <c r="B149" s="5" t="s">
        <v>184</v>
      </c>
      <c r="C149" s="5" t="s">
        <v>416</v>
      </c>
      <c r="D149" s="7">
        <v>46149</v>
      </c>
      <c r="E149" s="7">
        <v>46150</v>
      </c>
      <c r="F149" s="10">
        <f>IF(E149="","",E149-D149)</f>
        <v>1</v>
      </c>
      <c r="G149" s="5" t="str">
        <f>IF(E149="","Open",IF(F149&gt;0,"Delayed","Done"))</f>
        <v>Delayed</v>
      </c>
      <c r="H149" s="5" t="s">
        <v>321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2">
      <c r="A150" s="5" t="s">
        <v>572</v>
      </c>
      <c r="B150" s="5" t="s">
        <v>184</v>
      </c>
      <c r="C150" s="5" t="s">
        <v>418</v>
      </c>
      <c r="D150" s="7">
        <v>46153</v>
      </c>
      <c r="E150" s="7">
        <v>46156</v>
      </c>
      <c r="F150" s="10">
        <f>IF(E150="","",E150-D150)</f>
        <v>3</v>
      </c>
      <c r="G150" s="5" t="str">
        <f>IF(E150="","Open",IF(F150&gt;0,"Delayed","Done"))</f>
        <v>Delayed</v>
      </c>
      <c r="H150" s="5" t="s">
        <v>321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x14ac:dyDescent="0.2">
      <c r="A151" s="5" t="s">
        <v>573</v>
      </c>
      <c r="B151" s="5" t="s">
        <v>184</v>
      </c>
      <c r="C151" s="5" t="s">
        <v>420</v>
      </c>
      <c r="D151" s="7">
        <v>46159</v>
      </c>
      <c r="E151" s="7"/>
      <c r="F151" s="10" t="str">
        <f>IF(E151="","",E151-D151)</f>
        <v/>
      </c>
      <c r="G151" s="5" t="str">
        <f>IF(E151="","Open",IF(F151&gt;0,"Delayed","Done"))</f>
        <v>Open</v>
      </c>
      <c r="H151" s="5" t="s">
        <v>321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x14ac:dyDescent="0.2">
      <c r="A152" s="5" t="s">
        <v>574</v>
      </c>
      <c r="B152" s="5" t="s">
        <v>184</v>
      </c>
      <c r="C152" s="5" t="s">
        <v>422</v>
      </c>
      <c r="D152" s="7">
        <v>46163</v>
      </c>
      <c r="E152" s="7"/>
      <c r="F152" s="10" t="str">
        <f>IF(E152="","",E152-D152)</f>
        <v/>
      </c>
      <c r="G152" s="5" t="str">
        <f>IF(E152="","Open",IF(F152&gt;0,"Delayed","Done"))</f>
        <v>Open</v>
      </c>
      <c r="H152" s="5" t="s">
        <v>321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x14ac:dyDescent="0.2">
      <c r="A153" s="5" t="s">
        <v>575</v>
      </c>
      <c r="B153" s="5" t="s">
        <v>184</v>
      </c>
      <c r="C153" s="5" t="s">
        <v>424</v>
      </c>
      <c r="D153" s="7">
        <v>46169</v>
      </c>
      <c r="E153" s="7"/>
      <c r="F153" s="10" t="str">
        <f>IF(E153="","",E153-D153)</f>
        <v/>
      </c>
      <c r="G153" s="5" t="str">
        <f>IF(E153="","Open",IF(F153&gt;0,"Delayed","Done"))</f>
        <v>Open</v>
      </c>
      <c r="H153" s="5" t="s">
        <v>326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2">
      <c r="A154" s="5" t="s">
        <v>576</v>
      </c>
      <c r="B154" s="5" t="s">
        <v>184</v>
      </c>
      <c r="C154" s="5" t="s">
        <v>426</v>
      </c>
      <c r="D154" s="7">
        <v>46171</v>
      </c>
      <c r="E154" s="7">
        <v>46171</v>
      </c>
      <c r="F154" s="10">
        <f>IF(E154="","",E154-D154)</f>
        <v>0</v>
      </c>
      <c r="G154" s="5" t="str">
        <f>IF(E154="","Open",IF(F154&gt;0,"Delayed","Done"))</f>
        <v>Done</v>
      </c>
      <c r="H154" s="5" t="s">
        <v>326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x14ac:dyDescent="0.2">
      <c r="A155" s="5" t="s">
        <v>577</v>
      </c>
      <c r="B155" s="5" t="s">
        <v>184</v>
      </c>
      <c r="C155" s="5" t="s">
        <v>428</v>
      </c>
      <c r="D155" s="7">
        <v>46173</v>
      </c>
      <c r="E155" s="7">
        <v>46175</v>
      </c>
      <c r="F155" s="10">
        <f>IF(E155="","",E155-D155)</f>
        <v>2</v>
      </c>
      <c r="G155" s="5" t="str">
        <f>IF(E155="","Open",IF(F155&gt;0,"Delayed","Done"))</f>
        <v>Delayed</v>
      </c>
      <c r="H155" s="5" t="s">
        <v>326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x14ac:dyDescent="0.2">
      <c r="A156" s="5" t="s">
        <v>578</v>
      </c>
      <c r="B156" s="5" t="s">
        <v>184</v>
      </c>
      <c r="C156" s="5" t="s">
        <v>430</v>
      </c>
      <c r="D156" s="7">
        <v>46176</v>
      </c>
      <c r="E156" s="7">
        <v>46181</v>
      </c>
      <c r="F156" s="10">
        <f>IF(E156="","",E156-D156)</f>
        <v>5</v>
      </c>
      <c r="G156" s="5" t="str">
        <f>IF(E156="","Open",IF(F156&gt;0,"Delayed","Done"))</f>
        <v>Delayed</v>
      </c>
      <c r="H156" s="5" t="s">
        <v>326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x14ac:dyDescent="0.2">
      <c r="A157" s="5" t="s">
        <v>579</v>
      </c>
      <c r="B157" s="5" t="s">
        <v>184</v>
      </c>
      <c r="C157" s="5" t="s">
        <v>432</v>
      </c>
      <c r="D157" s="7">
        <v>46180</v>
      </c>
      <c r="E157" s="7">
        <v>46178</v>
      </c>
      <c r="F157" s="10">
        <f>IF(E157="","",E157-D157)</f>
        <v>-2</v>
      </c>
      <c r="G157" s="5" t="str">
        <f>IF(E157="","Open",IF(F157&gt;0,"Delayed","Done"))</f>
        <v>Done</v>
      </c>
      <c r="H157" s="5" t="s">
        <v>321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2">
      <c r="A158" s="5" t="s">
        <v>580</v>
      </c>
      <c r="B158" s="5" t="s">
        <v>184</v>
      </c>
      <c r="C158" s="5" t="s">
        <v>434</v>
      </c>
      <c r="D158" s="7">
        <v>46182</v>
      </c>
      <c r="E158" s="7"/>
      <c r="F158" s="10" t="str">
        <f>IF(E158="","",E158-D158)</f>
        <v/>
      </c>
      <c r="G158" s="5" t="str">
        <f>IF(E158="","Open",IF(F158&gt;0,"Delayed","Done"))</f>
        <v>Open</v>
      </c>
      <c r="H158" s="5" t="s">
        <v>321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x14ac:dyDescent="0.2">
      <c r="A159" s="5" t="s">
        <v>581</v>
      </c>
      <c r="B159" s="5" t="s">
        <v>184</v>
      </c>
      <c r="C159" s="5" t="s">
        <v>436</v>
      </c>
      <c r="D159" s="7">
        <v>46184</v>
      </c>
      <c r="E159" s="7">
        <v>46186</v>
      </c>
      <c r="F159" s="10">
        <f>IF(E159="","",E159-D159)</f>
        <v>2</v>
      </c>
      <c r="G159" s="5" t="str">
        <f>IF(E159="","Open",IF(F159&gt;0,"Delayed","Done"))</f>
        <v>Delayed</v>
      </c>
      <c r="H159" s="5" t="s">
        <v>326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2">
      <c r="A160" s="5" t="s">
        <v>582</v>
      </c>
      <c r="B160" s="5" t="s">
        <v>184</v>
      </c>
      <c r="C160" s="5" t="s">
        <v>274</v>
      </c>
      <c r="D160" s="7">
        <v>46185</v>
      </c>
      <c r="E160" s="7"/>
      <c r="F160" s="10" t="str">
        <f>IF(E160="","",E160-D160)</f>
        <v/>
      </c>
      <c r="G160" s="5" t="str">
        <f>IF(E160="","Open",IF(F160&gt;0,"Delayed","Done"))</f>
        <v>Open</v>
      </c>
      <c r="H160" s="5" t="s">
        <v>321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2">
      <c r="A161" s="5" t="s">
        <v>583</v>
      </c>
      <c r="B161" s="5" t="s">
        <v>184</v>
      </c>
      <c r="C161" s="5" t="s">
        <v>439</v>
      </c>
      <c r="D161" s="7">
        <v>46187</v>
      </c>
      <c r="E161" s="7"/>
      <c r="F161" s="10" t="str">
        <f>IF(E161="","",E161-D161)</f>
        <v/>
      </c>
      <c r="G161" s="5" t="str">
        <f>IF(E161="","Open",IF(F161&gt;0,"Delayed","Done"))</f>
        <v>Open</v>
      </c>
      <c r="H161" s="5" t="s">
        <v>326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x14ac:dyDescent="0.2">
      <c r="A162" s="5" t="s">
        <v>584</v>
      </c>
      <c r="B162" s="5" t="s">
        <v>188</v>
      </c>
      <c r="C162" s="5" t="s">
        <v>410</v>
      </c>
      <c r="D162" s="7">
        <v>46254</v>
      </c>
      <c r="E162" s="7">
        <v>46259</v>
      </c>
      <c r="F162" s="10">
        <f>IF(E162="","",E162-D162)</f>
        <v>5</v>
      </c>
      <c r="G162" s="5" t="str">
        <f>IF(E162="","Open",IF(F162&gt;0,"Delayed","Done"))</f>
        <v>Delayed</v>
      </c>
      <c r="H162" s="5" t="s">
        <v>321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x14ac:dyDescent="0.2">
      <c r="A163" s="5" t="s">
        <v>585</v>
      </c>
      <c r="B163" s="5" t="s">
        <v>188</v>
      </c>
      <c r="C163" s="5" t="s">
        <v>412</v>
      </c>
      <c r="D163" s="7">
        <v>46257</v>
      </c>
      <c r="E163" s="7"/>
      <c r="F163" s="10" t="str">
        <f>IF(E163="","",E163-D163)</f>
        <v/>
      </c>
      <c r="G163" s="5" t="str">
        <f>IF(E163="","Open",IF(F163&gt;0,"Delayed","Done"))</f>
        <v>Open</v>
      </c>
      <c r="H163" s="5" t="s">
        <v>321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x14ac:dyDescent="0.2">
      <c r="A164" s="5" t="s">
        <v>586</v>
      </c>
      <c r="B164" s="5" t="s">
        <v>188</v>
      </c>
      <c r="C164" s="5" t="s">
        <v>414</v>
      </c>
      <c r="D164" s="7">
        <v>46259</v>
      </c>
      <c r="E164" s="7">
        <v>46257</v>
      </c>
      <c r="F164" s="10">
        <f>IF(E164="","",E164-D164)</f>
        <v>-2</v>
      </c>
      <c r="G164" s="5" t="str">
        <f>IF(E164="","Open",IF(F164&gt;0,"Delayed","Done"))</f>
        <v>Done</v>
      </c>
      <c r="H164" s="5" t="s">
        <v>321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x14ac:dyDescent="0.2">
      <c r="A165" s="5" t="s">
        <v>587</v>
      </c>
      <c r="B165" s="5" t="s">
        <v>188</v>
      </c>
      <c r="C165" s="5" t="s">
        <v>416</v>
      </c>
      <c r="D165" s="7">
        <v>46261</v>
      </c>
      <c r="E165" s="7"/>
      <c r="F165" s="10" t="str">
        <f>IF(E165="","",E165-D165)</f>
        <v/>
      </c>
      <c r="G165" s="5" t="str">
        <f>IF(E165="","Open",IF(F165&gt;0,"Delayed","Done"))</f>
        <v>Open</v>
      </c>
      <c r="H165" s="5" t="s">
        <v>321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2">
      <c r="A166" s="5" t="s">
        <v>588</v>
      </c>
      <c r="B166" s="5" t="s">
        <v>188</v>
      </c>
      <c r="C166" s="5" t="s">
        <v>418</v>
      </c>
      <c r="D166" s="7">
        <v>46265</v>
      </c>
      <c r="E166" s="7">
        <v>46265</v>
      </c>
      <c r="F166" s="10">
        <f>IF(E166="","",E166-D166)</f>
        <v>0</v>
      </c>
      <c r="G166" s="5" t="str">
        <f>IF(E166="","Open",IF(F166&gt;0,"Delayed","Done"))</f>
        <v>Done</v>
      </c>
      <c r="H166" s="5" t="s">
        <v>321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2">
      <c r="A167" s="5" t="s">
        <v>589</v>
      </c>
      <c r="B167" s="5" t="s">
        <v>188</v>
      </c>
      <c r="C167" s="5" t="s">
        <v>420</v>
      </c>
      <c r="D167" s="7">
        <v>46271</v>
      </c>
      <c r="E167" s="7">
        <v>46271</v>
      </c>
      <c r="F167" s="10">
        <f>IF(E167="","",E167-D167)</f>
        <v>0</v>
      </c>
      <c r="G167" s="5" t="str">
        <f>IF(E167="","Open",IF(F167&gt;0,"Delayed","Done"))</f>
        <v>Done</v>
      </c>
      <c r="H167" s="5" t="s">
        <v>321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2">
      <c r="A168" s="5" t="s">
        <v>590</v>
      </c>
      <c r="B168" s="5" t="s">
        <v>188</v>
      </c>
      <c r="C168" s="5" t="s">
        <v>422</v>
      </c>
      <c r="D168" s="7">
        <v>46275</v>
      </c>
      <c r="E168" s="7"/>
      <c r="F168" s="10" t="str">
        <f>IF(E168="","",E168-D168)</f>
        <v/>
      </c>
      <c r="G168" s="5" t="str">
        <f>IF(E168="","Open",IF(F168&gt;0,"Delayed","Done"))</f>
        <v>Open</v>
      </c>
      <c r="H168" s="5" t="s">
        <v>321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2">
      <c r="A169" s="5" t="s">
        <v>591</v>
      </c>
      <c r="B169" s="5" t="s">
        <v>188</v>
      </c>
      <c r="C169" s="5" t="s">
        <v>424</v>
      </c>
      <c r="D169" s="7">
        <v>46281</v>
      </c>
      <c r="E169" s="7">
        <v>46282</v>
      </c>
      <c r="F169" s="10">
        <f>IF(E169="","",E169-D169)</f>
        <v>1</v>
      </c>
      <c r="G169" s="5" t="str">
        <f>IF(E169="","Open",IF(F169&gt;0,"Delayed","Done"))</f>
        <v>Delayed</v>
      </c>
      <c r="H169" s="5" t="s">
        <v>326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2">
      <c r="A170" s="5" t="s">
        <v>592</v>
      </c>
      <c r="B170" s="5" t="s">
        <v>188</v>
      </c>
      <c r="C170" s="5" t="s">
        <v>426</v>
      </c>
      <c r="D170" s="7">
        <v>46283</v>
      </c>
      <c r="E170" s="7">
        <v>46282</v>
      </c>
      <c r="F170" s="10">
        <f>IF(E170="","",E170-D170)</f>
        <v>-1</v>
      </c>
      <c r="G170" s="5" t="str">
        <f>IF(E170="","Open",IF(F170&gt;0,"Delayed","Done"))</f>
        <v>Done</v>
      </c>
      <c r="H170" s="5" t="s">
        <v>326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2">
      <c r="A171" s="5" t="s">
        <v>593</v>
      </c>
      <c r="B171" s="5" t="s">
        <v>188</v>
      </c>
      <c r="C171" s="5" t="s">
        <v>428</v>
      </c>
      <c r="D171" s="7">
        <v>46285</v>
      </c>
      <c r="E171" s="7">
        <v>46290</v>
      </c>
      <c r="F171" s="10">
        <f>IF(E171="","",E171-D171)</f>
        <v>5</v>
      </c>
      <c r="G171" s="5" t="str">
        <f>IF(E171="","Open",IF(F171&gt;0,"Delayed","Done"))</f>
        <v>Delayed</v>
      </c>
      <c r="H171" s="5" t="s">
        <v>326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2">
      <c r="A172" s="5" t="s">
        <v>594</v>
      </c>
      <c r="B172" s="5" t="s">
        <v>188</v>
      </c>
      <c r="C172" s="5" t="s">
        <v>430</v>
      </c>
      <c r="D172" s="7">
        <v>46288</v>
      </c>
      <c r="E172" s="7">
        <v>46290</v>
      </c>
      <c r="F172" s="10">
        <f>IF(E172="","",E172-D172)</f>
        <v>2</v>
      </c>
      <c r="G172" s="5" t="str">
        <f>IF(E172="","Open",IF(F172&gt;0,"Delayed","Done"))</f>
        <v>Delayed</v>
      </c>
      <c r="H172" s="5" t="s">
        <v>326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2">
      <c r="A173" s="5" t="s">
        <v>595</v>
      </c>
      <c r="B173" s="5" t="s">
        <v>188</v>
      </c>
      <c r="C173" s="5" t="s">
        <v>432</v>
      </c>
      <c r="D173" s="7">
        <v>46292</v>
      </c>
      <c r="E173" s="7">
        <v>46290</v>
      </c>
      <c r="F173" s="10">
        <f>IF(E173="","",E173-D173)</f>
        <v>-2</v>
      </c>
      <c r="G173" s="5" t="str">
        <f>IF(E173="","Open",IF(F173&gt;0,"Delayed","Done"))</f>
        <v>Done</v>
      </c>
      <c r="H173" s="5" t="s">
        <v>321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2">
      <c r="A174" s="5" t="s">
        <v>596</v>
      </c>
      <c r="B174" s="5" t="s">
        <v>188</v>
      </c>
      <c r="C174" s="5" t="s">
        <v>434</v>
      </c>
      <c r="D174" s="7">
        <v>46294</v>
      </c>
      <c r="E174" s="7">
        <v>46294</v>
      </c>
      <c r="F174" s="10">
        <f>IF(E174="","",E174-D174)</f>
        <v>0</v>
      </c>
      <c r="G174" s="5" t="str">
        <f>IF(E174="","Open",IF(F174&gt;0,"Delayed","Done"))</f>
        <v>Done</v>
      </c>
      <c r="H174" s="5" t="s">
        <v>321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2">
      <c r="A175" s="5" t="s">
        <v>597</v>
      </c>
      <c r="B175" s="5" t="s">
        <v>188</v>
      </c>
      <c r="C175" s="5" t="s">
        <v>436</v>
      </c>
      <c r="D175" s="7">
        <v>46296</v>
      </c>
      <c r="E175" s="7">
        <v>46296</v>
      </c>
      <c r="F175" s="10">
        <f>IF(E175="","",E175-D175)</f>
        <v>0</v>
      </c>
      <c r="G175" s="5" t="str">
        <f>IF(E175="","Open",IF(F175&gt;0,"Delayed","Done"))</f>
        <v>Done</v>
      </c>
      <c r="H175" s="5" t="s">
        <v>326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2">
      <c r="A176" s="5" t="s">
        <v>598</v>
      </c>
      <c r="B176" s="5" t="s">
        <v>188</v>
      </c>
      <c r="C176" s="5" t="s">
        <v>274</v>
      </c>
      <c r="D176" s="7">
        <v>46297</v>
      </c>
      <c r="E176" s="7"/>
      <c r="F176" s="10" t="str">
        <f>IF(E176="","",E176-D176)</f>
        <v/>
      </c>
      <c r="G176" s="5" t="str">
        <f>IF(E176="","Open",IF(F176&gt;0,"Delayed","Done"))</f>
        <v>Open</v>
      </c>
      <c r="H176" s="5" t="s">
        <v>321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2">
      <c r="A177" s="5" t="s">
        <v>599</v>
      </c>
      <c r="B177" s="5" t="s">
        <v>188</v>
      </c>
      <c r="C177" s="5" t="s">
        <v>439</v>
      </c>
      <c r="D177" s="7">
        <v>46299</v>
      </c>
      <c r="E177" s="7"/>
      <c r="F177" s="10" t="str">
        <f>IF(E177="","",E177-D177)</f>
        <v/>
      </c>
      <c r="G177" s="5" t="str">
        <f>IF(E177="","Open",IF(F177&gt;0,"Delayed","Done"))</f>
        <v>Open</v>
      </c>
      <c r="H177" s="5" t="s">
        <v>326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2">
      <c r="A178" s="5" t="s">
        <v>600</v>
      </c>
      <c r="B178" s="5" t="s">
        <v>191</v>
      </c>
      <c r="C178" s="5" t="s">
        <v>410</v>
      </c>
      <c r="D178" s="7">
        <v>46192</v>
      </c>
      <c r="E178" s="7">
        <v>46193</v>
      </c>
      <c r="F178" s="10">
        <f>IF(E178="","",E178-D178)</f>
        <v>1</v>
      </c>
      <c r="G178" s="5" t="str">
        <f>IF(E178="","Open",IF(F178&gt;0,"Delayed","Done"))</f>
        <v>Delayed</v>
      </c>
      <c r="H178" s="5" t="s">
        <v>321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2">
      <c r="A179" s="5" t="s">
        <v>601</v>
      </c>
      <c r="B179" s="5" t="s">
        <v>191</v>
      </c>
      <c r="C179" s="5" t="s">
        <v>412</v>
      </c>
      <c r="D179" s="7">
        <v>46195</v>
      </c>
      <c r="E179" s="7">
        <v>46195</v>
      </c>
      <c r="F179" s="10">
        <f>IF(E179="","",E179-D179)</f>
        <v>0</v>
      </c>
      <c r="G179" s="5" t="str">
        <f>IF(E179="","Open",IF(F179&gt;0,"Delayed","Done"))</f>
        <v>Done</v>
      </c>
      <c r="H179" s="5" t="s">
        <v>321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2">
      <c r="A180" s="5" t="s">
        <v>602</v>
      </c>
      <c r="B180" s="5" t="s">
        <v>191</v>
      </c>
      <c r="C180" s="5" t="s">
        <v>414</v>
      </c>
      <c r="D180" s="7">
        <v>46197</v>
      </c>
      <c r="E180" s="7">
        <v>46197</v>
      </c>
      <c r="F180" s="10">
        <f>IF(E180="","",E180-D180)</f>
        <v>0</v>
      </c>
      <c r="G180" s="5" t="str">
        <f>IF(E180="","Open",IF(F180&gt;0,"Delayed","Done"))</f>
        <v>Done</v>
      </c>
      <c r="H180" s="5" t="s">
        <v>321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2">
      <c r="A181" s="5" t="s">
        <v>603</v>
      </c>
      <c r="B181" s="5" t="s">
        <v>191</v>
      </c>
      <c r="C181" s="5" t="s">
        <v>416</v>
      </c>
      <c r="D181" s="7">
        <v>46199</v>
      </c>
      <c r="E181" s="7">
        <v>46198</v>
      </c>
      <c r="F181" s="10">
        <f>IF(E181="","",E181-D181)</f>
        <v>-1</v>
      </c>
      <c r="G181" s="5" t="str">
        <f>IF(E181="","Open",IF(F181&gt;0,"Delayed","Done"))</f>
        <v>Done</v>
      </c>
      <c r="H181" s="5" t="s">
        <v>321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2">
      <c r="A182" s="5" t="s">
        <v>604</v>
      </c>
      <c r="B182" s="5" t="s">
        <v>191</v>
      </c>
      <c r="C182" s="5" t="s">
        <v>418</v>
      </c>
      <c r="D182" s="7">
        <v>46203</v>
      </c>
      <c r="E182" s="7">
        <v>46203</v>
      </c>
      <c r="F182" s="10">
        <f>IF(E182="","",E182-D182)</f>
        <v>0</v>
      </c>
      <c r="G182" s="5" t="str">
        <f>IF(E182="","Open",IF(F182&gt;0,"Delayed","Done"))</f>
        <v>Done</v>
      </c>
      <c r="H182" s="5" t="s">
        <v>321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2">
      <c r="A183" s="5" t="s">
        <v>605</v>
      </c>
      <c r="B183" s="5" t="s">
        <v>191</v>
      </c>
      <c r="C183" s="5" t="s">
        <v>420</v>
      </c>
      <c r="D183" s="7">
        <v>46209</v>
      </c>
      <c r="E183" s="7">
        <v>46210</v>
      </c>
      <c r="F183" s="10">
        <f>IF(E183="","",E183-D183)</f>
        <v>1</v>
      </c>
      <c r="G183" s="5" t="str">
        <f>IF(E183="","Open",IF(F183&gt;0,"Delayed","Done"))</f>
        <v>Delayed</v>
      </c>
      <c r="H183" s="5" t="s">
        <v>321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2">
      <c r="A184" s="5" t="s">
        <v>606</v>
      </c>
      <c r="B184" s="5" t="s">
        <v>191</v>
      </c>
      <c r="C184" s="5" t="s">
        <v>422</v>
      </c>
      <c r="D184" s="7">
        <v>46213</v>
      </c>
      <c r="E184" s="7">
        <v>46218</v>
      </c>
      <c r="F184" s="10">
        <f>IF(E184="","",E184-D184)</f>
        <v>5</v>
      </c>
      <c r="G184" s="5" t="str">
        <f>IF(E184="","Open",IF(F184&gt;0,"Delayed","Done"))</f>
        <v>Delayed</v>
      </c>
      <c r="H184" s="5" t="s">
        <v>321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2">
      <c r="A185" s="5" t="s">
        <v>607</v>
      </c>
      <c r="B185" s="5" t="s">
        <v>191</v>
      </c>
      <c r="C185" s="5" t="s">
        <v>424</v>
      </c>
      <c r="D185" s="7">
        <v>46219</v>
      </c>
      <c r="E185" s="7">
        <v>46219</v>
      </c>
      <c r="F185" s="10">
        <f>IF(E185="","",E185-D185)</f>
        <v>0</v>
      </c>
      <c r="G185" s="5" t="str">
        <f>IF(E185="","Open",IF(F185&gt;0,"Delayed","Done"))</f>
        <v>Done</v>
      </c>
      <c r="H185" s="5" t="s">
        <v>326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2">
      <c r="A186" s="5" t="s">
        <v>608</v>
      </c>
      <c r="B186" s="5" t="s">
        <v>191</v>
      </c>
      <c r="C186" s="5" t="s">
        <v>426</v>
      </c>
      <c r="D186" s="7">
        <v>46221</v>
      </c>
      <c r="E186" s="7">
        <v>46224</v>
      </c>
      <c r="F186" s="10">
        <f>IF(E186="","",E186-D186)</f>
        <v>3</v>
      </c>
      <c r="G186" s="5" t="str">
        <f>IF(E186="","Open",IF(F186&gt;0,"Delayed","Done"))</f>
        <v>Delayed</v>
      </c>
      <c r="H186" s="5" t="s">
        <v>326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2">
      <c r="A187" s="5" t="s">
        <v>609</v>
      </c>
      <c r="B187" s="5" t="s">
        <v>191</v>
      </c>
      <c r="C187" s="5" t="s">
        <v>428</v>
      </c>
      <c r="D187" s="7">
        <v>46223</v>
      </c>
      <c r="E187" s="7">
        <v>46222</v>
      </c>
      <c r="F187" s="10">
        <f>IF(E187="","",E187-D187)</f>
        <v>-1</v>
      </c>
      <c r="G187" s="5" t="str">
        <f>IF(E187="","Open",IF(F187&gt;0,"Delayed","Done"))</f>
        <v>Done</v>
      </c>
      <c r="H187" s="5" t="s">
        <v>326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2">
      <c r="A188" s="5" t="s">
        <v>610</v>
      </c>
      <c r="B188" s="5" t="s">
        <v>191</v>
      </c>
      <c r="C188" s="5" t="s">
        <v>430</v>
      </c>
      <c r="D188" s="7">
        <v>46226</v>
      </c>
      <c r="E188" s="7">
        <v>46226</v>
      </c>
      <c r="F188" s="10">
        <f>IF(E188="","",E188-D188)</f>
        <v>0</v>
      </c>
      <c r="G188" s="5" t="str">
        <f>IF(E188="","Open",IF(F188&gt;0,"Delayed","Done"))</f>
        <v>Done</v>
      </c>
      <c r="H188" s="5" t="s">
        <v>326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2">
      <c r="A189" s="5" t="s">
        <v>611</v>
      </c>
      <c r="B189" s="5" t="s">
        <v>191</v>
      </c>
      <c r="C189" s="5" t="s">
        <v>432</v>
      </c>
      <c r="D189" s="7">
        <v>46230</v>
      </c>
      <c r="E189" s="7"/>
      <c r="F189" s="10" t="str">
        <f>IF(E189="","",E189-D189)</f>
        <v/>
      </c>
      <c r="G189" s="5" t="str">
        <f>IF(E189="","Open",IF(F189&gt;0,"Delayed","Done"))</f>
        <v>Open</v>
      </c>
      <c r="H189" s="5" t="s">
        <v>321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2">
      <c r="A190" s="5" t="s">
        <v>612</v>
      </c>
      <c r="B190" s="5" t="s">
        <v>191</v>
      </c>
      <c r="C190" s="5" t="s">
        <v>434</v>
      </c>
      <c r="D190" s="7">
        <v>46232</v>
      </c>
      <c r="E190" s="7"/>
      <c r="F190" s="10" t="str">
        <f>IF(E190="","",E190-D190)</f>
        <v/>
      </c>
      <c r="G190" s="5" t="str">
        <f>IF(E190="","Open",IF(F190&gt;0,"Delayed","Done"))</f>
        <v>Open</v>
      </c>
      <c r="H190" s="5" t="s">
        <v>321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2">
      <c r="A191" s="5" t="s">
        <v>613</v>
      </c>
      <c r="B191" s="5" t="s">
        <v>191</v>
      </c>
      <c r="C191" s="5" t="s">
        <v>436</v>
      </c>
      <c r="D191" s="7">
        <v>46234</v>
      </c>
      <c r="E191" s="7">
        <v>46235</v>
      </c>
      <c r="F191" s="10">
        <f>IF(E191="","",E191-D191)</f>
        <v>1</v>
      </c>
      <c r="G191" s="5" t="str">
        <f>IF(E191="","Open",IF(F191&gt;0,"Delayed","Done"))</f>
        <v>Delayed</v>
      </c>
      <c r="H191" s="5" t="s">
        <v>326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2">
      <c r="A192" s="5" t="s">
        <v>614</v>
      </c>
      <c r="B192" s="5" t="s">
        <v>191</v>
      </c>
      <c r="C192" s="5" t="s">
        <v>274</v>
      </c>
      <c r="D192" s="7">
        <v>46235</v>
      </c>
      <c r="E192" s="7">
        <v>46235</v>
      </c>
      <c r="F192" s="10">
        <f>IF(E192="","",E192-D192)</f>
        <v>0</v>
      </c>
      <c r="G192" s="5" t="str">
        <f>IF(E192="","Open",IF(F192&gt;0,"Delayed","Done"))</f>
        <v>Done</v>
      </c>
      <c r="H192" s="5" t="s">
        <v>321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2">
      <c r="A193" s="5" t="s">
        <v>615</v>
      </c>
      <c r="B193" s="5" t="s">
        <v>191</v>
      </c>
      <c r="C193" s="5" t="s">
        <v>439</v>
      </c>
      <c r="D193" s="7">
        <v>46237</v>
      </c>
      <c r="E193" s="7"/>
      <c r="F193" s="10" t="str">
        <f>IF(E193="","",E193-D193)</f>
        <v/>
      </c>
      <c r="G193" s="5" t="str">
        <f>IF(E193="","Open",IF(F193&gt;0,"Delayed","Done"))</f>
        <v>Open</v>
      </c>
      <c r="H193" s="5" t="s">
        <v>326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x14ac:dyDescent="0.2">
      <c r="A194" s="5" t="s">
        <v>616</v>
      </c>
      <c r="B194" s="5" t="s">
        <v>193</v>
      </c>
      <c r="C194" s="5" t="s">
        <v>410</v>
      </c>
      <c r="D194" s="7">
        <v>46152</v>
      </c>
      <c r="E194" s="7">
        <v>46150</v>
      </c>
      <c r="F194" s="10">
        <f>IF(E194="","",E194-D194)</f>
        <v>-2</v>
      </c>
      <c r="G194" s="5" t="str">
        <f>IF(E194="","Open",IF(F194&gt;0,"Delayed","Done"))</f>
        <v>Done</v>
      </c>
      <c r="H194" s="5" t="s">
        <v>321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2">
      <c r="A195" s="5" t="s">
        <v>617</v>
      </c>
      <c r="B195" s="5" t="s">
        <v>193</v>
      </c>
      <c r="C195" s="5" t="s">
        <v>412</v>
      </c>
      <c r="D195" s="7">
        <v>46155</v>
      </c>
      <c r="E195" s="7"/>
      <c r="F195" s="10" t="str">
        <f>IF(E195="","",E195-D195)</f>
        <v/>
      </c>
      <c r="G195" s="5" t="str">
        <f>IF(E195="","Open",IF(F195&gt;0,"Delayed","Done"))</f>
        <v>Open</v>
      </c>
      <c r="H195" s="5" t="s">
        <v>321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2">
      <c r="A196" s="5" t="s">
        <v>618</v>
      </c>
      <c r="B196" s="5" t="s">
        <v>193</v>
      </c>
      <c r="C196" s="5" t="s">
        <v>414</v>
      </c>
      <c r="D196" s="7">
        <v>46157</v>
      </c>
      <c r="E196" s="7">
        <v>46157</v>
      </c>
      <c r="F196" s="10">
        <f>IF(E196="","",E196-D196)</f>
        <v>0</v>
      </c>
      <c r="G196" s="5" t="str">
        <f>IF(E196="","Open",IF(F196&gt;0,"Delayed","Done"))</f>
        <v>Done</v>
      </c>
      <c r="H196" s="5" t="s">
        <v>321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2">
      <c r="A197" s="5" t="s">
        <v>619</v>
      </c>
      <c r="B197" s="5" t="s">
        <v>193</v>
      </c>
      <c r="C197" s="5" t="s">
        <v>416</v>
      </c>
      <c r="D197" s="7">
        <v>46159</v>
      </c>
      <c r="E197" s="7">
        <v>46161</v>
      </c>
      <c r="F197" s="10">
        <f>IF(E197="","",E197-D197)</f>
        <v>2</v>
      </c>
      <c r="G197" s="5" t="str">
        <f>IF(E197="","Open",IF(F197&gt;0,"Delayed","Done"))</f>
        <v>Delayed</v>
      </c>
      <c r="H197" s="5" t="s">
        <v>321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2">
      <c r="A198" s="5" t="s">
        <v>620</v>
      </c>
      <c r="B198" s="5" t="s">
        <v>193</v>
      </c>
      <c r="C198" s="5" t="s">
        <v>418</v>
      </c>
      <c r="D198" s="7">
        <v>46163</v>
      </c>
      <c r="E198" s="7"/>
      <c r="F198" s="10" t="str">
        <f>IF(E198="","",E198-D198)</f>
        <v/>
      </c>
      <c r="G198" s="5" t="str">
        <f>IF(E198="","Open",IF(F198&gt;0,"Delayed","Done"))</f>
        <v>Open</v>
      </c>
      <c r="H198" s="5" t="s">
        <v>321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2">
      <c r="A199" s="5" t="s">
        <v>621</v>
      </c>
      <c r="B199" s="5" t="s">
        <v>193</v>
      </c>
      <c r="C199" s="5" t="s">
        <v>420</v>
      </c>
      <c r="D199" s="7">
        <v>46169</v>
      </c>
      <c r="E199" s="7">
        <v>46174</v>
      </c>
      <c r="F199" s="10">
        <f>IF(E199="","",E199-D199)</f>
        <v>5</v>
      </c>
      <c r="G199" s="5" t="str">
        <f>IF(E199="","Open",IF(F199&gt;0,"Delayed","Done"))</f>
        <v>Delayed</v>
      </c>
      <c r="H199" s="5" t="s">
        <v>321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2">
      <c r="A200" s="5" t="s">
        <v>622</v>
      </c>
      <c r="B200" s="5" t="s">
        <v>193</v>
      </c>
      <c r="C200" s="5" t="s">
        <v>422</v>
      </c>
      <c r="D200" s="7">
        <v>46173</v>
      </c>
      <c r="E200" s="7">
        <v>46176</v>
      </c>
      <c r="F200" s="10">
        <f>IF(E200="","",E200-D200)</f>
        <v>3</v>
      </c>
      <c r="G200" s="5" t="str">
        <f>IF(E200="","Open",IF(F200&gt;0,"Delayed","Done"))</f>
        <v>Delayed</v>
      </c>
      <c r="H200" s="5" t="s">
        <v>321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2">
      <c r="A201" s="5" t="s">
        <v>623</v>
      </c>
      <c r="B201" s="5" t="s">
        <v>193</v>
      </c>
      <c r="C201" s="5" t="s">
        <v>424</v>
      </c>
      <c r="D201" s="7">
        <v>46179</v>
      </c>
      <c r="E201" s="7">
        <v>46179</v>
      </c>
      <c r="F201" s="10">
        <f>IF(E201="","",E201-D201)</f>
        <v>0</v>
      </c>
      <c r="G201" s="5" t="str">
        <f>IF(E201="","Open",IF(F201&gt;0,"Delayed","Done"))</f>
        <v>Done</v>
      </c>
      <c r="H201" s="5" t="s">
        <v>326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2">
      <c r="A202" s="5" t="s">
        <v>624</v>
      </c>
      <c r="B202" s="5" t="s">
        <v>193</v>
      </c>
      <c r="C202" s="5" t="s">
        <v>426</v>
      </c>
      <c r="D202" s="7">
        <v>46181</v>
      </c>
      <c r="E202" s="7">
        <v>46179</v>
      </c>
      <c r="F202" s="10">
        <f>IF(E202="","",E202-D202)</f>
        <v>-2</v>
      </c>
      <c r="G202" s="5" t="str">
        <f>IF(E202="","Open",IF(F202&gt;0,"Delayed","Done"))</f>
        <v>Done</v>
      </c>
      <c r="H202" s="5" t="s">
        <v>326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2">
      <c r="A203" s="5" t="s">
        <v>625</v>
      </c>
      <c r="B203" s="5" t="s">
        <v>193</v>
      </c>
      <c r="C203" s="5" t="s">
        <v>428</v>
      </c>
      <c r="D203" s="7">
        <v>46183</v>
      </c>
      <c r="E203" s="7"/>
      <c r="F203" s="10" t="str">
        <f>IF(E203="","",E203-D203)</f>
        <v/>
      </c>
      <c r="G203" s="5" t="str">
        <f>IF(E203="","Open",IF(F203&gt;0,"Delayed","Done"))</f>
        <v>Open</v>
      </c>
      <c r="H203" s="5" t="s">
        <v>326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2">
      <c r="A204" s="5" t="s">
        <v>626</v>
      </c>
      <c r="B204" s="5" t="s">
        <v>193</v>
      </c>
      <c r="C204" s="5" t="s">
        <v>430</v>
      </c>
      <c r="D204" s="7">
        <v>46186</v>
      </c>
      <c r="E204" s="7"/>
      <c r="F204" s="10" t="str">
        <f>IF(E204="","",E204-D204)</f>
        <v/>
      </c>
      <c r="G204" s="5" t="str">
        <f>IF(E204="","Open",IF(F204&gt;0,"Delayed","Done"))</f>
        <v>Open</v>
      </c>
      <c r="H204" s="5" t="s">
        <v>326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2">
      <c r="A205" s="5" t="s">
        <v>627</v>
      </c>
      <c r="B205" s="5" t="s">
        <v>193</v>
      </c>
      <c r="C205" s="5" t="s">
        <v>432</v>
      </c>
      <c r="D205" s="7">
        <v>46190</v>
      </c>
      <c r="E205" s="7">
        <v>46192</v>
      </c>
      <c r="F205" s="10">
        <f>IF(E205="","",E205-D205)</f>
        <v>2</v>
      </c>
      <c r="G205" s="5" t="str">
        <f>IF(E205="","Open",IF(F205&gt;0,"Delayed","Done"))</f>
        <v>Delayed</v>
      </c>
      <c r="H205" s="5" t="s">
        <v>321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2">
      <c r="A206" s="5" t="s">
        <v>628</v>
      </c>
      <c r="B206" s="5" t="s">
        <v>193</v>
      </c>
      <c r="C206" s="5" t="s">
        <v>434</v>
      </c>
      <c r="D206" s="7">
        <v>46192</v>
      </c>
      <c r="E206" s="7">
        <v>46191</v>
      </c>
      <c r="F206" s="10">
        <f>IF(E206="","",E206-D206)</f>
        <v>-1</v>
      </c>
      <c r="G206" s="5" t="str">
        <f>IF(E206="","Open",IF(F206&gt;0,"Delayed","Done"))</f>
        <v>Done</v>
      </c>
      <c r="H206" s="5" t="s">
        <v>321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2">
      <c r="A207" s="5" t="s">
        <v>629</v>
      </c>
      <c r="B207" s="5" t="s">
        <v>193</v>
      </c>
      <c r="C207" s="5" t="s">
        <v>436</v>
      </c>
      <c r="D207" s="7">
        <v>46194</v>
      </c>
      <c r="E207" s="7">
        <v>46194</v>
      </c>
      <c r="F207" s="10">
        <f>IF(E207="","",E207-D207)</f>
        <v>0</v>
      </c>
      <c r="G207" s="5" t="str">
        <f>IF(E207="","Open",IF(F207&gt;0,"Delayed","Done"))</f>
        <v>Done</v>
      </c>
      <c r="H207" s="5" t="s">
        <v>326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2">
      <c r="A208" s="5" t="s">
        <v>630</v>
      </c>
      <c r="B208" s="5" t="s">
        <v>193</v>
      </c>
      <c r="C208" s="5" t="s">
        <v>274</v>
      </c>
      <c r="D208" s="7">
        <v>46195</v>
      </c>
      <c r="E208" s="7"/>
      <c r="F208" s="10" t="str">
        <f>IF(E208="","",E208-D208)</f>
        <v/>
      </c>
      <c r="G208" s="5" t="str">
        <f>IF(E208="","Open",IF(F208&gt;0,"Delayed","Done"))</f>
        <v>Open</v>
      </c>
      <c r="H208" s="5" t="s">
        <v>321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2">
      <c r="A209" s="5" t="s">
        <v>631</v>
      </c>
      <c r="B209" s="5" t="s">
        <v>193</v>
      </c>
      <c r="C209" s="5" t="s">
        <v>439</v>
      </c>
      <c r="D209" s="7">
        <v>46197</v>
      </c>
      <c r="E209" s="7">
        <v>46196</v>
      </c>
      <c r="F209" s="10">
        <f>IF(E209="","",E209-D209)</f>
        <v>-1</v>
      </c>
      <c r="G209" s="5" t="str">
        <f>IF(E209="","Open",IF(F209&gt;0,"Delayed","Done"))</f>
        <v>Done</v>
      </c>
      <c r="H209" s="5" t="s">
        <v>326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2">
      <c r="A210" s="5" t="s">
        <v>632</v>
      </c>
      <c r="B210" s="5" t="s">
        <v>198</v>
      </c>
      <c r="C210" s="5" t="s">
        <v>410</v>
      </c>
      <c r="D210" s="7">
        <v>46246</v>
      </c>
      <c r="E210" s="7">
        <v>46249</v>
      </c>
      <c r="F210" s="10">
        <f>IF(E210="","",E210-D210)</f>
        <v>3</v>
      </c>
      <c r="G210" s="5" t="str">
        <f>IF(E210="","Open",IF(F210&gt;0,"Delayed","Done"))</f>
        <v>Delayed</v>
      </c>
      <c r="H210" s="5" t="s">
        <v>321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2">
      <c r="A211" s="5" t="s">
        <v>633</v>
      </c>
      <c r="B211" s="5" t="s">
        <v>198</v>
      </c>
      <c r="C211" s="5" t="s">
        <v>412</v>
      </c>
      <c r="D211" s="7">
        <v>46249</v>
      </c>
      <c r="E211" s="7"/>
      <c r="F211" s="10" t="str">
        <f>IF(E211="","",E211-D211)</f>
        <v/>
      </c>
      <c r="G211" s="5" t="str">
        <f>IF(E211="","Open",IF(F211&gt;0,"Delayed","Done"))</f>
        <v>Open</v>
      </c>
      <c r="H211" s="5" t="s">
        <v>321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2">
      <c r="A212" s="5" t="s">
        <v>634</v>
      </c>
      <c r="B212" s="5" t="s">
        <v>198</v>
      </c>
      <c r="C212" s="5" t="s">
        <v>414</v>
      </c>
      <c r="D212" s="7">
        <v>46251</v>
      </c>
      <c r="E212" s="7">
        <v>46252</v>
      </c>
      <c r="F212" s="10">
        <f>IF(E212="","",E212-D212)</f>
        <v>1</v>
      </c>
      <c r="G212" s="5" t="str">
        <f>IF(E212="","Open",IF(F212&gt;0,"Delayed","Done"))</f>
        <v>Delayed</v>
      </c>
      <c r="H212" s="5" t="s">
        <v>321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2">
      <c r="A213" s="5" t="s">
        <v>635</v>
      </c>
      <c r="B213" s="5" t="s">
        <v>198</v>
      </c>
      <c r="C213" s="5" t="s">
        <v>416</v>
      </c>
      <c r="D213" s="7">
        <v>46253</v>
      </c>
      <c r="E213" s="7">
        <v>46256</v>
      </c>
      <c r="F213" s="10">
        <f>IF(E213="","",E213-D213)</f>
        <v>3</v>
      </c>
      <c r="G213" s="5" t="str">
        <f>IF(E213="","Open",IF(F213&gt;0,"Delayed","Done"))</f>
        <v>Delayed</v>
      </c>
      <c r="H213" s="5" t="s">
        <v>321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2">
      <c r="A214" s="5" t="s">
        <v>636</v>
      </c>
      <c r="B214" s="5" t="s">
        <v>198</v>
      </c>
      <c r="C214" s="5" t="s">
        <v>418</v>
      </c>
      <c r="D214" s="7">
        <v>46257</v>
      </c>
      <c r="E214" s="7">
        <v>46259</v>
      </c>
      <c r="F214" s="10">
        <f>IF(E214="","",E214-D214)</f>
        <v>2</v>
      </c>
      <c r="G214" s="5" t="str">
        <f>IF(E214="","Open",IF(F214&gt;0,"Delayed","Done"))</f>
        <v>Delayed</v>
      </c>
      <c r="H214" s="5" t="s">
        <v>321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2">
      <c r="A215" s="5" t="s">
        <v>637</v>
      </c>
      <c r="B215" s="5" t="s">
        <v>198</v>
      </c>
      <c r="C215" s="5" t="s">
        <v>420</v>
      </c>
      <c r="D215" s="7">
        <v>46263</v>
      </c>
      <c r="E215" s="7"/>
      <c r="F215" s="10" t="str">
        <f>IF(E215="","",E215-D215)</f>
        <v/>
      </c>
      <c r="G215" s="5" t="str">
        <f>IF(E215="","Open",IF(F215&gt;0,"Delayed","Done"))</f>
        <v>Open</v>
      </c>
      <c r="H215" s="5" t="s">
        <v>321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2">
      <c r="A216" s="5" t="s">
        <v>638</v>
      </c>
      <c r="B216" s="5" t="s">
        <v>198</v>
      </c>
      <c r="C216" s="5" t="s">
        <v>422</v>
      </c>
      <c r="D216" s="7">
        <v>46267</v>
      </c>
      <c r="E216" s="7">
        <v>46265</v>
      </c>
      <c r="F216" s="10">
        <f>IF(E216="","",E216-D216)</f>
        <v>-2</v>
      </c>
      <c r="G216" s="5" t="str">
        <f>IF(E216="","Open",IF(F216&gt;0,"Delayed","Done"))</f>
        <v>Done</v>
      </c>
      <c r="H216" s="5" t="s">
        <v>321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2">
      <c r="A217" s="5" t="s">
        <v>639</v>
      </c>
      <c r="B217" s="5" t="s">
        <v>198</v>
      </c>
      <c r="C217" s="5" t="s">
        <v>424</v>
      </c>
      <c r="D217" s="7">
        <v>46273</v>
      </c>
      <c r="E217" s="7">
        <v>46275</v>
      </c>
      <c r="F217" s="10">
        <f>IF(E217="","",E217-D217)</f>
        <v>2</v>
      </c>
      <c r="G217" s="5" t="str">
        <f>IF(E217="","Open",IF(F217&gt;0,"Delayed","Done"))</f>
        <v>Delayed</v>
      </c>
      <c r="H217" s="5" t="s">
        <v>326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2">
      <c r="A218" s="5" t="s">
        <v>640</v>
      </c>
      <c r="B218" s="5" t="s">
        <v>198</v>
      </c>
      <c r="C218" s="5" t="s">
        <v>426</v>
      </c>
      <c r="D218" s="7">
        <v>46275</v>
      </c>
      <c r="E218" s="7">
        <v>46275</v>
      </c>
      <c r="F218" s="10">
        <f>IF(E218="","",E218-D218)</f>
        <v>0</v>
      </c>
      <c r="G218" s="5" t="str">
        <f>IF(E218="","Open",IF(F218&gt;0,"Delayed","Done"))</f>
        <v>Done</v>
      </c>
      <c r="H218" s="5" t="s">
        <v>326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2">
      <c r="A219" s="5" t="s">
        <v>641</v>
      </c>
      <c r="B219" s="5" t="s">
        <v>198</v>
      </c>
      <c r="C219" s="5" t="s">
        <v>428</v>
      </c>
      <c r="D219" s="7">
        <v>46277</v>
      </c>
      <c r="E219" s="7"/>
      <c r="F219" s="10" t="str">
        <f>IF(E219="","",E219-D219)</f>
        <v/>
      </c>
      <c r="G219" s="5" t="str">
        <f>IF(E219="","Open",IF(F219&gt;0,"Delayed","Done"))</f>
        <v>Open</v>
      </c>
      <c r="H219" s="5" t="s">
        <v>326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2">
      <c r="A220" s="5" t="s">
        <v>642</v>
      </c>
      <c r="B220" s="5" t="s">
        <v>198</v>
      </c>
      <c r="C220" s="5" t="s">
        <v>430</v>
      </c>
      <c r="D220" s="7">
        <v>46280</v>
      </c>
      <c r="E220" s="7">
        <v>46283</v>
      </c>
      <c r="F220" s="10">
        <f>IF(E220="","",E220-D220)</f>
        <v>3</v>
      </c>
      <c r="G220" s="5" t="str">
        <f>IF(E220="","Open",IF(F220&gt;0,"Delayed","Done"))</f>
        <v>Delayed</v>
      </c>
      <c r="H220" s="5" t="s">
        <v>326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2">
      <c r="A221" s="5" t="s">
        <v>643</v>
      </c>
      <c r="B221" s="5" t="s">
        <v>198</v>
      </c>
      <c r="C221" s="5" t="s">
        <v>432</v>
      </c>
      <c r="D221" s="7">
        <v>46284</v>
      </c>
      <c r="E221" s="7"/>
      <c r="F221" s="10" t="str">
        <f>IF(E221="","",E221-D221)</f>
        <v/>
      </c>
      <c r="G221" s="5" t="str">
        <f>IF(E221="","Open",IF(F221&gt;0,"Delayed","Done"))</f>
        <v>Open</v>
      </c>
      <c r="H221" s="5" t="s">
        <v>321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2">
      <c r="A222" s="5" t="s">
        <v>644</v>
      </c>
      <c r="B222" s="5" t="s">
        <v>198</v>
      </c>
      <c r="C222" s="5" t="s">
        <v>434</v>
      </c>
      <c r="D222" s="7">
        <v>46286</v>
      </c>
      <c r="E222" s="7">
        <v>46286</v>
      </c>
      <c r="F222" s="10">
        <f>IF(E222="","",E222-D222)</f>
        <v>0</v>
      </c>
      <c r="G222" s="5" t="str">
        <f>IF(E222="","Open",IF(F222&gt;0,"Delayed","Done"))</f>
        <v>Done</v>
      </c>
      <c r="H222" s="5" t="s">
        <v>321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x14ac:dyDescent="0.2">
      <c r="A223" s="5" t="s">
        <v>645</v>
      </c>
      <c r="B223" s="5" t="s">
        <v>198</v>
      </c>
      <c r="C223" s="5" t="s">
        <v>436</v>
      </c>
      <c r="D223" s="7">
        <v>46288</v>
      </c>
      <c r="E223" s="7">
        <v>46291</v>
      </c>
      <c r="F223" s="10">
        <f>IF(E223="","",E223-D223)</f>
        <v>3</v>
      </c>
      <c r="G223" s="5" t="str">
        <f>IF(E223="","Open",IF(F223&gt;0,"Delayed","Done"))</f>
        <v>Delayed</v>
      </c>
      <c r="H223" s="5" t="s">
        <v>326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x14ac:dyDescent="0.2">
      <c r="A224" s="5" t="s">
        <v>646</v>
      </c>
      <c r="B224" s="5" t="s">
        <v>198</v>
      </c>
      <c r="C224" s="5" t="s">
        <v>274</v>
      </c>
      <c r="D224" s="7">
        <v>46289</v>
      </c>
      <c r="E224" s="7">
        <v>46294</v>
      </c>
      <c r="F224" s="10">
        <f>IF(E224="","",E224-D224)</f>
        <v>5</v>
      </c>
      <c r="G224" s="5" t="str">
        <f>IF(E224="","Open",IF(F224&gt;0,"Delayed","Done"))</f>
        <v>Delayed</v>
      </c>
      <c r="H224" s="5" t="s">
        <v>321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2">
      <c r="A225" s="5" t="s">
        <v>647</v>
      </c>
      <c r="B225" s="5" t="s">
        <v>198</v>
      </c>
      <c r="C225" s="5" t="s">
        <v>439</v>
      </c>
      <c r="D225" s="7">
        <v>46291</v>
      </c>
      <c r="E225" s="7">
        <v>46290</v>
      </c>
      <c r="F225" s="10">
        <f>IF(E225="","",E225-D225)</f>
        <v>-1</v>
      </c>
      <c r="G225" s="5" t="str">
        <f>IF(E225="","Open",IF(F225&gt;0,"Delayed","Done"))</f>
        <v>Done</v>
      </c>
      <c r="H225" s="5" t="s">
        <v>326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2">
      <c r="A226" s="5" t="s">
        <v>648</v>
      </c>
      <c r="B226" s="5" t="s">
        <v>199</v>
      </c>
      <c r="C226" s="5" t="s">
        <v>410</v>
      </c>
      <c r="D226" s="7">
        <v>46171</v>
      </c>
      <c r="E226" s="7">
        <v>46171</v>
      </c>
      <c r="F226" s="10">
        <f>IF(E226="","",E226-D226)</f>
        <v>0</v>
      </c>
      <c r="G226" s="5" t="str">
        <f>IF(E226="","Open",IF(F226&gt;0,"Delayed","Done"))</f>
        <v>Done</v>
      </c>
      <c r="H226" s="5" t="s">
        <v>321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2">
      <c r="A227" s="5" t="s">
        <v>649</v>
      </c>
      <c r="B227" s="5" t="s">
        <v>199</v>
      </c>
      <c r="C227" s="5" t="s">
        <v>412</v>
      </c>
      <c r="D227" s="7">
        <v>46174</v>
      </c>
      <c r="E227" s="7">
        <v>46179</v>
      </c>
      <c r="F227" s="10">
        <f>IF(E227="","",E227-D227)</f>
        <v>5</v>
      </c>
      <c r="G227" s="5" t="str">
        <f>IF(E227="","Open",IF(F227&gt;0,"Delayed","Done"))</f>
        <v>Delayed</v>
      </c>
      <c r="H227" s="5" t="s">
        <v>321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x14ac:dyDescent="0.2">
      <c r="A228" s="5" t="s">
        <v>650</v>
      </c>
      <c r="B228" s="5" t="s">
        <v>199</v>
      </c>
      <c r="C228" s="5" t="s">
        <v>414</v>
      </c>
      <c r="D228" s="7">
        <v>46176</v>
      </c>
      <c r="E228" s="7">
        <v>46181</v>
      </c>
      <c r="F228" s="10">
        <f>IF(E228="","",E228-D228)</f>
        <v>5</v>
      </c>
      <c r="G228" s="5" t="str">
        <f>IF(E228="","Open",IF(F228&gt;0,"Delayed","Done"))</f>
        <v>Delayed</v>
      </c>
      <c r="H228" s="5" t="s">
        <v>321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x14ac:dyDescent="0.2">
      <c r="A229" s="5" t="s">
        <v>651</v>
      </c>
      <c r="B229" s="5" t="s">
        <v>199</v>
      </c>
      <c r="C229" s="5" t="s">
        <v>416</v>
      </c>
      <c r="D229" s="7">
        <v>46178</v>
      </c>
      <c r="E229" s="7"/>
      <c r="F229" s="10" t="str">
        <f>IF(E229="","",E229-D229)</f>
        <v/>
      </c>
      <c r="G229" s="5" t="str">
        <f>IF(E229="","Open",IF(F229&gt;0,"Delayed","Done"))</f>
        <v>Open</v>
      </c>
      <c r="H229" s="5" t="s">
        <v>321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x14ac:dyDescent="0.2">
      <c r="A230" s="5" t="s">
        <v>652</v>
      </c>
      <c r="B230" s="5" t="s">
        <v>199</v>
      </c>
      <c r="C230" s="5" t="s">
        <v>418</v>
      </c>
      <c r="D230" s="7">
        <v>46182</v>
      </c>
      <c r="E230" s="7"/>
      <c r="F230" s="10" t="str">
        <f>IF(E230="","",E230-D230)</f>
        <v/>
      </c>
      <c r="G230" s="5" t="str">
        <f>IF(E230="","Open",IF(F230&gt;0,"Delayed","Done"))</f>
        <v>Open</v>
      </c>
      <c r="H230" s="5" t="s">
        <v>321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2">
      <c r="A231" s="5" t="s">
        <v>653</v>
      </c>
      <c r="B231" s="5" t="s">
        <v>199</v>
      </c>
      <c r="C231" s="5" t="s">
        <v>420</v>
      </c>
      <c r="D231" s="7">
        <v>46188</v>
      </c>
      <c r="E231" s="7"/>
      <c r="F231" s="10" t="str">
        <f>IF(E231="","",E231-D231)</f>
        <v/>
      </c>
      <c r="G231" s="5" t="str">
        <f>IF(E231="","Open",IF(F231&gt;0,"Delayed","Done"))</f>
        <v>Open</v>
      </c>
      <c r="H231" s="5" t="s">
        <v>321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2">
      <c r="A232" s="5" t="s">
        <v>654</v>
      </c>
      <c r="B232" s="5" t="s">
        <v>199</v>
      </c>
      <c r="C232" s="5" t="s">
        <v>422</v>
      </c>
      <c r="D232" s="7">
        <v>46192</v>
      </c>
      <c r="E232" s="7">
        <v>46197</v>
      </c>
      <c r="F232" s="10">
        <f>IF(E232="","",E232-D232)</f>
        <v>5</v>
      </c>
      <c r="G232" s="5" t="str">
        <f>IF(E232="","Open",IF(F232&gt;0,"Delayed","Done"))</f>
        <v>Delayed</v>
      </c>
      <c r="H232" s="5" t="s">
        <v>321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2">
      <c r="A233" s="5" t="s">
        <v>655</v>
      </c>
      <c r="B233" s="5" t="s">
        <v>199</v>
      </c>
      <c r="C233" s="5" t="s">
        <v>424</v>
      </c>
      <c r="D233" s="7">
        <v>46198</v>
      </c>
      <c r="E233" s="7"/>
      <c r="F233" s="10" t="str">
        <f>IF(E233="","",E233-D233)</f>
        <v/>
      </c>
      <c r="G233" s="5" t="str">
        <f>IF(E233="","Open",IF(F233&gt;0,"Delayed","Done"))</f>
        <v>Open</v>
      </c>
      <c r="H233" s="5" t="s">
        <v>326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2">
      <c r="A234" s="5" t="s">
        <v>656</v>
      </c>
      <c r="B234" s="5" t="s">
        <v>199</v>
      </c>
      <c r="C234" s="5" t="s">
        <v>426</v>
      </c>
      <c r="D234" s="7">
        <v>46200</v>
      </c>
      <c r="E234" s="7">
        <v>46205</v>
      </c>
      <c r="F234" s="10">
        <f>IF(E234="","",E234-D234)</f>
        <v>5</v>
      </c>
      <c r="G234" s="5" t="str">
        <f>IF(E234="","Open",IF(F234&gt;0,"Delayed","Done"))</f>
        <v>Delayed</v>
      </c>
      <c r="H234" s="5" t="s">
        <v>326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2">
      <c r="A235" s="5" t="s">
        <v>657</v>
      </c>
      <c r="B235" s="5" t="s">
        <v>199</v>
      </c>
      <c r="C235" s="5" t="s">
        <v>428</v>
      </c>
      <c r="D235" s="7">
        <v>46202</v>
      </c>
      <c r="E235" s="7">
        <v>46202</v>
      </c>
      <c r="F235" s="10">
        <f>IF(E235="","",E235-D235)</f>
        <v>0</v>
      </c>
      <c r="G235" s="5" t="str">
        <f>IF(E235="","Open",IF(F235&gt;0,"Delayed","Done"))</f>
        <v>Done</v>
      </c>
      <c r="H235" s="5" t="s">
        <v>326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2">
      <c r="A236" s="5" t="s">
        <v>658</v>
      </c>
      <c r="B236" s="5" t="s">
        <v>199</v>
      </c>
      <c r="C236" s="5" t="s">
        <v>430</v>
      </c>
      <c r="D236" s="7">
        <v>46205</v>
      </c>
      <c r="E236" s="7">
        <v>46206</v>
      </c>
      <c r="F236" s="10">
        <f>IF(E236="","",E236-D236)</f>
        <v>1</v>
      </c>
      <c r="G236" s="5" t="str">
        <f>IF(E236="","Open",IF(F236&gt;0,"Delayed","Done"))</f>
        <v>Delayed</v>
      </c>
      <c r="H236" s="5" t="s">
        <v>326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2">
      <c r="A237" s="5" t="s">
        <v>659</v>
      </c>
      <c r="B237" s="5" t="s">
        <v>199</v>
      </c>
      <c r="C237" s="5" t="s">
        <v>432</v>
      </c>
      <c r="D237" s="7">
        <v>46209</v>
      </c>
      <c r="E237" s="7">
        <v>46207</v>
      </c>
      <c r="F237" s="10">
        <f>IF(E237="","",E237-D237)</f>
        <v>-2</v>
      </c>
      <c r="G237" s="5" t="str">
        <f>IF(E237="","Open",IF(F237&gt;0,"Delayed","Done"))</f>
        <v>Done</v>
      </c>
      <c r="H237" s="5" t="s">
        <v>321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x14ac:dyDescent="0.2">
      <c r="A238" s="5" t="s">
        <v>660</v>
      </c>
      <c r="B238" s="5" t="s">
        <v>199</v>
      </c>
      <c r="C238" s="5" t="s">
        <v>434</v>
      </c>
      <c r="D238" s="7">
        <v>46211</v>
      </c>
      <c r="E238" s="7"/>
      <c r="F238" s="10" t="str">
        <f>IF(E238="","",E238-D238)</f>
        <v/>
      </c>
      <c r="G238" s="5" t="str">
        <f>IF(E238="","Open",IF(F238&gt;0,"Delayed","Done"))</f>
        <v>Open</v>
      </c>
      <c r="H238" s="5" t="s">
        <v>321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2">
      <c r="A239" s="5" t="s">
        <v>661</v>
      </c>
      <c r="B239" s="5" t="s">
        <v>199</v>
      </c>
      <c r="C239" s="5" t="s">
        <v>436</v>
      </c>
      <c r="D239" s="7">
        <v>46213</v>
      </c>
      <c r="E239" s="7"/>
      <c r="F239" s="10" t="str">
        <f>IF(E239="","",E239-D239)</f>
        <v/>
      </c>
      <c r="G239" s="5" t="str">
        <f>IF(E239="","Open",IF(F239&gt;0,"Delayed","Done"))</f>
        <v>Open</v>
      </c>
      <c r="H239" s="5" t="s">
        <v>326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2">
      <c r="A240" s="5" t="s">
        <v>662</v>
      </c>
      <c r="B240" s="5" t="s">
        <v>199</v>
      </c>
      <c r="C240" s="5" t="s">
        <v>274</v>
      </c>
      <c r="D240" s="7">
        <v>46214</v>
      </c>
      <c r="E240" s="7">
        <v>46217</v>
      </c>
      <c r="F240" s="10">
        <f>IF(E240="","",E240-D240)</f>
        <v>3</v>
      </c>
      <c r="G240" s="5" t="str">
        <f>IF(E240="","Open",IF(F240&gt;0,"Delayed","Done"))</f>
        <v>Delayed</v>
      </c>
      <c r="H240" s="5" t="s">
        <v>321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2">
      <c r="A241" s="5" t="s">
        <v>663</v>
      </c>
      <c r="B241" s="5" t="s">
        <v>199</v>
      </c>
      <c r="C241" s="5" t="s">
        <v>439</v>
      </c>
      <c r="D241" s="7">
        <v>46216</v>
      </c>
      <c r="E241" s="7">
        <v>46216</v>
      </c>
      <c r="F241" s="10">
        <f>IF(E241="","",E241-D241)</f>
        <v>0</v>
      </c>
      <c r="G241" s="5" t="str">
        <f>IF(E241="","Open",IF(F241&gt;0,"Delayed","Done"))</f>
        <v>Done</v>
      </c>
      <c r="H241" s="5" t="s">
        <v>326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2">
      <c r="A242" s="5" t="s">
        <v>664</v>
      </c>
      <c r="B242" s="5" t="s">
        <v>201</v>
      </c>
      <c r="C242" s="5" t="s">
        <v>410</v>
      </c>
      <c r="D242" s="7">
        <v>46190</v>
      </c>
      <c r="E242" s="7"/>
      <c r="F242" s="10" t="str">
        <f>IF(E242="","",E242-D242)</f>
        <v/>
      </c>
      <c r="G242" s="5" t="str">
        <f>IF(E242="","Open",IF(F242&gt;0,"Delayed","Done"))</f>
        <v>Open</v>
      </c>
      <c r="H242" s="5" t="s">
        <v>321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2">
      <c r="A243" s="5" t="s">
        <v>665</v>
      </c>
      <c r="B243" s="5" t="s">
        <v>201</v>
      </c>
      <c r="C243" s="5" t="s">
        <v>412</v>
      </c>
      <c r="D243" s="7">
        <v>46193</v>
      </c>
      <c r="E243" s="7">
        <v>46193</v>
      </c>
      <c r="F243" s="10">
        <f>IF(E243="","",E243-D243)</f>
        <v>0</v>
      </c>
      <c r="G243" s="5" t="str">
        <f>IF(E243="","Open",IF(F243&gt;0,"Delayed","Done"))</f>
        <v>Done</v>
      </c>
      <c r="H243" s="5" t="s">
        <v>321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2">
      <c r="A244" s="5" t="s">
        <v>666</v>
      </c>
      <c r="B244" s="5" t="s">
        <v>201</v>
      </c>
      <c r="C244" s="5" t="s">
        <v>414</v>
      </c>
      <c r="D244" s="7">
        <v>46195</v>
      </c>
      <c r="E244" s="7">
        <v>46193</v>
      </c>
      <c r="F244" s="10">
        <f>IF(E244="","",E244-D244)</f>
        <v>-2</v>
      </c>
      <c r="G244" s="5" t="str">
        <f>IF(E244="","Open",IF(F244&gt;0,"Delayed","Done"))</f>
        <v>Done</v>
      </c>
      <c r="H244" s="5" t="s">
        <v>321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2">
      <c r="A245" s="5" t="s">
        <v>667</v>
      </c>
      <c r="B245" s="5" t="s">
        <v>201</v>
      </c>
      <c r="C245" s="5" t="s">
        <v>416</v>
      </c>
      <c r="D245" s="7">
        <v>46197</v>
      </c>
      <c r="E245" s="7"/>
      <c r="F245" s="10" t="str">
        <f>IF(E245="","",E245-D245)</f>
        <v/>
      </c>
      <c r="G245" s="5" t="str">
        <f>IF(E245="","Open",IF(F245&gt;0,"Delayed","Done"))</f>
        <v>Open</v>
      </c>
      <c r="H245" s="5" t="s">
        <v>321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2">
      <c r="A246" s="5" t="s">
        <v>668</v>
      </c>
      <c r="B246" s="5" t="s">
        <v>201</v>
      </c>
      <c r="C246" s="5" t="s">
        <v>418</v>
      </c>
      <c r="D246" s="7">
        <v>46201</v>
      </c>
      <c r="E246" s="7"/>
      <c r="F246" s="10" t="str">
        <f>IF(E246="","",E246-D246)</f>
        <v/>
      </c>
      <c r="G246" s="5" t="str">
        <f>IF(E246="","Open",IF(F246&gt;0,"Delayed","Done"))</f>
        <v>Open</v>
      </c>
      <c r="H246" s="5" t="s">
        <v>321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2">
      <c r="A247" s="5" t="s">
        <v>669</v>
      </c>
      <c r="B247" s="5" t="s">
        <v>201</v>
      </c>
      <c r="C247" s="5" t="s">
        <v>420</v>
      </c>
      <c r="D247" s="7">
        <v>46207</v>
      </c>
      <c r="E247" s="7">
        <v>46209</v>
      </c>
      <c r="F247" s="10">
        <f>IF(E247="","",E247-D247)</f>
        <v>2</v>
      </c>
      <c r="G247" s="5" t="str">
        <f>IF(E247="","Open",IF(F247&gt;0,"Delayed","Done"))</f>
        <v>Delayed</v>
      </c>
      <c r="H247" s="5" t="s">
        <v>321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2">
      <c r="A248" s="5" t="s">
        <v>670</v>
      </c>
      <c r="B248" s="5" t="s">
        <v>201</v>
      </c>
      <c r="C248" s="5" t="s">
        <v>422</v>
      </c>
      <c r="D248" s="7">
        <v>46211</v>
      </c>
      <c r="E248" s="7">
        <v>46211</v>
      </c>
      <c r="F248" s="10">
        <f>IF(E248="","",E248-D248)</f>
        <v>0</v>
      </c>
      <c r="G248" s="5" t="str">
        <f>IF(E248="","Open",IF(F248&gt;0,"Delayed","Done"))</f>
        <v>Done</v>
      </c>
      <c r="H248" s="5" t="s">
        <v>321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2">
      <c r="A249" s="5" t="s">
        <v>671</v>
      </c>
      <c r="B249" s="5" t="s">
        <v>201</v>
      </c>
      <c r="C249" s="5" t="s">
        <v>424</v>
      </c>
      <c r="D249" s="7">
        <v>46217</v>
      </c>
      <c r="E249" s="7">
        <v>46218</v>
      </c>
      <c r="F249" s="10">
        <f>IF(E249="","",E249-D249)</f>
        <v>1</v>
      </c>
      <c r="G249" s="5" t="str">
        <f>IF(E249="","Open",IF(F249&gt;0,"Delayed","Done"))</f>
        <v>Delayed</v>
      </c>
      <c r="H249" s="5" t="s">
        <v>326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2">
      <c r="A250" s="5" t="s">
        <v>672</v>
      </c>
      <c r="B250" s="5" t="s">
        <v>201</v>
      </c>
      <c r="C250" s="5" t="s">
        <v>426</v>
      </c>
      <c r="D250" s="7">
        <v>46219</v>
      </c>
      <c r="E250" s="7"/>
      <c r="F250" s="10" t="str">
        <f>IF(E250="","",E250-D250)</f>
        <v/>
      </c>
      <c r="G250" s="5" t="str">
        <f>IF(E250="","Open",IF(F250&gt;0,"Delayed","Done"))</f>
        <v>Open</v>
      </c>
      <c r="H250" s="5" t="s">
        <v>326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2">
      <c r="A251" s="5" t="s">
        <v>673</v>
      </c>
      <c r="B251" s="5" t="s">
        <v>201</v>
      </c>
      <c r="C251" s="5" t="s">
        <v>428</v>
      </c>
      <c r="D251" s="7">
        <v>46221</v>
      </c>
      <c r="E251" s="7"/>
      <c r="F251" s="10" t="str">
        <f>IF(E251="","",E251-D251)</f>
        <v/>
      </c>
      <c r="G251" s="5" t="str">
        <f>IF(E251="","Open",IF(F251&gt;0,"Delayed","Done"))</f>
        <v>Open</v>
      </c>
      <c r="H251" s="5" t="s">
        <v>326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2">
      <c r="A252" s="5" t="s">
        <v>674</v>
      </c>
      <c r="B252" s="5" t="s">
        <v>201</v>
      </c>
      <c r="C252" s="5" t="s">
        <v>430</v>
      </c>
      <c r="D252" s="7">
        <v>46224</v>
      </c>
      <c r="E252" s="7"/>
      <c r="F252" s="10" t="str">
        <f>IF(E252="","",E252-D252)</f>
        <v/>
      </c>
      <c r="G252" s="5" t="str">
        <f>IF(E252="","Open",IF(F252&gt;0,"Delayed","Done"))</f>
        <v>Open</v>
      </c>
      <c r="H252" s="5" t="s">
        <v>326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2">
      <c r="A253" s="5" t="s">
        <v>675</v>
      </c>
      <c r="B253" s="5" t="s">
        <v>201</v>
      </c>
      <c r="C253" s="5" t="s">
        <v>432</v>
      </c>
      <c r="D253" s="7">
        <v>46228</v>
      </c>
      <c r="E253" s="7">
        <v>46229</v>
      </c>
      <c r="F253" s="10">
        <f>IF(E253="","",E253-D253)</f>
        <v>1</v>
      </c>
      <c r="G253" s="5" t="str">
        <f>IF(E253="","Open",IF(F253&gt;0,"Delayed","Done"))</f>
        <v>Delayed</v>
      </c>
      <c r="H253" s="5" t="s">
        <v>321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2">
      <c r="A254" s="5" t="s">
        <v>676</v>
      </c>
      <c r="B254" s="5" t="s">
        <v>201</v>
      </c>
      <c r="C254" s="5" t="s">
        <v>434</v>
      </c>
      <c r="D254" s="7">
        <v>46230</v>
      </c>
      <c r="E254" s="7"/>
      <c r="F254" s="10" t="str">
        <f>IF(E254="","",E254-D254)</f>
        <v/>
      </c>
      <c r="G254" s="5" t="str">
        <f>IF(E254="","Open",IF(F254&gt;0,"Delayed","Done"))</f>
        <v>Open</v>
      </c>
      <c r="H254" s="5" t="s">
        <v>321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2">
      <c r="A255" s="5" t="s">
        <v>677</v>
      </c>
      <c r="B255" s="5" t="s">
        <v>201</v>
      </c>
      <c r="C255" s="5" t="s">
        <v>436</v>
      </c>
      <c r="D255" s="7">
        <v>46232</v>
      </c>
      <c r="E255" s="7">
        <v>46232</v>
      </c>
      <c r="F255" s="10">
        <f>IF(E255="","",E255-D255)</f>
        <v>0</v>
      </c>
      <c r="G255" s="5" t="str">
        <f>IF(E255="","Open",IF(F255&gt;0,"Delayed","Done"))</f>
        <v>Done</v>
      </c>
      <c r="H255" s="5" t="s">
        <v>326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2">
      <c r="A256" s="5" t="s">
        <v>678</v>
      </c>
      <c r="B256" s="5" t="s">
        <v>201</v>
      </c>
      <c r="C256" s="5" t="s">
        <v>274</v>
      </c>
      <c r="D256" s="7">
        <v>46233</v>
      </c>
      <c r="E256" s="7"/>
      <c r="F256" s="10" t="str">
        <f>IF(E256="","",E256-D256)</f>
        <v/>
      </c>
      <c r="G256" s="5" t="str">
        <f>IF(E256="","Open",IF(F256&gt;0,"Delayed","Done"))</f>
        <v>Open</v>
      </c>
      <c r="H256" s="5" t="s">
        <v>321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2">
      <c r="A257" s="5" t="s">
        <v>679</v>
      </c>
      <c r="B257" s="5" t="s">
        <v>201</v>
      </c>
      <c r="C257" s="5" t="s">
        <v>439</v>
      </c>
      <c r="D257" s="7">
        <v>46235</v>
      </c>
      <c r="E257" s="7"/>
      <c r="F257" s="10" t="str">
        <f>IF(E257="","",E257-D257)</f>
        <v/>
      </c>
      <c r="G257" s="5" t="str">
        <f>IF(E257="","Open",IF(F257&gt;0,"Delayed","Done"))</f>
        <v>Open</v>
      </c>
      <c r="H257" s="5" t="s">
        <v>326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2">
      <c r="A258" s="5" t="s">
        <v>680</v>
      </c>
      <c r="B258" s="5" t="s">
        <v>204</v>
      </c>
      <c r="C258" s="5" t="s">
        <v>410</v>
      </c>
      <c r="D258" s="7">
        <v>46187</v>
      </c>
      <c r="E258" s="7"/>
      <c r="F258" s="10" t="str">
        <f>IF(E258="","",E258-D258)</f>
        <v/>
      </c>
      <c r="G258" s="5" t="str">
        <f>IF(E258="","Open",IF(F258&gt;0,"Delayed","Done"))</f>
        <v>Open</v>
      </c>
      <c r="H258" s="5" t="s">
        <v>321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x14ac:dyDescent="0.2">
      <c r="A259" s="5" t="s">
        <v>681</v>
      </c>
      <c r="B259" s="5" t="s">
        <v>204</v>
      </c>
      <c r="C259" s="5" t="s">
        <v>412</v>
      </c>
      <c r="D259" s="7">
        <v>46190</v>
      </c>
      <c r="E259" s="7">
        <v>46190</v>
      </c>
      <c r="F259" s="10">
        <f>IF(E259="","",E259-D259)</f>
        <v>0</v>
      </c>
      <c r="G259" s="5" t="str">
        <f>IF(E259="","Open",IF(F259&gt;0,"Delayed","Done"))</f>
        <v>Done</v>
      </c>
      <c r="H259" s="5" t="s">
        <v>321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2">
      <c r="A260" s="5" t="s">
        <v>682</v>
      </c>
      <c r="B260" s="5" t="s">
        <v>204</v>
      </c>
      <c r="C260" s="5" t="s">
        <v>414</v>
      </c>
      <c r="D260" s="7">
        <v>46192</v>
      </c>
      <c r="E260" s="7">
        <v>46191</v>
      </c>
      <c r="F260" s="10">
        <f>IF(E260="","",E260-D260)</f>
        <v>-1</v>
      </c>
      <c r="G260" s="5" t="str">
        <f>IF(E260="","Open",IF(F260&gt;0,"Delayed","Done"))</f>
        <v>Done</v>
      </c>
      <c r="H260" s="5" t="s">
        <v>321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2">
      <c r="A261" s="5" t="s">
        <v>683</v>
      </c>
      <c r="B261" s="5" t="s">
        <v>204</v>
      </c>
      <c r="C261" s="5" t="s">
        <v>416</v>
      </c>
      <c r="D261" s="7">
        <v>46194</v>
      </c>
      <c r="E261" s="7">
        <v>46194</v>
      </c>
      <c r="F261" s="10">
        <f>IF(E261="","",E261-D261)</f>
        <v>0</v>
      </c>
      <c r="G261" s="5" t="str">
        <f>IF(E261="","Open",IF(F261&gt;0,"Delayed","Done"))</f>
        <v>Done</v>
      </c>
      <c r="H261" s="5" t="s">
        <v>321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x14ac:dyDescent="0.2">
      <c r="A262" s="5" t="s">
        <v>684</v>
      </c>
      <c r="B262" s="5" t="s">
        <v>204</v>
      </c>
      <c r="C262" s="5" t="s">
        <v>418</v>
      </c>
      <c r="D262" s="7">
        <v>46198</v>
      </c>
      <c r="E262" s="7">
        <v>46201</v>
      </c>
      <c r="F262" s="10">
        <f>IF(E262="","",E262-D262)</f>
        <v>3</v>
      </c>
      <c r="G262" s="5" t="str">
        <f>IF(E262="","Open",IF(F262&gt;0,"Delayed","Done"))</f>
        <v>Delayed</v>
      </c>
      <c r="H262" s="5" t="s">
        <v>321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x14ac:dyDescent="0.2">
      <c r="A263" s="5" t="s">
        <v>685</v>
      </c>
      <c r="B263" s="5" t="s">
        <v>204</v>
      </c>
      <c r="C263" s="5" t="s">
        <v>420</v>
      </c>
      <c r="D263" s="7">
        <v>46204</v>
      </c>
      <c r="E263" s="7">
        <v>46204</v>
      </c>
      <c r="F263" s="10">
        <f>IF(E263="","",E263-D263)</f>
        <v>0</v>
      </c>
      <c r="G263" s="5" t="str">
        <f>IF(E263="","Open",IF(F263&gt;0,"Delayed","Done"))</f>
        <v>Done</v>
      </c>
      <c r="H263" s="5" t="s">
        <v>321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2">
      <c r="A264" s="5" t="s">
        <v>686</v>
      </c>
      <c r="B264" s="5" t="s">
        <v>204</v>
      </c>
      <c r="C264" s="5" t="s">
        <v>422</v>
      </c>
      <c r="D264" s="7">
        <v>46208</v>
      </c>
      <c r="E264" s="7"/>
      <c r="F264" s="10" t="str">
        <f>IF(E264="","",E264-D264)</f>
        <v/>
      </c>
      <c r="G264" s="5" t="str">
        <f>IF(E264="","Open",IF(F264&gt;0,"Delayed","Done"))</f>
        <v>Open</v>
      </c>
      <c r="H264" s="5" t="s">
        <v>321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2">
      <c r="A265" s="5" t="s">
        <v>687</v>
      </c>
      <c r="B265" s="5" t="s">
        <v>204</v>
      </c>
      <c r="C265" s="5" t="s">
        <v>424</v>
      </c>
      <c r="D265" s="7">
        <v>46214</v>
      </c>
      <c r="E265" s="7">
        <v>46214</v>
      </c>
      <c r="F265" s="10">
        <f>IF(E265="","",E265-D265)</f>
        <v>0</v>
      </c>
      <c r="G265" s="5" t="str">
        <f>IF(E265="","Open",IF(F265&gt;0,"Delayed","Done"))</f>
        <v>Done</v>
      </c>
      <c r="H265" s="5" t="s">
        <v>326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2">
      <c r="A266" s="5" t="s">
        <v>688</v>
      </c>
      <c r="B266" s="5" t="s">
        <v>204</v>
      </c>
      <c r="C266" s="5" t="s">
        <v>426</v>
      </c>
      <c r="D266" s="7">
        <v>46216</v>
      </c>
      <c r="E266" s="7"/>
      <c r="F266" s="10" t="str">
        <f>IF(E266="","",E266-D266)</f>
        <v/>
      </c>
      <c r="G266" s="5" t="str">
        <f>IF(E266="","Open",IF(F266&gt;0,"Delayed","Done"))</f>
        <v>Open</v>
      </c>
      <c r="H266" s="5" t="s">
        <v>326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2">
      <c r="A267" s="5" t="s">
        <v>689</v>
      </c>
      <c r="B267" s="5" t="s">
        <v>204</v>
      </c>
      <c r="C267" s="5" t="s">
        <v>428</v>
      </c>
      <c r="D267" s="7">
        <v>46218</v>
      </c>
      <c r="E267" s="7"/>
      <c r="F267" s="10" t="str">
        <f>IF(E267="","",E267-D267)</f>
        <v/>
      </c>
      <c r="G267" s="5" t="str">
        <f>IF(E267="","Open",IF(F267&gt;0,"Delayed","Done"))</f>
        <v>Open</v>
      </c>
      <c r="H267" s="5" t="s">
        <v>326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2">
      <c r="A268" s="5" t="s">
        <v>690</v>
      </c>
      <c r="B268" s="5" t="s">
        <v>204</v>
      </c>
      <c r="C268" s="5" t="s">
        <v>430</v>
      </c>
      <c r="D268" s="7">
        <v>46221</v>
      </c>
      <c r="E268" s="7">
        <v>46219</v>
      </c>
      <c r="F268" s="10">
        <f>IF(E268="","",E268-D268)</f>
        <v>-2</v>
      </c>
      <c r="G268" s="5" t="str">
        <f>IF(E268="","Open",IF(F268&gt;0,"Delayed","Done"))</f>
        <v>Done</v>
      </c>
      <c r="H268" s="5" t="s">
        <v>326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x14ac:dyDescent="0.2">
      <c r="A269" s="5" t="s">
        <v>691</v>
      </c>
      <c r="B269" s="5" t="s">
        <v>204</v>
      </c>
      <c r="C269" s="5" t="s">
        <v>432</v>
      </c>
      <c r="D269" s="7">
        <v>46225</v>
      </c>
      <c r="E269" s="7">
        <v>46225</v>
      </c>
      <c r="F269" s="10">
        <f>IF(E269="","",E269-D269)</f>
        <v>0</v>
      </c>
      <c r="G269" s="5" t="str">
        <f>IF(E269="","Open",IF(F269&gt;0,"Delayed","Done"))</f>
        <v>Done</v>
      </c>
      <c r="H269" s="5" t="s">
        <v>321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2">
      <c r="A270" s="5" t="s">
        <v>692</v>
      </c>
      <c r="B270" s="5" t="s">
        <v>204</v>
      </c>
      <c r="C270" s="5" t="s">
        <v>434</v>
      </c>
      <c r="D270" s="7">
        <v>46227</v>
      </c>
      <c r="E270" s="7"/>
      <c r="F270" s="10" t="str">
        <f>IF(E270="","",E270-D270)</f>
        <v/>
      </c>
      <c r="G270" s="5" t="str">
        <f>IF(E270="","Open",IF(F270&gt;0,"Delayed","Done"))</f>
        <v>Open</v>
      </c>
      <c r="H270" s="5" t="s">
        <v>321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2">
      <c r="A271" s="5" t="s">
        <v>693</v>
      </c>
      <c r="B271" s="5" t="s">
        <v>204</v>
      </c>
      <c r="C271" s="5" t="s">
        <v>436</v>
      </c>
      <c r="D271" s="7">
        <v>46229</v>
      </c>
      <c r="E271" s="7"/>
      <c r="F271" s="10" t="str">
        <f>IF(E271="","",E271-D271)</f>
        <v/>
      </c>
      <c r="G271" s="5" t="str">
        <f>IF(E271="","Open",IF(F271&gt;0,"Delayed","Done"))</f>
        <v>Open</v>
      </c>
      <c r="H271" s="5" t="s">
        <v>326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2">
      <c r="A272" s="5" t="s">
        <v>694</v>
      </c>
      <c r="B272" s="5" t="s">
        <v>204</v>
      </c>
      <c r="C272" s="5" t="s">
        <v>274</v>
      </c>
      <c r="D272" s="7">
        <v>46230</v>
      </c>
      <c r="E272" s="7"/>
      <c r="F272" s="10" t="str">
        <f>IF(E272="","",E272-D272)</f>
        <v/>
      </c>
      <c r="G272" s="5" t="str">
        <f>IF(E272="","Open",IF(F272&gt;0,"Delayed","Done"))</f>
        <v>Open</v>
      </c>
      <c r="H272" s="5" t="s">
        <v>321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2">
      <c r="A273" s="5" t="s">
        <v>695</v>
      </c>
      <c r="B273" s="5" t="s">
        <v>204</v>
      </c>
      <c r="C273" s="5" t="s">
        <v>439</v>
      </c>
      <c r="D273" s="7">
        <v>46232</v>
      </c>
      <c r="E273" s="7"/>
      <c r="F273" s="10" t="str">
        <f>IF(E273="","",E273-D273)</f>
        <v/>
      </c>
      <c r="G273" s="5" t="str">
        <f>IF(E273="","Open",IF(F273&gt;0,"Delayed","Done"))</f>
        <v>Open</v>
      </c>
      <c r="H273" s="5" t="s">
        <v>326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2">
      <c r="A274" s="5" t="s">
        <v>696</v>
      </c>
      <c r="B274" s="5" t="s">
        <v>206</v>
      </c>
      <c r="C274" s="5" t="s">
        <v>410</v>
      </c>
      <c r="D274" s="7">
        <v>46228</v>
      </c>
      <c r="E274" s="7">
        <v>46230</v>
      </c>
      <c r="F274" s="10">
        <f>IF(E274="","",E274-D274)</f>
        <v>2</v>
      </c>
      <c r="G274" s="5" t="str">
        <f>IF(E274="","Open",IF(F274&gt;0,"Delayed","Done"))</f>
        <v>Delayed</v>
      </c>
      <c r="H274" s="5" t="s">
        <v>321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2">
      <c r="A275" s="5" t="s">
        <v>697</v>
      </c>
      <c r="B275" s="5" t="s">
        <v>206</v>
      </c>
      <c r="C275" s="5" t="s">
        <v>412</v>
      </c>
      <c r="D275" s="7">
        <v>46231</v>
      </c>
      <c r="E275" s="7">
        <v>46232</v>
      </c>
      <c r="F275" s="10">
        <f>IF(E275="","",E275-D275)</f>
        <v>1</v>
      </c>
      <c r="G275" s="5" t="str">
        <f>IF(E275="","Open",IF(F275&gt;0,"Delayed","Done"))</f>
        <v>Delayed</v>
      </c>
      <c r="H275" s="5" t="s">
        <v>321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2">
      <c r="A276" s="5" t="s">
        <v>698</v>
      </c>
      <c r="B276" s="5" t="s">
        <v>206</v>
      </c>
      <c r="C276" s="5" t="s">
        <v>414</v>
      </c>
      <c r="D276" s="7">
        <v>46233</v>
      </c>
      <c r="E276" s="7">
        <v>46233</v>
      </c>
      <c r="F276" s="10">
        <f>IF(E276="","",E276-D276)</f>
        <v>0</v>
      </c>
      <c r="G276" s="5" t="str">
        <f>IF(E276="","Open",IF(F276&gt;0,"Delayed","Done"))</f>
        <v>Done</v>
      </c>
      <c r="H276" s="5" t="s">
        <v>321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2">
      <c r="A277" s="5" t="s">
        <v>699</v>
      </c>
      <c r="B277" s="5" t="s">
        <v>206</v>
      </c>
      <c r="C277" s="5" t="s">
        <v>416</v>
      </c>
      <c r="D277" s="7">
        <v>46235</v>
      </c>
      <c r="E277" s="7"/>
      <c r="F277" s="10" t="str">
        <f>IF(E277="","",E277-D277)</f>
        <v/>
      </c>
      <c r="G277" s="5" t="str">
        <f>IF(E277="","Open",IF(F277&gt;0,"Delayed","Done"))</f>
        <v>Open</v>
      </c>
      <c r="H277" s="5" t="s">
        <v>321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2">
      <c r="A278" s="5" t="s">
        <v>700</v>
      </c>
      <c r="B278" s="5" t="s">
        <v>206</v>
      </c>
      <c r="C278" s="5" t="s">
        <v>418</v>
      </c>
      <c r="D278" s="7">
        <v>46239</v>
      </c>
      <c r="E278" s="7"/>
      <c r="F278" s="10" t="str">
        <f>IF(E278="","",E278-D278)</f>
        <v/>
      </c>
      <c r="G278" s="5" t="str">
        <f>IF(E278="","Open",IF(F278&gt;0,"Delayed","Done"))</f>
        <v>Open</v>
      </c>
      <c r="H278" s="5" t="s">
        <v>321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2">
      <c r="A279" s="5" t="s">
        <v>701</v>
      </c>
      <c r="B279" s="5" t="s">
        <v>206</v>
      </c>
      <c r="C279" s="5" t="s">
        <v>420</v>
      </c>
      <c r="D279" s="7">
        <v>46245</v>
      </c>
      <c r="E279" s="7">
        <v>46248</v>
      </c>
      <c r="F279" s="10">
        <f>IF(E279="","",E279-D279)</f>
        <v>3</v>
      </c>
      <c r="G279" s="5" t="str">
        <f>IF(E279="","Open",IF(F279&gt;0,"Delayed","Done"))</f>
        <v>Delayed</v>
      </c>
      <c r="H279" s="5" t="s">
        <v>321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2">
      <c r="A280" s="5" t="s">
        <v>702</v>
      </c>
      <c r="B280" s="5" t="s">
        <v>206</v>
      </c>
      <c r="C280" s="5" t="s">
        <v>422</v>
      </c>
      <c r="D280" s="7">
        <v>46249</v>
      </c>
      <c r="E280" s="7">
        <v>46249</v>
      </c>
      <c r="F280" s="10">
        <f>IF(E280="","",E280-D280)</f>
        <v>0</v>
      </c>
      <c r="G280" s="5" t="str">
        <f>IF(E280="","Open",IF(F280&gt;0,"Delayed","Done"))</f>
        <v>Done</v>
      </c>
      <c r="H280" s="5" t="s">
        <v>321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2">
      <c r="A281" s="5" t="s">
        <v>703</v>
      </c>
      <c r="B281" s="5" t="s">
        <v>206</v>
      </c>
      <c r="C281" s="5" t="s">
        <v>424</v>
      </c>
      <c r="D281" s="7">
        <v>46255</v>
      </c>
      <c r="E281" s="7"/>
      <c r="F281" s="10" t="str">
        <f>IF(E281="","",E281-D281)</f>
        <v/>
      </c>
      <c r="G281" s="5" t="str">
        <f>IF(E281="","Open",IF(F281&gt;0,"Delayed","Done"))</f>
        <v>Open</v>
      </c>
      <c r="H281" s="5" t="s">
        <v>326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2">
      <c r="A282" s="5" t="s">
        <v>704</v>
      </c>
      <c r="B282" s="5" t="s">
        <v>206</v>
      </c>
      <c r="C282" s="5" t="s">
        <v>426</v>
      </c>
      <c r="D282" s="7">
        <v>46257</v>
      </c>
      <c r="E282" s="7">
        <v>46258</v>
      </c>
      <c r="F282" s="10">
        <f>IF(E282="","",E282-D282)</f>
        <v>1</v>
      </c>
      <c r="G282" s="5" t="str">
        <f>IF(E282="","Open",IF(F282&gt;0,"Delayed","Done"))</f>
        <v>Delayed</v>
      </c>
      <c r="H282" s="5" t="s">
        <v>326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2">
      <c r="A283" s="5" t="s">
        <v>705</v>
      </c>
      <c r="B283" s="5" t="s">
        <v>206</v>
      </c>
      <c r="C283" s="5" t="s">
        <v>428</v>
      </c>
      <c r="D283" s="7">
        <v>46259</v>
      </c>
      <c r="E283" s="7">
        <v>46259</v>
      </c>
      <c r="F283" s="10">
        <f>IF(E283="","",E283-D283)</f>
        <v>0</v>
      </c>
      <c r="G283" s="5" t="str">
        <f>IF(E283="","Open",IF(F283&gt;0,"Delayed","Done"))</f>
        <v>Done</v>
      </c>
      <c r="H283" s="5" t="s">
        <v>326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2">
      <c r="A284" s="5" t="s">
        <v>706</v>
      </c>
      <c r="B284" s="5" t="s">
        <v>206</v>
      </c>
      <c r="C284" s="5" t="s">
        <v>430</v>
      </c>
      <c r="D284" s="7">
        <v>46262</v>
      </c>
      <c r="E284" s="7">
        <v>46262</v>
      </c>
      <c r="F284" s="10">
        <f>IF(E284="","",E284-D284)</f>
        <v>0</v>
      </c>
      <c r="G284" s="5" t="str">
        <f>IF(E284="","Open",IF(F284&gt;0,"Delayed","Done"))</f>
        <v>Done</v>
      </c>
      <c r="H284" s="5" t="s">
        <v>326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2">
      <c r="A285" s="5" t="s">
        <v>707</v>
      </c>
      <c r="B285" s="5" t="s">
        <v>206</v>
      </c>
      <c r="C285" s="5" t="s">
        <v>432</v>
      </c>
      <c r="D285" s="7">
        <v>46266</v>
      </c>
      <c r="E285" s="7">
        <v>46264</v>
      </c>
      <c r="F285" s="10">
        <f>IF(E285="","",E285-D285)</f>
        <v>-2</v>
      </c>
      <c r="G285" s="5" t="str">
        <f>IF(E285="","Open",IF(F285&gt;0,"Delayed","Done"))</f>
        <v>Done</v>
      </c>
      <c r="H285" s="5" t="s">
        <v>321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2">
      <c r="A286" s="5" t="s">
        <v>708</v>
      </c>
      <c r="B286" s="5" t="s">
        <v>206</v>
      </c>
      <c r="C286" s="5" t="s">
        <v>434</v>
      </c>
      <c r="D286" s="7">
        <v>46268</v>
      </c>
      <c r="E286" s="7"/>
      <c r="F286" s="10" t="str">
        <f>IF(E286="","",E286-D286)</f>
        <v/>
      </c>
      <c r="G286" s="5" t="str">
        <f>IF(E286="","Open",IF(F286&gt;0,"Delayed","Done"))</f>
        <v>Open</v>
      </c>
      <c r="H286" s="5" t="s">
        <v>321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2">
      <c r="A287" s="5" t="s">
        <v>709</v>
      </c>
      <c r="B287" s="5" t="s">
        <v>206</v>
      </c>
      <c r="C287" s="5" t="s">
        <v>436</v>
      </c>
      <c r="D287" s="7">
        <v>46270</v>
      </c>
      <c r="E287" s="7"/>
      <c r="F287" s="10" t="str">
        <f>IF(E287="","",E287-D287)</f>
        <v/>
      </c>
      <c r="G287" s="5" t="str">
        <f>IF(E287="","Open",IF(F287&gt;0,"Delayed","Done"))</f>
        <v>Open</v>
      </c>
      <c r="H287" s="5" t="s">
        <v>326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2">
      <c r="A288" s="5" t="s">
        <v>710</v>
      </c>
      <c r="B288" s="5" t="s">
        <v>206</v>
      </c>
      <c r="C288" s="5" t="s">
        <v>274</v>
      </c>
      <c r="D288" s="7">
        <v>46271</v>
      </c>
      <c r="E288" s="7">
        <v>46269</v>
      </c>
      <c r="F288" s="10">
        <f>IF(E288="","",E288-D288)</f>
        <v>-2</v>
      </c>
      <c r="G288" s="5" t="str">
        <f>IF(E288="","Open",IF(F288&gt;0,"Delayed","Done"))</f>
        <v>Done</v>
      </c>
      <c r="H288" s="5" t="s">
        <v>321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2">
      <c r="A289" s="5" t="s">
        <v>711</v>
      </c>
      <c r="B289" s="5" t="s">
        <v>206</v>
      </c>
      <c r="C289" s="5" t="s">
        <v>439</v>
      </c>
      <c r="D289" s="7">
        <v>46273</v>
      </c>
      <c r="E289" s="7">
        <v>46274</v>
      </c>
      <c r="F289" s="10">
        <f>IF(E289="","",E289-D289)</f>
        <v>1</v>
      </c>
      <c r="G289" s="5" t="str">
        <f>IF(E289="","Open",IF(F289&gt;0,"Delayed","Done"))</f>
        <v>Delayed</v>
      </c>
      <c r="H289" s="5" t="s">
        <v>326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2">
      <c r="A290" s="5" t="s">
        <v>712</v>
      </c>
      <c r="B290" s="5" t="s">
        <v>208</v>
      </c>
      <c r="C290" s="5" t="s">
        <v>410</v>
      </c>
      <c r="D290" s="7">
        <v>46213</v>
      </c>
      <c r="E290" s="7"/>
      <c r="F290" s="10" t="str">
        <f>IF(E290="","",E290-D290)</f>
        <v/>
      </c>
      <c r="G290" s="5" t="str">
        <f>IF(E290="","Open",IF(F290&gt;0,"Delayed","Done"))</f>
        <v>Open</v>
      </c>
      <c r="H290" s="5" t="s">
        <v>321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2">
      <c r="A291" s="5" t="s">
        <v>713</v>
      </c>
      <c r="B291" s="5" t="s">
        <v>208</v>
      </c>
      <c r="C291" s="5" t="s">
        <v>412</v>
      </c>
      <c r="D291" s="7">
        <v>46216</v>
      </c>
      <c r="E291" s="7"/>
      <c r="F291" s="10" t="str">
        <f>IF(E291="","",E291-D291)</f>
        <v/>
      </c>
      <c r="G291" s="5" t="str">
        <f>IF(E291="","Open",IF(F291&gt;0,"Delayed","Done"))</f>
        <v>Open</v>
      </c>
      <c r="H291" s="5" t="s">
        <v>321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2">
      <c r="A292" s="5" t="s">
        <v>714</v>
      </c>
      <c r="B292" s="5" t="s">
        <v>208</v>
      </c>
      <c r="C292" s="5" t="s">
        <v>414</v>
      </c>
      <c r="D292" s="7">
        <v>46218</v>
      </c>
      <c r="E292" s="7">
        <v>46217</v>
      </c>
      <c r="F292" s="10">
        <f>IF(E292="","",E292-D292)</f>
        <v>-1</v>
      </c>
      <c r="G292" s="5" t="str">
        <f>IF(E292="","Open",IF(F292&gt;0,"Delayed","Done"))</f>
        <v>Done</v>
      </c>
      <c r="H292" s="5" t="s">
        <v>321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2">
      <c r="A293" s="5" t="s">
        <v>715</v>
      </c>
      <c r="B293" s="5" t="s">
        <v>208</v>
      </c>
      <c r="C293" s="5" t="s">
        <v>416</v>
      </c>
      <c r="D293" s="7">
        <v>46220</v>
      </c>
      <c r="E293" s="7"/>
      <c r="F293" s="10" t="str">
        <f>IF(E293="","",E293-D293)</f>
        <v/>
      </c>
      <c r="G293" s="5" t="str">
        <f>IF(E293="","Open",IF(F293&gt;0,"Delayed","Done"))</f>
        <v>Open</v>
      </c>
      <c r="H293" s="5" t="s">
        <v>321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2">
      <c r="A294" s="5" t="s">
        <v>716</v>
      </c>
      <c r="B294" s="5" t="s">
        <v>208</v>
      </c>
      <c r="C294" s="5" t="s">
        <v>418</v>
      </c>
      <c r="D294" s="7">
        <v>46224</v>
      </c>
      <c r="E294" s="7">
        <v>46223</v>
      </c>
      <c r="F294" s="10">
        <f>IF(E294="","",E294-D294)</f>
        <v>-1</v>
      </c>
      <c r="G294" s="5" t="str">
        <f>IF(E294="","Open",IF(F294&gt;0,"Delayed","Done"))</f>
        <v>Done</v>
      </c>
      <c r="H294" s="5" t="s">
        <v>321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2">
      <c r="A295" s="5" t="s">
        <v>717</v>
      </c>
      <c r="B295" s="5" t="s">
        <v>208</v>
      </c>
      <c r="C295" s="5" t="s">
        <v>420</v>
      </c>
      <c r="D295" s="7">
        <v>46230</v>
      </c>
      <c r="E295" s="7">
        <v>46231</v>
      </c>
      <c r="F295" s="10">
        <f>IF(E295="","",E295-D295)</f>
        <v>1</v>
      </c>
      <c r="G295" s="5" t="str">
        <f>IF(E295="","Open",IF(F295&gt;0,"Delayed","Done"))</f>
        <v>Delayed</v>
      </c>
      <c r="H295" s="5" t="s">
        <v>321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2">
      <c r="A296" s="5" t="s">
        <v>718</v>
      </c>
      <c r="B296" s="5" t="s">
        <v>208</v>
      </c>
      <c r="C296" s="5" t="s">
        <v>422</v>
      </c>
      <c r="D296" s="7">
        <v>46234</v>
      </c>
      <c r="E296" s="7">
        <v>46233</v>
      </c>
      <c r="F296" s="10">
        <f>IF(E296="","",E296-D296)</f>
        <v>-1</v>
      </c>
      <c r="G296" s="5" t="str">
        <f>IF(E296="","Open",IF(F296&gt;0,"Delayed","Done"))</f>
        <v>Done</v>
      </c>
      <c r="H296" s="5" t="s">
        <v>321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2">
      <c r="A297" s="5" t="s">
        <v>719</v>
      </c>
      <c r="B297" s="5" t="s">
        <v>208</v>
      </c>
      <c r="C297" s="5" t="s">
        <v>424</v>
      </c>
      <c r="D297" s="7">
        <v>46240</v>
      </c>
      <c r="E297" s="7"/>
      <c r="F297" s="10" t="str">
        <f>IF(E297="","",E297-D297)</f>
        <v/>
      </c>
      <c r="G297" s="5" t="str">
        <f>IF(E297="","Open",IF(F297&gt;0,"Delayed","Done"))</f>
        <v>Open</v>
      </c>
      <c r="H297" s="5" t="s">
        <v>326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2">
      <c r="A298" s="5" t="s">
        <v>720</v>
      </c>
      <c r="B298" s="5" t="s">
        <v>208</v>
      </c>
      <c r="C298" s="5" t="s">
        <v>426</v>
      </c>
      <c r="D298" s="7">
        <v>46242</v>
      </c>
      <c r="E298" s="7"/>
      <c r="F298" s="10" t="str">
        <f>IF(E298="","",E298-D298)</f>
        <v/>
      </c>
      <c r="G298" s="5" t="str">
        <f>IF(E298="","Open",IF(F298&gt;0,"Delayed","Done"))</f>
        <v>Open</v>
      </c>
      <c r="H298" s="5" t="s">
        <v>326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2">
      <c r="A299" s="5" t="s">
        <v>721</v>
      </c>
      <c r="B299" s="5" t="s">
        <v>208</v>
      </c>
      <c r="C299" s="5" t="s">
        <v>428</v>
      </c>
      <c r="D299" s="7">
        <v>46244</v>
      </c>
      <c r="E299" s="7"/>
      <c r="F299" s="10" t="str">
        <f>IF(E299="","",E299-D299)</f>
        <v/>
      </c>
      <c r="G299" s="5" t="str">
        <f>IF(E299="","Open",IF(F299&gt;0,"Delayed","Done"))</f>
        <v>Open</v>
      </c>
      <c r="H299" s="5" t="s">
        <v>326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2">
      <c r="A300" s="5" t="s">
        <v>722</v>
      </c>
      <c r="B300" s="5" t="s">
        <v>208</v>
      </c>
      <c r="C300" s="5" t="s">
        <v>430</v>
      </c>
      <c r="D300" s="7">
        <v>46247</v>
      </c>
      <c r="E300" s="7">
        <v>46245</v>
      </c>
      <c r="F300" s="10">
        <f>IF(E300="","",E300-D300)</f>
        <v>-2</v>
      </c>
      <c r="G300" s="5" t="str">
        <f>IF(E300="","Open",IF(F300&gt;0,"Delayed","Done"))</f>
        <v>Done</v>
      </c>
      <c r="H300" s="5" t="s">
        <v>326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2">
      <c r="A301" s="5" t="s">
        <v>723</v>
      </c>
      <c r="B301" s="5" t="s">
        <v>208</v>
      </c>
      <c r="C301" s="5" t="s">
        <v>432</v>
      </c>
      <c r="D301" s="7">
        <v>46251</v>
      </c>
      <c r="E301" s="7">
        <v>46251</v>
      </c>
      <c r="F301" s="10">
        <f>IF(E301="","",E301-D301)</f>
        <v>0</v>
      </c>
      <c r="G301" s="5" t="str">
        <f>IF(E301="","Open",IF(F301&gt;0,"Delayed","Done"))</f>
        <v>Done</v>
      </c>
      <c r="H301" s="5" t="s">
        <v>321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2">
      <c r="A302" s="5" t="s">
        <v>724</v>
      </c>
      <c r="B302" s="5" t="s">
        <v>208</v>
      </c>
      <c r="C302" s="5" t="s">
        <v>434</v>
      </c>
      <c r="D302" s="7">
        <v>46253</v>
      </c>
      <c r="E302" s="7"/>
      <c r="F302" s="10" t="str">
        <f>IF(E302="","",E302-D302)</f>
        <v/>
      </c>
      <c r="G302" s="5" t="str">
        <f>IF(E302="","Open",IF(F302&gt;0,"Delayed","Done"))</f>
        <v>Open</v>
      </c>
      <c r="H302" s="5" t="s">
        <v>321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2">
      <c r="A303" s="5" t="s">
        <v>725</v>
      </c>
      <c r="B303" s="5" t="s">
        <v>208</v>
      </c>
      <c r="C303" s="5" t="s">
        <v>436</v>
      </c>
      <c r="D303" s="7">
        <v>46255</v>
      </c>
      <c r="E303" s="7">
        <v>46254</v>
      </c>
      <c r="F303" s="10">
        <f>IF(E303="","",E303-D303)</f>
        <v>-1</v>
      </c>
      <c r="G303" s="5" t="str">
        <f>IF(E303="","Open",IF(F303&gt;0,"Delayed","Done"))</f>
        <v>Done</v>
      </c>
      <c r="H303" s="5" t="s">
        <v>326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2">
      <c r="A304" s="5" t="s">
        <v>726</v>
      </c>
      <c r="B304" s="5" t="s">
        <v>208</v>
      </c>
      <c r="C304" s="5" t="s">
        <v>274</v>
      </c>
      <c r="D304" s="7">
        <v>46256</v>
      </c>
      <c r="E304" s="7"/>
      <c r="F304" s="10" t="str">
        <f>IF(E304="","",E304-D304)</f>
        <v/>
      </c>
      <c r="G304" s="5" t="str">
        <f>IF(E304="","Open",IF(F304&gt;0,"Delayed","Done"))</f>
        <v>Open</v>
      </c>
      <c r="H304" s="5" t="s">
        <v>321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2">
      <c r="A305" s="5" t="s">
        <v>727</v>
      </c>
      <c r="B305" s="5" t="s">
        <v>208</v>
      </c>
      <c r="C305" s="5" t="s">
        <v>439</v>
      </c>
      <c r="D305" s="7">
        <v>46258</v>
      </c>
      <c r="E305" s="7">
        <v>46261</v>
      </c>
      <c r="F305" s="10">
        <f>IF(E305="","",E305-D305)</f>
        <v>3</v>
      </c>
      <c r="G305" s="5" t="str">
        <f>IF(E305="","Open",IF(F305&gt;0,"Delayed","Done"))</f>
        <v>Delayed</v>
      </c>
      <c r="H305" s="5" t="s">
        <v>326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2">
      <c r="A306" s="5" t="s">
        <v>728</v>
      </c>
      <c r="B306" s="5" t="s">
        <v>211</v>
      </c>
      <c r="C306" s="5" t="s">
        <v>410</v>
      </c>
      <c r="D306" s="7">
        <v>46172</v>
      </c>
      <c r="E306" s="7"/>
      <c r="F306" s="10" t="str">
        <f>IF(E306="","",E306-D306)</f>
        <v/>
      </c>
      <c r="G306" s="5" t="str">
        <f>IF(E306="","Open",IF(F306&gt;0,"Delayed","Done"))</f>
        <v>Open</v>
      </c>
      <c r="H306" s="5" t="s">
        <v>321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2">
      <c r="A307" s="5" t="s">
        <v>729</v>
      </c>
      <c r="B307" s="5" t="s">
        <v>211</v>
      </c>
      <c r="C307" s="5" t="s">
        <v>412</v>
      </c>
      <c r="D307" s="7">
        <v>46175</v>
      </c>
      <c r="E307" s="7"/>
      <c r="F307" s="10" t="str">
        <f>IF(E307="","",E307-D307)</f>
        <v/>
      </c>
      <c r="G307" s="5" t="str">
        <f>IF(E307="","Open",IF(F307&gt;0,"Delayed","Done"))</f>
        <v>Open</v>
      </c>
      <c r="H307" s="5" t="s">
        <v>321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2">
      <c r="A308" s="5" t="s">
        <v>730</v>
      </c>
      <c r="B308" s="5" t="s">
        <v>211</v>
      </c>
      <c r="C308" s="5" t="s">
        <v>414</v>
      </c>
      <c r="D308" s="7">
        <v>46177</v>
      </c>
      <c r="E308" s="7"/>
      <c r="F308" s="10" t="str">
        <f>IF(E308="","",E308-D308)</f>
        <v/>
      </c>
      <c r="G308" s="5" t="str">
        <f>IF(E308="","Open",IF(F308&gt;0,"Delayed","Done"))</f>
        <v>Open</v>
      </c>
      <c r="H308" s="5" t="s">
        <v>321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2">
      <c r="A309" s="5" t="s">
        <v>731</v>
      </c>
      <c r="B309" s="5" t="s">
        <v>211</v>
      </c>
      <c r="C309" s="5" t="s">
        <v>416</v>
      </c>
      <c r="D309" s="7">
        <v>46179</v>
      </c>
      <c r="E309" s="7">
        <v>46181</v>
      </c>
      <c r="F309" s="10">
        <f>IF(E309="","",E309-D309)</f>
        <v>2</v>
      </c>
      <c r="G309" s="5" t="str">
        <f>IF(E309="","Open",IF(F309&gt;0,"Delayed","Done"))</f>
        <v>Delayed</v>
      </c>
      <c r="H309" s="5" t="s">
        <v>321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2">
      <c r="A310" s="5" t="s">
        <v>732</v>
      </c>
      <c r="B310" s="5" t="s">
        <v>211</v>
      </c>
      <c r="C310" s="5" t="s">
        <v>418</v>
      </c>
      <c r="D310" s="7">
        <v>46183</v>
      </c>
      <c r="E310" s="7">
        <v>46185</v>
      </c>
      <c r="F310" s="10">
        <f>IF(E310="","",E310-D310)</f>
        <v>2</v>
      </c>
      <c r="G310" s="5" t="str">
        <f>IF(E310="","Open",IF(F310&gt;0,"Delayed","Done"))</f>
        <v>Delayed</v>
      </c>
      <c r="H310" s="5" t="s">
        <v>321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2">
      <c r="A311" s="5" t="s">
        <v>733</v>
      </c>
      <c r="B311" s="5" t="s">
        <v>211</v>
      </c>
      <c r="C311" s="5" t="s">
        <v>420</v>
      </c>
      <c r="D311" s="7">
        <v>46189</v>
      </c>
      <c r="E311" s="7">
        <v>46192</v>
      </c>
      <c r="F311" s="10">
        <f>IF(E311="","",E311-D311)</f>
        <v>3</v>
      </c>
      <c r="G311" s="5" t="str">
        <f>IF(E311="","Open",IF(F311&gt;0,"Delayed","Done"))</f>
        <v>Delayed</v>
      </c>
      <c r="H311" s="5" t="s">
        <v>321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2">
      <c r="A312" s="5" t="s">
        <v>734</v>
      </c>
      <c r="B312" s="5" t="s">
        <v>211</v>
      </c>
      <c r="C312" s="5" t="s">
        <v>422</v>
      </c>
      <c r="D312" s="7">
        <v>46193</v>
      </c>
      <c r="E312" s="7"/>
      <c r="F312" s="10" t="str">
        <f>IF(E312="","",E312-D312)</f>
        <v/>
      </c>
      <c r="G312" s="5" t="str">
        <f>IF(E312="","Open",IF(F312&gt;0,"Delayed","Done"))</f>
        <v>Open</v>
      </c>
      <c r="H312" s="5" t="s">
        <v>321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2">
      <c r="A313" s="5" t="s">
        <v>735</v>
      </c>
      <c r="B313" s="5" t="s">
        <v>211</v>
      </c>
      <c r="C313" s="5" t="s">
        <v>424</v>
      </c>
      <c r="D313" s="7">
        <v>46199</v>
      </c>
      <c r="E313" s="7">
        <v>46199</v>
      </c>
      <c r="F313" s="10">
        <f>IF(E313="","",E313-D313)</f>
        <v>0</v>
      </c>
      <c r="G313" s="5" t="str">
        <f>IF(E313="","Open",IF(F313&gt;0,"Delayed","Done"))</f>
        <v>Done</v>
      </c>
      <c r="H313" s="5" t="s">
        <v>326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2">
      <c r="A314" s="5" t="s">
        <v>736</v>
      </c>
      <c r="B314" s="5" t="s">
        <v>211</v>
      </c>
      <c r="C314" s="5" t="s">
        <v>426</v>
      </c>
      <c r="D314" s="7">
        <v>46201</v>
      </c>
      <c r="E314" s="7">
        <v>46200</v>
      </c>
      <c r="F314" s="10">
        <f>IF(E314="","",E314-D314)</f>
        <v>-1</v>
      </c>
      <c r="G314" s="5" t="str">
        <f>IF(E314="","Open",IF(F314&gt;0,"Delayed","Done"))</f>
        <v>Done</v>
      </c>
      <c r="H314" s="5" t="s">
        <v>326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2">
      <c r="A315" s="5" t="s">
        <v>737</v>
      </c>
      <c r="B315" s="5" t="s">
        <v>211</v>
      </c>
      <c r="C315" s="5" t="s">
        <v>428</v>
      </c>
      <c r="D315" s="7">
        <v>46203</v>
      </c>
      <c r="E315" s="7"/>
      <c r="F315" s="10" t="str">
        <f>IF(E315="","",E315-D315)</f>
        <v/>
      </c>
      <c r="G315" s="5" t="str">
        <f>IF(E315="","Open",IF(F315&gt;0,"Delayed","Done"))</f>
        <v>Open</v>
      </c>
      <c r="H315" s="5" t="s">
        <v>326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2">
      <c r="A316" s="5" t="s">
        <v>738</v>
      </c>
      <c r="B316" s="5" t="s">
        <v>211</v>
      </c>
      <c r="C316" s="5" t="s">
        <v>430</v>
      </c>
      <c r="D316" s="7">
        <v>46206</v>
      </c>
      <c r="E316" s="7">
        <v>46204</v>
      </c>
      <c r="F316" s="10">
        <f>IF(E316="","",E316-D316)</f>
        <v>-2</v>
      </c>
      <c r="G316" s="5" t="str">
        <f>IF(E316="","Open",IF(F316&gt;0,"Delayed","Done"))</f>
        <v>Done</v>
      </c>
      <c r="H316" s="5" t="s">
        <v>326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2">
      <c r="A317" s="5" t="s">
        <v>739</v>
      </c>
      <c r="B317" s="5" t="s">
        <v>211</v>
      </c>
      <c r="C317" s="5" t="s">
        <v>432</v>
      </c>
      <c r="D317" s="7">
        <v>46210</v>
      </c>
      <c r="E317" s="7">
        <v>46209</v>
      </c>
      <c r="F317" s="10">
        <f>IF(E317="","",E317-D317)</f>
        <v>-1</v>
      </c>
      <c r="G317" s="5" t="str">
        <f>IF(E317="","Open",IF(F317&gt;0,"Delayed","Done"))</f>
        <v>Done</v>
      </c>
      <c r="H317" s="5" t="s">
        <v>321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2">
      <c r="A318" s="5" t="s">
        <v>740</v>
      </c>
      <c r="B318" s="5" t="s">
        <v>211</v>
      </c>
      <c r="C318" s="5" t="s">
        <v>434</v>
      </c>
      <c r="D318" s="7">
        <v>46212</v>
      </c>
      <c r="E318" s="7">
        <v>46212</v>
      </c>
      <c r="F318" s="10">
        <f>IF(E318="","",E318-D318)</f>
        <v>0</v>
      </c>
      <c r="G318" s="5" t="str">
        <f>IF(E318="","Open",IF(F318&gt;0,"Delayed","Done"))</f>
        <v>Done</v>
      </c>
      <c r="H318" s="5" t="s">
        <v>321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2">
      <c r="A319" s="5" t="s">
        <v>741</v>
      </c>
      <c r="B319" s="5" t="s">
        <v>211</v>
      </c>
      <c r="C319" s="5" t="s">
        <v>436</v>
      </c>
      <c r="D319" s="7">
        <v>46214</v>
      </c>
      <c r="E319" s="7"/>
      <c r="F319" s="10" t="str">
        <f>IF(E319="","",E319-D319)</f>
        <v/>
      </c>
      <c r="G319" s="5" t="str">
        <f>IF(E319="","Open",IF(F319&gt;0,"Delayed","Done"))</f>
        <v>Open</v>
      </c>
      <c r="H319" s="5" t="s">
        <v>326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2">
      <c r="A320" s="5" t="s">
        <v>742</v>
      </c>
      <c r="B320" s="5" t="s">
        <v>211</v>
      </c>
      <c r="C320" s="5" t="s">
        <v>274</v>
      </c>
      <c r="D320" s="7">
        <v>46215</v>
      </c>
      <c r="E320" s="7">
        <v>46214</v>
      </c>
      <c r="F320" s="10">
        <f>IF(E320="","",E320-D320)</f>
        <v>-1</v>
      </c>
      <c r="G320" s="5" t="str">
        <f>IF(E320="","Open",IF(F320&gt;0,"Delayed","Done"))</f>
        <v>Done</v>
      </c>
      <c r="H320" s="5" t="s">
        <v>321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2">
      <c r="A321" s="5" t="s">
        <v>743</v>
      </c>
      <c r="B321" s="5" t="s">
        <v>211</v>
      </c>
      <c r="C321" s="5" t="s">
        <v>439</v>
      </c>
      <c r="D321" s="7">
        <v>46217</v>
      </c>
      <c r="E321" s="7">
        <v>46216</v>
      </c>
      <c r="F321" s="10">
        <f>IF(E321="","",E321-D321)</f>
        <v>-1</v>
      </c>
      <c r="G321" s="5" t="str">
        <f>IF(E321="","Open",IF(F321&gt;0,"Delayed","Done"))</f>
        <v>Done</v>
      </c>
      <c r="H321" s="5" t="s">
        <v>326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2">
      <c r="A322" s="5" t="s">
        <v>744</v>
      </c>
      <c r="B322" s="5" t="s">
        <v>214</v>
      </c>
      <c r="C322" s="5" t="s">
        <v>410</v>
      </c>
      <c r="D322" s="7">
        <v>46232</v>
      </c>
      <c r="E322" s="7">
        <v>46235</v>
      </c>
      <c r="F322" s="10">
        <f>IF(E322="","",E322-D322)</f>
        <v>3</v>
      </c>
      <c r="G322" s="5" t="str">
        <f>IF(E322="","Open",IF(F322&gt;0,"Delayed","Done"))</f>
        <v>Delayed</v>
      </c>
      <c r="H322" s="5" t="s">
        <v>321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2">
      <c r="A323" s="5" t="s">
        <v>745</v>
      </c>
      <c r="B323" s="5" t="s">
        <v>214</v>
      </c>
      <c r="C323" s="5" t="s">
        <v>412</v>
      </c>
      <c r="D323" s="7">
        <v>46235</v>
      </c>
      <c r="E323" s="7"/>
      <c r="F323" s="10" t="str">
        <f>IF(E323="","",E323-D323)</f>
        <v/>
      </c>
      <c r="G323" s="5" t="str">
        <f>IF(E323="","Open",IF(F323&gt;0,"Delayed","Done"))</f>
        <v>Open</v>
      </c>
      <c r="H323" s="5" t="s">
        <v>321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2">
      <c r="A324" s="5" t="s">
        <v>746</v>
      </c>
      <c r="B324" s="5" t="s">
        <v>214</v>
      </c>
      <c r="C324" s="5" t="s">
        <v>414</v>
      </c>
      <c r="D324" s="7">
        <v>46237</v>
      </c>
      <c r="E324" s="7">
        <v>46237</v>
      </c>
      <c r="F324" s="10">
        <f>IF(E324="","",E324-D324)</f>
        <v>0</v>
      </c>
      <c r="G324" s="5" t="str">
        <f>IF(E324="","Open",IF(F324&gt;0,"Delayed","Done"))</f>
        <v>Done</v>
      </c>
      <c r="H324" s="5" t="s">
        <v>321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2">
      <c r="A325" s="5" t="s">
        <v>747</v>
      </c>
      <c r="B325" s="5" t="s">
        <v>214</v>
      </c>
      <c r="C325" s="5" t="s">
        <v>416</v>
      </c>
      <c r="D325" s="7">
        <v>46239</v>
      </c>
      <c r="E325" s="7">
        <v>46241</v>
      </c>
      <c r="F325" s="10">
        <f>IF(E325="","",E325-D325)</f>
        <v>2</v>
      </c>
      <c r="G325" s="5" t="str">
        <f>IF(E325="","Open",IF(F325&gt;0,"Delayed","Done"))</f>
        <v>Delayed</v>
      </c>
      <c r="H325" s="5" t="s">
        <v>321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2">
      <c r="A326" s="5" t="s">
        <v>748</v>
      </c>
      <c r="B326" s="5" t="s">
        <v>214</v>
      </c>
      <c r="C326" s="5" t="s">
        <v>418</v>
      </c>
      <c r="D326" s="7">
        <v>46243</v>
      </c>
      <c r="E326" s="7">
        <v>46242</v>
      </c>
      <c r="F326" s="10">
        <f>IF(E326="","",E326-D326)</f>
        <v>-1</v>
      </c>
      <c r="G326" s="5" t="str">
        <f>IF(E326="","Open",IF(F326&gt;0,"Delayed","Done"))</f>
        <v>Done</v>
      </c>
      <c r="H326" s="5" t="s">
        <v>321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2">
      <c r="A327" s="5" t="s">
        <v>749</v>
      </c>
      <c r="B327" s="5" t="s">
        <v>214</v>
      </c>
      <c r="C327" s="5" t="s">
        <v>420</v>
      </c>
      <c r="D327" s="7">
        <v>46249</v>
      </c>
      <c r="E327" s="7">
        <v>46249</v>
      </c>
      <c r="F327" s="10">
        <f>IF(E327="","",E327-D327)</f>
        <v>0</v>
      </c>
      <c r="G327" s="5" t="str">
        <f>IF(E327="","Open",IF(F327&gt;0,"Delayed","Done"))</f>
        <v>Done</v>
      </c>
      <c r="H327" s="5" t="s">
        <v>321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2">
      <c r="A328" s="5" t="s">
        <v>750</v>
      </c>
      <c r="B328" s="5" t="s">
        <v>214</v>
      </c>
      <c r="C328" s="5" t="s">
        <v>422</v>
      </c>
      <c r="D328" s="7">
        <v>46253</v>
      </c>
      <c r="E328" s="7">
        <v>46258</v>
      </c>
      <c r="F328" s="10">
        <f>IF(E328="","",E328-D328)</f>
        <v>5</v>
      </c>
      <c r="G328" s="5" t="str">
        <f>IF(E328="","Open",IF(F328&gt;0,"Delayed","Done"))</f>
        <v>Delayed</v>
      </c>
      <c r="H328" s="5" t="s">
        <v>321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2">
      <c r="A329" s="5" t="s">
        <v>751</v>
      </c>
      <c r="B329" s="5" t="s">
        <v>214</v>
      </c>
      <c r="C329" s="5" t="s">
        <v>424</v>
      </c>
      <c r="D329" s="7">
        <v>46259</v>
      </c>
      <c r="E329" s="7"/>
      <c r="F329" s="10" t="str">
        <f>IF(E329="","",E329-D329)</f>
        <v/>
      </c>
      <c r="G329" s="5" t="str">
        <f>IF(E329="","Open",IF(F329&gt;0,"Delayed","Done"))</f>
        <v>Open</v>
      </c>
      <c r="H329" s="5" t="s">
        <v>326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x14ac:dyDescent="0.2">
      <c r="A330" s="5" t="s">
        <v>752</v>
      </c>
      <c r="B330" s="5" t="s">
        <v>214</v>
      </c>
      <c r="C330" s="5" t="s">
        <v>426</v>
      </c>
      <c r="D330" s="7">
        <v>46261</v>
      </c>
      <c r="E330" s="7"/>
      <c r="F330" s="10" t="str">
        <f>IF(E330="","",E330-D330)</f>
        <v/>
      </c>
      <c r="G330" s="5" t="str">
        <f>IF(E330="","Open",IF(F330&gt;0,"Delayed","Done"))</f>
        <v>Open</v>
      </c>
      <c r="H330" s="5" t="s">
        <v>326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2">
      <c r="A331" s="5" t="s">
        <v>753</v>
      </c>
      <c r="B331" s="5" t="s">
        <v>214</v>
      </c>
      <c r="C331" s="5" t="s">
        <v>428</v>
      </c>
      <c r="D331" s="7">
        <v>46263</v>
      </c>
      <c r="E331" s="7">
        <v>46263</v>
      </c>
      <c r="F331" s="10">
        <f>IF(E331="","",E331-D331)</f>
        <v>0</v>
      </c>
      <c r="G331" s="5" t="str">
        <f>IF(E331="","Open",IF(F331&gt;0,"Delayed","Done"))</f>
        <v>Done</v>
      </c>
      <c r="H331" s="5" t="s">
        <v>326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2">
      <c r="A332" s="5" t="s">
        <v>754</v>
      </c>
      <c r="B332" s="5" t="s">
        <v>214</v>
      </c>
      <c r="C332" s="5" t="s">
        <v>430</v>
      </c>
      <c r="D332" s="7">
        <v>46266</v>
      </c>
      <c r="E332" s="7">
        <v>46265</v>
      </c>
      <c r="F332" s="10">
        <f>IF(E332="","",E332-D332)</f>
        <v>-1</v>
      </c>
      <c r="G332" s="5" t="str">
        <f>IF(E332="","Open",IF(F332&gt;0,"Delayed","Done"))</f>
        <v>Done</v>
      </c>
      <c r="H332" s="5" t="s">
        <v>326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2">
      <c r="A333" s="5" t="s">
        <v>755</v>
      </c>
      <c r="B333" s="5" t="s">
        <v>214</v>
      </c>
      <c r="C333" s="5" t="s">
        <v>432</v>
      </c>
      <c r="D333" s="7">
        <v>46270</v>
      </c>
      <c r="E333" s="7">
        <v>46275</v>
      </c>
      <c r="F333" s="10">
        <f>IF(E333="","",E333-D333)</f>
        <v>5</v>
      </c>
      <c r="G333" s="5" t="str">
        <f>IF(E333="","Open",IF(F333&gt;0,"Delayed","Done"))</f>
        <v>Delayed</v>
      </c>
      <c r="H333" s="5" t="s">
        <v>321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2">
      <c r="A334" s="5" t="s">
        <v>756</v>
      </c>
      <c r="B334" s="5" t="s">
        <v>214</v>
      </c>
      <c r="C334" s="5" t="s">
        <v>434</v>
      </c>
      <c r="D334" s="7">
        <v>46272</v>
      </c>
      <c r="E334" s="7"/>
      <c r="F334" s="10" t="str">
        <f>IF(E334="","",E334-D334)</f>
        <v/>
      </c>
      <c r="G334" s="5" t="str">
        <f>IF(E334="","Open",IF(F334&gt;0,"Delayed","Done"))</f>
        <v>Open</v>
      </c>
      <c r="H334" s="5" t="s">
        <v>321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2">
      <c r="A335" s="5" t="s">
        <v>757</v>
      </c>
      <c r="B335" s="5" t="s">
        <v>214</v>
      </c>
      <c r="C335" s="5" t="s">
        <v>436</v>
      </c>
      <c r="D335" s="7">
        <v>46274</v>
      </c>
      <c r="E335" s="7">
        <v>46275</v>
      </c>
      <c r="F335" s="10">
        <f>IF(E335="","",E335-D335)</f>
        <v>1</v>
      </c>
      <c r="G335" s="5" t="str">
        <f>IF(E335="","Open",IF(F335&gt;0,"Delayed","Done"))</f>
        <v>Delayed</v>
      </c>
      <c r="H335" s="5" t="s">
        <v>326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2">
      <c r="A336" s="5" t="s">
        <v>758</v>
      </c>
      <c r="B336" s="5" t="s">
        <v>214</v>
      </c>
      <c r="C336" s="5" t="s">
        <v>274</v>
      </c>
      <c r="D336" s="7">
        <v>46275</v>
      </c>
      <c r="E336" s="7">
        <v>46274</v>
      </c>
      <c r="F336" s="10">
        <f>IF(E336="","",E336-D336)</f>
        <v>-1</v>
      </c>
      <c r="G336" s="5" t="str">
        <f>IF(E336="","Open",IF(F336&gt;0,"Delayed","Done"))</f>
        <v>Done</v>
      </c>
      <c r="H336" s="5" t="s">
        <v>321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x14ac:dyDescent="0.2">
      <c r="A337" s="5" t="s">
        <v>759</v>
      </c>
      <c r="B337" s="5" t="s">
        <v>214</v>
      </c>
      <c r="C337" s="5" t="s">
        <v>439</v>
      </c>
      <c r="D337" s="7">
        <v>46277</v>
      </c>
      <c r="E337" s="7">
        <v>46280</v>
      </c>
      <c r="F337" s="10">
        <f>IF(E337="","",E337-D337)</f>
        <v>3</v>
      </c>
      <c r="G337" s="5" t="str">
        <f>IF(E337="","Open",IF(F337&gt;0,"Delayed","Done"))</f>
        <v>Delayed</v>
      </c>
      <c r="H337" s="5" t="s">
        <v>326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2">
      <c r="A338" s="5" t="s">
        <v>760</v>
      </c>
      <c r="B338" s="5" t="s">
        <v>215</v>
      </c>
      <c r="C338" s="5" t="s">
        <v>410</v>
      </c>
      <c r="D338" s="7">
        <v>46160</v>
      </c>
      <c r="E338" s="7">
        <v>46158</v>
      </c>
      <c r="F338" s="10">
        <f>IF(E338="","",E338-D338)</f>
        <v>-2</v>
      </c>
      <c r="G338" s="5" t="str">
        <f>IF(E338="","Open",IF(F338&gt;0,"Delayed","Done"))</f>
        <v>Done</v>
      </c>
      <c r="H338" s="5" t="s">
        <v>321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x14ac:dyDescent="0.2">
      <c r="A339" s="5" t="s">
        <v>761</v>
      </c>
      <c r="B339" s="5" t="s">
        <v>215</v>
      </c>
      <c r="C339" s="5" t="s">
        <v>412</v>
      </c>
      <c r="D339" s="7">
        <v>46163</v>
      </c>
      <c r="E339" s="7">
        <v>46163</v>
      </c>
      <c r="F339" s="10">
        <f>IF(E339="","",E339-D339)</f>
        <v>0</v>
      </c>
      <c r="G339" s="5" t="str">
        <f>IF(E339="","Open",IF(F339&gt;0,"Delayed","Done"))</f>
        <v>Done</v>
      </c>
      <c r="H339" s="5" t="s">
        <v>321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x14ac:dyDescent="0.2">
      <c r="A340" s="5" t="s">
        <v>762</v>
      </c>
      <c r="B340" s="5" t="s">
        <v>215</v>
      </c>
      <c r="C340" s="5" t="s">
        <v>414</v>
      </c>
      <c r="D340" s="7">
        <v>46165</v>
      </c>
      <c r="E340" s="7"/>
      <c r="F340" s="10" t="str">
        <f>IF(E340="","",E340-D340)</f>
        <v/>
      </c>
      <c r="G340" s="5" t="str">
        <f>IF(E340="","Open",IF(F340&gt;0,"Delayed","Done"))</f>
        <v>Open</v>
      </c>
      <c r="H340" s="5" t="s">
        <v>321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2">
      <c r="A341" s="5" t="s">
        <v>763</v>
      </c>
      <c r="B341" s="5" t="s">
        <v>215</v>
      </c>
      <c r="C341" s="5" t="s">
        <v>416</v>
      </c>
      <c r="D341" s="7">
        <v>46167</v>
      </c>
      <c r="E341" s="7">
        <v>46166</v>
      </c>
      <c r="F341" s="10">
        <f>IF(E341="","",E341-D341)</f>
        <v>-1</v>
      </c>
      <c r="G341" s="5" t="str">
        <f>IF(E341="","Open",IF(F341&gt;0,"Delayed","Done"))</f>
        <v>Done</v>
      </c>
      <c r="H341" s="5" t="s">
        <v>321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x14ac:dyDescent="0.2">
      <c r="A342" s="5" t="s">
        <v>764</v>
      </c>
      <c r="B342" s="5" t="s">
        <v>215</v>
      </c>
      <c r="C342" s="5" t="s">
        <v>418</v>
      </c>
      <c r="D342" s="7">
        <v>46171</v>
      </c>
      <c r="E342" s="7">
        <v>46173</v>
      </c>
      <c r="F342" s="10">
        <f>IF(E342="","",E342-D342)</f>
        <v>2</v>
      </c>
      <c r="G342" s="5" t="str">
        <f>IF(E342="","Open",IF(F342&gt;0,"Delayed","Done"))</f>
        <v>Delayed</v>
      </c>
      <c r="H342" s="5" t="s">
        <v>321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x14ac:dyDescent="0.2">
      <c r="A343" s="5" t="s">
        <v>765</v>
      </c>
      <c r="B343" s="5" t="s">
        <v>215</v>
      </c>
      <c r="C343" s="5" t="s">
        <v>420</v>
      </c>
      <c r="D343" s="7">
        <v>46177</v>
      </c>
      <c r="E343" s="7">
        <v>46177</v>
      </c>
      <c r="F343" s="10">
        <f>IF(E343="","",E343-D343)</f>
        <v>0</v>
      </c>
      <c r="G343" s="5" t="str">
        <f>IF(E343="","Open",IF(F343&gt;0,"Delayed","Done"))</f>
        <v>Done</v>
      </c>
      <c r="H343" s="5" t="s">
        <v>321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2">
      <c r="A344" s="5" t="s">
        <v>766</v>
      </c>
      <c r="B344" s="5" t="s">
        <v>215</v>
      </c>
      <c r="C344" s="5" t="s">
        <v>422</v>
      </c>
      <c r="D344" s="7">
        <v>46181</v>
      </c>
      <c r="E344" s="7">
        <v>46186</v>
      </c>
      <c r="F344" s="10">
        <f>IF(E344="","",E344-D344)</f>
        <v>5</v>
      </c>
      <c r="G344" s="5" t="str">
        <f>IF(E344="","Open",IF(F344&gt;0,"Delayed","Done"))</f>
        <v>Delayed</v>
      </c>
      <c r="H344" s="5" t="s">
        <v>321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x14ac:dyDescent="0.2">
      <c r="A345" s="5" t="s">
        <v>767</v>
      </c>
      <c r="B345" s="5" t="s">
        <v>215</v>
      </c>
      <c r="C345" s="5" t="s">
        <v>424</v>
      </c>
      <c r="D345" s="7">
        <v>46187</v>
      </c>
      <c r="E345" s="7">
        <v>46188</v>
      </c>
      <c r="F345" s="10">
        <f>IF(E345="","",E345-D345)</f>
        <v>1</v>
      </c>
      <c r="G345" s="5" t="str">
        <f>IF(E345="","Open",IF(F345&gt;0,"Delayed","Done"))</f>
        <v>Delayed</v>
      </c>
      <c r="H345" s="5" t="s">
        <v>326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x14ac:dyDescent="0.2">
      <c r="A346" s="5" t="s">
        <v>768</v>
      </c>
      <c r="B346" s="5" t="s">
        <v>215</v>
      </c>
      <c r="C346" s="5" t="s">
        <v>426</v>
      </c>
      <c r="D346" s="7">
        <v>46189</v>
      </c>
      <c r="E346" s="7"/>
      <c r="F346" s="10" t="str">
        <f>IF(E346="","",E346-D346)</f>
        <v/>
      </c>
      <c r="G346" s="5" t="str">
        <f>IF(E346="","Open",IF(F346&gt;0,"Delayed","Done"))</f>
        <v>Open</v>
      </c>
      <c r="H346" s="5" t="s">
        <v>326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2">
      <c r="A347" s="5" t="s">
        <v>769</v>
      </c>
      <c r="B347" s="5" t="s">
        <v>215</v>
      </c>
      <c r="C347" s="5" t="s">
        <v>428</v>
      </c>
      <c r="D347" s="7">
        <v>46191</v>
      </c>
      <c r="E347" s="7">
        <v>46194</v>
      </c>
      <c r="F347" s="10">
        <f>IF(E347="","",E347-D347)</f>
        <v>3</v>
      </c>
      <c r="G347" s="5" t="str">
        <f>IF(E347="","Open",IF(F347&gt;0,"Delayed","Done"))</f>
        <v>Delayed</v>
      </c>
      <c r="H347" s="5" t="s">
        <v>326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x14ac:dyDescent="0.2">
      <c r="A348" s="5" t="s">
        <v>770</v>
      </c>
      <c r="B348" s="5" t="s">
        <v>215</v>
      </c>
      <c r="C348" s="5" t="s">
        <v>430</v>
      </c>
      <c r="D348" s="7">
        <v>46194</v>
      </c>
      <c r="E348" s="7">
        <v>46197</v>
      </c>
      <c r="F348" s="10">
        <f>IF(E348="","",E348-D348)</f>
        <v>3</v>
      </c>
      <c r="G348" s="5" t="str">
        <f>IF(E348="","Open",IF(F348&gt;0,"Delayed","Done"))</f>
        <v>Delayed</v>
      </c>
      <c r="H348" s="5" t="s">
        <v>326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x14ac:dyDescent="0.2">
      <c r="A349" s="5" t="s">
        <v>771</v>
      </c>
      <c r="B349" s="5" t="s">
        <v>215</v>
      </c>
      <c r="C349" s="5" t="s">
        <v>432</v>
      </c>
      <c r="D349" s="7">
        <v>46198</v>
      </c>
      <c r="E349" s="7">
        <v>46198</v>
      </c>
      <c r="F349" s="10">
        <f>IF(E349="","",E349-D349)</f>
        <v>0</v>
      </c>
      <c r="G349" s="5" t="str">
        <f>IF(E349="","Open",IF(F349&gt;0,"Delayed","Done"))</f>
        <v>Done</v>
      </c>
      <c r="H349" s="5" t="s">
        <v>321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2">
      <c r="A350" s="5" t="s">
        <v>772</v>
      </c>
      <c r="B350" s="5" t="s">
        <v>215</v>
      </c>
      <c r="C350" s="5" t="s">
        <v>434</v>
      </c>
      <c r="D350" s="7">
        <v>46200</v>
      </c>
      <c r="E350" s="7"/>
      <c r="F350" s="10" t="str">
        <f>IF(E350="","",E350-D350)</f>
        <v/>
      </c>
      <c r="G350" s="5" t="str">
        <f>IF(E350="","Open",IF(F350&gt;0,"Delayed","Done"))</f>
        <v>Open</v>
      </c>
      <c r="H350" s="5" t="s">
        <v>321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x14ac:dyDescent="0.2">
      <c r="A351" s="5" t="s">
        <v>773</v>
      </c>
      <c r="B351" s="5" t="s">
        <v>215</v>
      </c>
      <c r="C351" s="5" t="s">
        <v>436</v>
      </c>
      <c r="D351" s="7">
        <v>46202</v>
      </c>
      <c r="E351" s="7">
        <v>46202</v>
      </c>
      <c r="F351" s="10">
        <f>IF(E351="","",E351-D351)</f>
        <v>0</v>
      </c>
      <c r="G351" s="5" t="str">
        <f>IF(E351="","Open",IF(F351&gt;0,"Delayed","Done"))</f>
        <v>Done</v>
      </c>
      <c r="H351" s="5" t="s">
        <v>326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x14ac:dyDescent="0.2">
      <c r="A352" s="5" t="s">
        <v>774</v>
      </c>
      <c r="B352" s="5" t="s">
        <v>215</v>
      </c>
      <c r="C352" s="5" t="s">
        <v>274</v>
      </c>
      <c r="D352" s="7">
        <v>46203</v>
      </c>
      <c r="E352" s="7"/>
      <c r="F352" s="10" t="str">
        <f>IF(E352="","",E352-D352)</f>
        <v/>
      </c>
      <c r="G352" s="5" t="str">
        <f>IF(E352="","Open",IF(F352&gt;0,"Delayed","Done"))</f>
        <v>Open</v>
      </c>
      <c r="H352" s="5" t="s">
        <v>321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2">
      <c r="A353" s="5" t="s">
        <v>775</v>
      </c>
      <c r="B353" s="5" t="s">
        <v>215</v>
      </c>
      <c r="C353" s="5" t="s">
        <v>439</v>
      </c>
      <c r="D353" s="7">
        <v>46205</v>
      </c>
      <c r="E353" s="7"/>
      <c r="F353" s="10" t="str">
        <f>IF(E353="","",E353-D353)</f>
        <v/>
      </c>
      <c r="G353" s="5" t="str">
        <f>IF(E353="","Open",IF(F353&gt;0,"Delayed","Done"))</f>
        <v>Open</v>
      </c>
      <c r="H353" s="5" t="s">
        <v>326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x14ac:dyDescent="0.2">
      <c r="A354" s="5" t="s">
        <v>776</v>
      </c>
      <c r="B354" s="5" t="s">
        <v>216</v>
      </c>
      <c r="C354" s="5" t="s">
        <v>410</v>
      </c>
      <c r="D354" s="7">
        <v>46208</v>
      </c>
      <c r="E354" s="7">
        <v>46209</v>
      </c>
      <c r="F354" s="10">
        <f>IF(E354="","",E354-D354)</f>
        <v>1</v>
      </c>
      <c r="G354" s="5" t="str">
        <f>IF(E354="","Open",IF(F354&gt;0,"Delayed","Done"))</f>
        <v>Delayed</v>
      </c>
      <c r="H354" s="5" t="s">
        <v>321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x14ac:dyDescent="0.2">
      <c r="A355" s="5" t="s">
        <v>777</v>
      </c>
      <c r="B355" s="5" t="s">
        <v>216</v>
      </c>
      <c r="C355" s="5" t="s">
        <v>412</v>
      </c>
      <c r="D355" s="7">
        <v>46211</v>
      </c>
      <c r="E355" s="7"/>
      <c r="F355" s="10" t="str">
        <f>IF(E355="","",E355-D355)</f>
        <v/>
      </c>
      <c r="G355" s="5" t="str">
        <f>IF(E355="","Open",IF(F355&gt;0,"Delayed","Done"))</f>
        <v>Open</v>
      </c>
      <c r="H355" s="5" t="s">
        <v>321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2">
      <c r="A356" s="5" t="s">
        <v>778</v>
      </c>
      <c r="B356" s="5" t="s">
        <v>216</v>
      </c>
      <c r="C356" s="5" t="s">
        <v>414</v>
      </c>
      <c r="D356" s="7">
        <v>46213</v>
      </c>
      <c r="E356" s="7">
        <v>46213</v>
      </c>
      <c r="F356" s="10">
        <f>IF(E356="","",E356-D356)</f>
        <v>0</v>
      </c>
      <c r="G356" s="5" t="str">
        <f>IF(E356="","Open",IF(F356&gt;0,"Delayed","Done"))</f>
        <v>Done</v>
      </c>
      <c r="H356" s="5" t="s">
        <v>321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x14ac:dyDescent="0.2">
      <c r="A357" s="5" t="s">
        <v>779</v>
      </c>
      <c r="B357" s="5" t="s">
        <v>216</v>
      </c>
      <c r="C357" s="5" t="s">
        <v>416</v>
      </c>
      <c r="D357" s="7">
        <v>46215</v>
      </c>
      <c r="E357" s="7">
        <v>46217</v>
      </c>
      <c r="F357" s="10">
        <f>IF(E357="","",E357-D357)</f>
        <v>2</v>
      </c>
      <c r="G357" s="5" t="str">
        <f>IF(E357="","Open",IF(F357&gt;0,"Delayed","Done"))</f>
        <v>Delayed</v>
      </c>
      <c r="H357" s="5" t="s">
        <v>321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x14ac:dyDescent="0.2">
      <c r="A358" s="5" t="s">
        <v>780</v>
      </c>
      <c r="B358" s="5" t="s">
        <v>216</v>
      </c>
      <c r="C358" s="5" t="s">
        <v>418</v>
      </c>
      <c r="D358" s="7">
        <v>46219</v>
      </c>
      <c r="E358" s="7"/>
      <c r="F358" s="10" t="str">
        <f>IF(E358="","",E358-D358)</f>
        <v/>
      </c>
      <c r="G358" s="5" t="str">
        <f>IF(E358="","Open",IF(F358&gt;0,"Delayed","Done"))</f>
        <v>Open</v>
      </c>
      <c r="H358" s="5" t="s">
        <v>321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x14ac:dyDescent="0.2">
      <c r="A359" s="5" t="s">
        <v>781</v>
      </c>
      <c r="B359" s="5" t="s">
        <v>216</v>
      </c>
      <c r="C359" s="5" t="s">
        <v>420</v>
      </c>
      <c r="D359" s="7">
        <v>46225</v>
      </c>
      <c r="E359" s="7">
        <v>46230</v>
      </c>
      <c r="F359" s="10">
        <f>IF(E359="","",E359-D359)</f>
        <v>5</v>
      </c>
      <c r="G359" s="5" t="str">
        <f>IF(E359="","Open",IF(F359&gt;0,"Delayed","Done"))</f>
        <v>Delayed</v>
      </c>
      <c r="H359" s="5" t="s">
        <v>321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x14ac:dyDescent="0.2">
      <c r="A360" s="5" t="s">
        <v>782</v>
      </c>
      <c r="B360" s="5" t="s">
        <v>216</v>
      </c>
      <c r="C360" s="5" t="s">
        <v>422</v>
      </c>
      <c r="D360" s="7">
        <v>46229</v>
      </c>
      <c r="E360" s="7"/>
      <c r="F360" s="10" t="str">
        <f>IF(E360="","",E360-D360)</f>
        <v/>
      </c>
      <c r="G360" s="5" t="str">
        <f>IF(E360="","Open",IF(F360&gt;0,"Delayed","Done"))</f>
        <v>Open</v>
      </c>
      <c r="H360" s="5" t="s">
        <v>321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x14ac:dyDescent="0.2">
      <c r="A361" s="5" t="s">
        <v>783</v>
      </c>
      <c r="B361" s="5" t="s">
        <v>216</v>
      </c>
      <c r="C361" s="5" t="s">
        <v>424</v>
      </c>
      <c r="D361" s="7">
        <v>46235</v>
      </c>
      <c r="E361" s="7"/>
      <c r="F361" s="10" t="str">
        <f>IF(E361="","",E361-D361)</f>
        <v/>
      </c>
      <c r="G361" s="5" t="str">
        <f>IF(E361="","Open",IF(F361&gt;0,"Delayed","Done"))</f>
        <v>Open</v>
      </c>
      <c r="H361" s="5" t="s">
        <v>326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2">
      <c r="A362" s="5" t="s">
        <v>784</v>
      </c>
      <c r="B362" s="5" t="s">
        <v>216</v>
      </c>
      <c r="C362" s="5" t="s">
        <v>426</v>
      </c>
      <c r="D362" s="7">
        <v>46237</v>
      </c>
      <c r="E362" s="7">
        <v>46237</v>
      </c>
      <c r="F362" s="10">
        <f>IF(E362="","",E362-D362)</f>
        <v>0</v>
      </c>
      <c r="G362" s="5" t="str">
        <f>IF(E362="","Open",IF(F362&gt;0,"Delayed","Done"))</f>
        <v>Done</v>
      </c>
      <c r="H362" s="5" t="s">
        <v>326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x14ac:dyDescent="0.2">
      <c r="A363" s="5" t="s">
        <v>785</v>
      </c>
      <c r="B363" s="5" t="s">
        <v>216</v>
      </c>
      <c r="C363" s="5" t="s">
        <v>428</v>
      </c>
      <c r="D363" s="7">
        <v>46239</v>
      </c>
      <c r="E363" s="7">
        <v>46238</v>
      </c>
      <c r="F363" s="10">
        <f>IF(E363="","",E363-D363)</f>
        <v>-1</v>
      </c>
      <c r="G363" s="5" t="str">
        <f>IF(E363="","Open",IF(F363&gt;0,"Delayed","Done"))</f>
        <v>Done</v>
      </c>
      <c r="H363" s="5" t="s">
        <v>326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x14ac:dyDescent="0.2">
      <c r="A364" s="5" t="s">
        <v>786</v>
      </c>
      <c r="B364" s="5" t="s">
        <v>216</v>
      </c>
      <c r="C364" s="5" t="s">
        <v>430</v>
      </c>
      <c r="D364" s="7">
        <v>46242</v>
      </c>
      <c r="E364" s="7">
        <v>46240</v>
      </c>
      <c r="F364" s="10">
        <f>IF(E364="","",E364-D364)</f>
        <v>-2</v>
      </c>
      <c r="G364" s="5" t="str">
        <f>IF(E364="","Open",IF(F364&gt;0,"Delayed","Done"))</f>
        <v>Done</v>
      </c>
      <c r="H364" s="5" t="s">
        <v>326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2">
      <c r="A365" s="5" t="s">
        <v>787</v>
      </c>
      <c r="B365" s="5" t="s">
        <v>216</v>
      </c>
      <c r="C365" s="5" t="s">
        <v>432</v>
      </c>
      <c r="D365" s="7">
        <v>46246</v>
      </c>
      <c r="E365" s="7">
        <v>46251</v>
      </c>
      <c r="F365" s="10">
        <f>IF(E365="","",E365-D365)</f>
        <v>5</v>
      </c>
      <c r="G365" s="5" t="str">
        <f>IF(E365="","Open",IF(F365&gt;0,"Delayed","Done"))</f>
        <v>Delayed</v>
      </c>
      <c r="H365" s="5" t="s">
        <v>321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x14ac:dyDescent="0.2">
      <c r="A366" s="5" t="s">
        <v>788</v>
      </c>
      <c r="B366" s="5" t="s">
        <v>216</v>
      </c>
      <c r="C366" s="5" t="s">
        <v>434</v>
      </c>
      <c r="D366" s="7">
        <v>46248</v>
      </c>
      <c r="E366" s="7"/>
      <c r="F366" s="10" t="str">
        <f>IF(E366="","",E366-D366)</f>
        <v/>
      </c>
      <c r="G366" s="5" t="str">
        <f>IF(E366="","Open",IF(F366&gt;0,"Delayed","Done"))</f>
        <v>Open</v>
      </c>
      <c r="H366" s="5" t="s">
        <v>321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x14ac:dyDescent="0.2">
      <c r="A367" s="5" t="s">
        <v>789</v>
      </c>
      <c r="B367" s="5" t="s">
        <v>216</v>
      </c>
      <c r="C367" s="5" t="s">
        <v>436</v>
      </c>
      <c r="D367" s="7">
        <v>46250</v>
      </c>
      <c r="E367" s="7"/>
      <c r="F367" s="10" t="str">
        <f>IF(E367="","",E367-D367)</f>
        <v/>
      </c>
      <c r="G367" s="5" t="str">
        <f>IF(E367="","Open",IF(F367&gt;0,"Delayed","Done"))</f>
        <v>Open</v>
      </c>
      <c r="H367" s="5" t="s">
        <v>326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x14ac:dyDescent="0.2">
      <c r="A368" s="5" t="s">
        <v>790</v>
      </c>
      <c r="B368" s="5" t="s">
        <v>216</v>
      </c>
      <c r="C368" s="5" t="s">
        <v>274</v>
      </c>
      <c r="D368" s="7">
        <v>46251</v>
      </c>
      <c r="E368" s="7">
        <v>46250</v>
      </c>
      <c r="F368" s="10">
        <f>IF(E368="","",E368-D368)</f>
        <v>-1</v>
      </c>
      <c r="G368" s="5" t="str">
        <f>IF(E368="","Open",IF(F368&gt;0,"Delayed","Done"))</f>
        <v>Done</v>
      </c>
      <c r="H368" s="5" t="s">
        <v>321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x14ac:dyDescent="0.2">
      <c r="A369" s="5" t="s">
        <v>791</v>
      </c>
      <c r="B369" s="5" t="s">
        <v>216</v>
      </c>
      <c r="C369" s="5" t="s">
        <v>439</v>
      </c>
      <c r="D369" s="7">
        <v>46253</v>
      </c>
      <c r="E369" s="7"/>
      <c r="F369" s="10" t="str">
        <f>IF(E369="","",E369-D369)</f>
        <v/>
      </c>
      <c r="G369" s="5" t="str">
        <f>IF(E369="","Open",IF(F369&gt;0,"Delayed","Done"))</f>
        <v>Open</v>
      </c>
      <c r="H369" s="5" t="s">
        <v>326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x14ac:dyDescent="0.2">
      <c r="A370" s="5" t="s">
        <v>792</v>
      </c>
      <c r="B370" s="5" t="s">
        <v>217</v>
      </c>
      <c r="C370" s="5" t="s">
        <v>410</v>
      </c>
      <c r="D370" s="7">
        <v>46272</v>
      </c>
      <c r="E370" s="7">
        <v>46272</v>
      </c>
      <c r="F370" s="10">
        <f>IF(E370="","",E370-D370)</f>
        <v>0</v>
      </c>
      <c r="G370" s="5" t="str">
        <f>IF(E370="","Open",IF(F370&gt;0,"Delayed","Done"))</f>
        <v>Done</v>
      </c>
      <c r="H370" s="5" t="s">
        <v>321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x14ac:dyDescent="0.2">
      <c r="A371" s="5" t="s">
        <v>793</v>
      </c>
      <c r="B371" s="5" t="s">
        <v>217</v>
      </c>
      <c r="C371" s="5" t="s">
        <v>412</v>
      </c>
      <c r="D371" s="7">
        <v>46275</v>
      </c>
      <c r="E371" s="7"/>
      <c r="F371" s="10" t="str">
        <f>IF(E371="","",E371-D371)</f>
        <v/>
      </c>
      <c r="G371" s="5" t="str">
        <f>IF(E371="","Open",IF(F371&gt;0,"Delayed","Done"))</f>
        <v>Open</v>
      </c>
      <c r="H371" s="5" t="s">
        <v>321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x14ac:dyDescent="0.2">
      <c r="A372" s="5" t="s">
        <v>794</v>
      </c>
      <c r="B372" s="5" t="s">
        <v>217</v>
      </c>
      <c r="C372" s="5" t="s">
        <v>414</v>
      </c>
      <c r="D372" s="7">
        <v>46277</v>
      </c>
      <c r="E372" s="7"/>
      <c r="F372" s="10" t="str">
        <f>IF(E372="","",E372-D372)</f>
        <v/>
      </c>
      <c r="G372" s="5" t="str">
        <f>IF(E372="","Open",IF(F372&gt;0,"Delayed","Done"))</f>
        <v>Open</v>
      </c>
      <c r="H372" s="5" t="s">
        <v>321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x14ac:dyDescent="0.2">
      <c r="A373" s="5" t="s">
        <v>795</v>
      </c>
      <c r="B373" s="5" t="s">
        <v>217</v>
      </c>
      <c r="C373" s="5" t="s">
        <v>416</v>
      </c>
      <c r="D373" s="7">
        <v>46279</v>
      </c>
      <c r="E373" s="7">
        <v>46281</v>
      </c>
      <c r="F373" s="10">
        <f>IF(E373="","",E373-D373)</f>
        <v>2</v>
      </c>
      <c r="G373" s="5" t="str">
        <f>IF(E373="","Open",IF(F373&gt;0,"Delayed","Done"))</f>
        <v>Delayed</v>
      </c>
      <c r="H373" s="5" t="s">
        <v>321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2">
      <c r="A374" s="5" t="s">
        <v>796</v>
      </c>
      <c r="B374" s="5" t="s">
        <v>217</v>
      </c>
      <c r="C374" s="5" t="s">
        <v>418</v>
      </c>
      <c r="D374" s="7">
        <v>46283</v>
      </c>
      <c r="E374" s="7">
        <v>46285</v>
      </c>
      <c r="F374" s="10">
        <f>IF(E374="","",E374-D374)</f>
        <v>2</v>
      </c>
      <c r="G374" s="5" t="str">
        <f>IF(E374="","Open",IF(F374&gt;0,"Delayed","Done"))</f>
        <v>Delayed</v>
      </c>
      <c r="H374" s="5" t="s">
        <v>321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x14ac:dyDescent="0.2">
      <c r="A375" s="5" t="s">
        <v>797</v>
      </c>
      <c r="B375" s="5" t="s">
        <v>217</v>
      </c>
      <c r="C375" s="5" t="s">
        <v>420</v>
      </c>
      <c r="D375" s="7">
        <v>46289</v>
      </c>
      <c r="E375" s="7">
        <v>46289</v>
      </c>
      <c r="F375" s="10">
        <f>IF(E375="","",E375-D375)</f>
        <v>0</v>
      </c>
      <c r="G375" s="5" t="str">
        <f>IF(E375="","Open",IF(F375&gt;0,"Delayed","Done"))</f>
        <v>Done</v>
      </c>
      <c r="H375" s="5" t="s">
        <v>321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x14ac:dyDescent="0.2">
      <c r="A376" s="5" t="s">
        <v>798</v>
      </c>
      <c r="B376" s="5" t="s">
        <v>217</v>
      </c>
      <c r="C376" s="5" t="s">
        <v>422</v>
      </c>
      <c r="D376" s="7">
        <v>46293</v>
      </c>
      <c r="E376" s="7"/>
      <c r="F376" s="10" t="str">
        <f>IF(E376="","",E376-D376)</f>
        <v/>
      </c>
      <c r="G376" s="5" t="str">
        <f>IF(E376="","Open",IF(F376&gt;0,"Delayed","Done"))</f>
        <v>Open</v>
      </c>
      <c r="H376" s="5" t="s">
        <v>321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2">
      <c r="A377" s="5" t="s">
        <v>799</v>
      </c>
      <c r="B377" s="5" t="s">
        <v>217</v>
      </c>
      <c r="C377" s="5" t="s">
        <v>424</v>
      </c>
      <c r="D377" s="7">
        <v>46299</v>
      </c>
      <c r="E377" s="7">
        <v>46298</v>
      </c>
      <c r="F377" s="10">
        <f>IF(E377="","",E377-D377)</f>
        <v>-1</v>
      </c>
      <c r="G377" s="5" t="str">
        <f>IF(E377="","Open",IF(F377&gt;0,"Delayed","Done"))</f>
        <v>Done</v>
      </c>
      <c r="H377" s="5" t="s">
        <v>326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x14ac:dyDescent="0.2">
      <c r="A378" s="5" t="s">
        <v>800</v>
      </c>
      <c r="B378" s="5" t="s">
        <v>217</v>
      </c>
      <c r="C378" s="5" t="s">
        <v>426</v>
      </c>
      <c r="D378" s="7">
        <v>46301</v>
      </c>
      <c r="E378" s="7">
        <v>46306</v>
      </c>
      <c r="F378" s="10">
        <f>IF(E378="","",E378-D378)</f>
        <v>5</v>
      </c>
      <c r="G378" s="5" t="str">
        <f>IF(E378="","Open",IF(F378&gt;0,"Delayed","Done"))</f>
        <v>Delayed</v>
      </c>
      <c r="H378" s="5" t="s">
        <v>326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x14ac:dyDescent="0.2">
      <c r="A379" s="5" t="s">
        <v>801</v>
      </c>
      <c r="B379" s="5" t="s">
        <v>217</v>
      </c>
      <c r="C379" s="5" t="s">
        <v>428</v>
      </c>
      <c r="D379" s="7">
        <v>46303</v>
      </c>
      <c r="E379" s="7">
        <v>46304</v>
      </c>
      <c r="F379" s="10">
        <f>IF(E379="","",E379-D379)</f>
        <v>1</v>
      </c>
      <c r="G379" s="5" t="str">
        <f>IF(E379="","Open",IF(F379&gt;0,"Delayed","Done"))</f>
        <v>Delayed</v>
      </c>
      <c r="H379" s="5" t="s">
        <v>326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x14ac:dyDescent="0.2">
      <c r="A380" s="5" t="s">
        <v>802</v>
      </c>
      <c r="B380" s="5" t="s">
        <v>217</v>
      </c>
      <c r="C380" s="5" t="s">
        <v>430</v>
      </c>
      <c r="D380" s="7">
        <v>46306</v>
      </c>
      <c r="E380" s="7"/>
      <c r="F380" s="10" t="str">
        <f>IF(E380="","",E380-D380)</f>
        <v/>
      </c>
      <c r="G380" s="5" t="str">
        <f>IF(E380="","Open",IF(F380&gt;0,"Delayed","Done"))</f>
        <v>Open</v>
      </c>
      <c r="H380" s="5" t="s">
        <v>326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x14ac:dyDescent="0.2">
      <c r="A381" s="5" t="s">
        <v>803</v>
      </c>
      <c r="B381" s="5" t="s">
        <v>217</v>
      </c>
      <c r="C381" s="5" t="s">
        <v>432</v>
      </c>
      <c r="D381" s="7">
        <v>46310</v>
      </c>
      <c r="E381" s="7">
        <v>46308</v>
      </c>
      <c r="F381" s="10">
        <f>IF(E381="","",E381-D381)</f>
        <v>-2</v>
      </c>
      <c r="G381" s="5" t="str">
        <f>IF(E381="","Open",IF(F381&gt;0,"Delayed","Done"))</f>
        <v>Done</v>
      </c>
      <c r="H381" s="5" t="s">
        <v>321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x14ac:dyDescent="0.2">
      <c r="A382" s="5" t="s">
        <v>804</v>
      </c>
      <c r="B382" s="5" t="s">
        <v>217</v>
      </c>
      <c r="C382" s="5" t="s">
        <v>434</v>
      </c>
      <c r="D382" s="7">
        <v>46312</v>
      </c>
      <c r="E382" s="7"/>
      <c r="F382" s="10" t="str">
        <f>IF(E382="","",E382-D382)</f>
        <v/>
      </c>
      <c r="G382" s="5" t="str">
        <f>IF(E382="","Open",IF(F382&gt;0,"Delayed","Done"))</f>
        <v>Open</v>
      </c>
      <c r="H382" s="5" t="s">
        <v>321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x14ac:dyDescent="0.2">
      <c r="A383" s="5" t="s">
        <v>805</v>
      </c>
      <c r="B383" s="5" t="s">
        <v>217</v>
      </c>
      <c r="C383" s="5" t="s">
        <v>436</v>
      </c>
      <c r="D383" s="7">
        <v>46314</v>
      </c>
      <c r="E383" s="7">
        <v>46319</v>
      </c>
      <c r="F383" s="10">
        <f>IF(E383="","",E383-D383)</f>
        <v>5</v>
      </c>
      <c r="G383" s="5" t="str">
        <f>IF(E383="","Open",IF(F383&gt;0,"Delayed","Done"))</f>
        <v>Delayed</v>
      </c>
      <c r="H383" s="5" t="s">
        <v>326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x14ac:dyDescent="0.2">
      <c r="A384" s="5" t="s">
        <v>806</v>
      </c>
      <c r="B384" s="5" t="s">
        <v>217</v>
      </c>
      <c r="C384" s="5" t="s">
        <v>274</v>
      </c>
      <c r="D384" s="7">
        <v>46315</v>
      </c>
      <c r="E384" s="7"/>
      <c r="F384" s="10" t="str">
        <f>IF(E384="","",E384-D384)</f>
        <v/>
      </c>
      <c r="G384" s="5" t="str">
        <f>IF(E384="","Open",IF(F384&gt;0,"Delayed","Done"))</f>
        <v>Open</v>
      </c>
      <c r="H384" s="5" t="s">
        <v>321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x14ac:dyDescent="0.2">
      <c r="A385" s="5" t="s">
        <v>807</v>
      </c>
      <c r="B385" s="5" t="s">
        <v>217</v>
      </c>
      <c r="C385" s="5" t="s">
        <v>439</v>
      </c>
      <c r="D385" s="7">
        <v>46317</v>
      </c>
      <c r="E385" s="7">
        <v>46317</v>
      </c>
      <c r="F385" s="10">
        <f>IF(E385="","",E385-D385)</f>
        <v>0</v>
      </c>
      <c r="G385" s="5" t="str">
        <f>IF(E385="","Open",IF(F385&gt;0,"Delayed","Done"))</f>
        <v>Done</v>
      </c>
      <c r="H385" s="5" t="s">
        <v>326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x14ac:dyDescent="0.2">
      <c r="A386" s="5" t="s">
        <v>808</v>
      </c>
      <c r="B386" s="5" t="s">
        <v>219</v>
      </c>
      <c r="C386" s="5" t="s">
        <v>410</v>
      </c>
      <c r="D386" s="7">
        <v>46230</v>
      </c>
      <c r="E386" s="7">
        <v>46229</v>
      </c>
      <c r="F386" s="10">
        <f>IF(E386="","",E386-D386)</f>
        <v>-1</v>
      </c>
      <c r="G386" s="5" t="str">
        <f>IF(E386="","Open",IF(F386&gt;0,"Delayed","Done"))</f>
        <v>Done</v>
      </c>
      <c r="H386" s="5" t="s">
        <v>321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x14ac:dyDescent="0.2">
      <c r="A387" s="5" t="s">
        <v>809</v>
      </c>
      <c r="B387" s="5" t="s">
        <v>219</v>
      </c>
      <c r="C387" s="5" t="s">
        <v>412</v>
      </c>
      <c r="D387" s="7">
        <v>46233</v>
      </c>
      <c r="E387" s="7"/>
      <c r="F387" s="10" t="str">
        <f>IF(E387="","",E387-D387)</f>
        <v/>
      </c>
      <c r="G387" s="5" t="str">
        <f>IF(E387="","Open",IF(F387&gt;0,"Delayed","Done"))</f>
        <v>Open</v>
      </c>
      <c r="H387" s="5" t="s">
        <v>321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x14ac:dyDescent="0.2">
      <c r="A388" s="5" t="s">
        <v>810</v>
      </c>
      <c r="B388" s="5" t="s">
        <v>219</v>
      </c>
      <c r="C388" s="5" t="s">
        <v>414</v>
      </c>
      <c r="D388" s="7">
        <v>46235</v>
      </c>
      <c r="E388" s="7">
        <v>46234</v>
      </c>
      <c r="F388" s="10">
        <f>IF(E388="","",E388-D388)</f>
        <v>-1</v>
      </c>
      <c r="G388" s="5" t="str">
        <f>IF(E388="","Open",IF(F388&gt;0,"Delayed","Done"))</f>
        <v>Done</v>
      </c>
      <c r="H388" s="5" t="s">
        <v>321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x14ac:dyDescent="0.2">
      <c r="A389" s="5" t="s">
        <v>811</v>
      </c>
      <c r="B389" s="5" t="s">
        <v>219</v>
      </c>
      <c r="C389" s="5" t="s">
        <v>416</v>
      </c>
      <c r="D389" s="7">
        <v>46237</v>
      </c>
      <c r="E389" s="7"/>
      <c r="F389" s="10" t="str">
        <f>IF(E389="","",E389-D389)</f>
        <v/>
      </c>
      <c r="G389" s="5" t="str">
        <f>IF(E389="","Open",IF(F389&gt;0,"Delayed","Done"))</f>
        <v>Open</v>
      </c>
      <c r="H389" s="5" t="s">
        <v>321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x14ac:dyDescent="0.2">
      <c r="A390" s="5" t="s">
        <v>812</v>
      </c>
      <c r="B390" s="5" t="s">
        <v>219</v>
      </c>
      <c r="C390" s="5" t="s">
        <v>418</v>
      </c>
      <c r="D390" s="7">
        <v>46241</v>
      </c>
      <c r="E390" s="7"/>
      <c r="F390" s="10" t="str">
        <f>IF(E390="","",E390-D390)</f>
        <v/>
      </c>
      <c r="G390" s="5" t="str">
        <f>IF(E390="","Open",IF(F390&gt;0,"Delayed","Done"))</f>
        <v>Open</v>
      </c>
      <c r="H390" s="5" t="s">
        <v>321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x14ac:dyDescent="0.2">
      <c r="A391" s="5" t="s">
        <v>813</v>
      </c>
      <c r="B391" s="5" t="s">
        <v>219</v>
      </c>
      <c r="C391" s="5" t="s">
        <v>420</v>
      </c>
      <c r="D391" s="7">
        <v>46247</v>
      </c>
      <c r="E391" s="7"/>
      <c r="F391" s="10" t="str">
        <f>IF(E391="","",E391-D391)</f>
        <v/>
      </c>
      <c r="G391" s="5" t="str">
        <f>IF(E391="","Open",IF(F391&gt;0,"Delayed","Done"))</f>
        <v>Open</v>
      </c>
      <c r="H391" s="5" t="s">
        <v>321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x14ac:dyDescent="0.2">
      <c r="A392" s="5" t="s">
        <v>814</v>
      </c>
      <c r="B392" s="5" t="s">
        <v>219</v>
      </c>
      <c r="C392" s="5" t="s">
        <v>422</v>
      </c>
      <c r="D392" s="7">
        <v>46251</v>
      </c>
      <c r="E392" s="7"/>
      <c r="F392" s="10" t="str">
        <f>IF(E392="","",E392-D392)</f>
        <v/>
      </c>
      <c r="G392" s="5" t="str">
        <f>IF(E392="","Open",IF(F392&gt;0,"Delayed","Done"))</f>
        <v>Open</v>
      </c>
      <c r="H392" s="5" t="s">
        <v>321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x14ac:dyDescent="0.2">
      <c r="A393" s="5" t="s">
        <v>815</v>
      </c>
      <c r="B393" s="5" t="s">
        <v>219</v>
      </c>
      <c r="C393" s="5" t="s">
        <v>424</v>
      </c>
      <c r="D393" s="7">
        <v>46257</v>
      </c>
      <c r="E393" s="7">
        <v>46260</v>
      </c>
      <c r="F393" s="10">
        <f>IF(E393="","",E393-D393)</f>
        <v>3</v>
      </c>
      <c r="G393" s="5" t="str">
        <f>IF(E393="","Open",IF(F393&gt;0,"Delayed","Done"))</f>
        <v>Delayed</v>
      </c>
      <c r="H393" s="5" t="s">
        <v>326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x14ac:dyDescent="0.2">
      <c r="A394" s="5" t="s">
        <v>816</v>
      </c>
      <c r="B394" s="5" t="s">
        <v>219</v>
      </c>
      <c r="C394" s="5" t="s">
        <v>426</v>
      </c>
      <c r="D394" s="7">
        <v>46259</v>
      </c>
      <c r="E394" s="7">
        <v>46262</v>
      </c>
      <c r="F394" s="10">
        <f>IF(E394="","",E394-D394)</f>
        <v>3</v>
      </c>
      <c r="G394" s="5" t="str">
        <f>IF(E394="","Open",IF(F394&gt;0,"Delayed","Done"))</f>
        <v>Delayed</v>
      </c>
      <c r="H394" s="5" t="s">
        <v>326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x14ac:dyDescent="0.2">
      <c r="A395" s="5" t="s">
        <v>817</v>
      </c>
      <c r="B395" s="5" t="s">
        <v>219</v>
      </c>
      <c r="C395" s="5" t="s">
        <v>428</v>
      </c>
      <c r="D395" s="7">
        <v>46261</v>
      </c>
      <c r="E395" s="7">
        <v>46261</v>
      </c>
      <c r="F395" s="10">
        <f>IF(E395="","",E395-D395)</f>
        <v>0</v>
      </c>
      <c r="G395" s="5" t="str">
        <f>IF(E395="","Open",IF(F395&gt;0,"Delayed","Done"))</f>
        <v>Done</v>
      </c>
      <c r="H395" s="5" t="s">
        <v>326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x14ac:dyDescent="0.2">
      <c r="A396" s="5" t="s">
        <v>818</v>
      </c>
      <c r="B396" s="5" t="s">
        <v>219</v>
      </c>
      <c r="C396" s="5" t="s">
        <v>430</v>
      </c>
      <c r="D396" s="7">
        <v>46264</v>
      </c>
      <c r="E396" s="7">
        <v>46266</v>
      </c>
      <c r="F396" s="10">
        <f>IF(E396="","",E396-D396)</f>
        <v>2</v>
      </c>
      <c r="G396" s="5" t="str">
        <f>IF(E396="","Open",IF(F396&gt;0,"Delayed","Done"))</f>
        <v>Delayed</v>
      </c>
      <c r="H396" s="5" t="s">
        <v>326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x14ac:dyDescent="0.2">
      <c r="A397" s="5" t="s">
        <v>819</v>
      </c>
      <c r="B397" s="5" t="s">
        <v>219</v>
      </c>
      <c r="C397" s="5" t="s">
        <v>432</v>
      </c>
      <c r="D397" s="7">
        <v>46268</v>
      </c>
      <c r="E397" s="7">
        <v>46269</v>
      </c>
      <c r="F397" s="10">
        <f>IF(E397="","",E397-D397)</f>
        <v>1</v>
      </c>
      <c r="G397" s="5" t="str">
        <f>IF(E397="","Open",IF(F397&gt;0,"Delayed","Done"))</f>
        <v>Delayed</v>
      </c>
      <c r="H397" s="5" t="s">
        <v>321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x14ac:dyDescent="0.2">
      <c r="A398" s="5" t="s">
        <v>820</v>
      </c>
      <c r="B398" s="5" t="s">
        <v>219</v>
      </c>
      <c r="C398" s="5" t="s">
        <v>434</v>
      </c>
      <c r="D398" s="7">
        <v>46270</v>
      </c>
      <c r="E398" s="7"/>
      <c r="F398" s="10" t="str">
        <f>IF(E398="","",E398-D398)</f>
        <v/>
      </c>
      <c r="G398" s="5" t="str">
        <f>IF(E398="","Open",IF(F398&gt;0,"Delayed","Done"))</f>
        <v>Open</v>
      </c>
      <c r="H398" s="5" t="s">
        <v>321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x14ac:dyDescent="0.2">
      <c r="A399" s="5" t="s">
        <v>821</v>
      </c>
      <c r="B399" s="5" t="s">
        <v>219</v>
      </c>
      <c r="C399" s="5" t="s">
        <v>436</v>
      </c>
      <c r="D399" s="7">
        <v>46272</v>
      </c>
      <c r="E399" s="7">
        <v>46275</v>
      </c>
      <c r="F399" s="10">
        <f>IF(E399="","",E399-D399)</f>
        <v>3</v>
      </c>
      <c r="G399" s="5" t="str">
        <f>IF(E399="","Open",IF(F399&gt;0,"Delayed","Done"))</f>
        <v>Delayed</v>
      </c>
      <c r="H399" s="5" t="s">
        <v>326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x14ac:dyDescent="0.2">
      <c r="A400" s="5" t="s">
        <v>822</v>
      </c>
      <c r="B400" s="5" t="s">
        <v>219</v>
      </c>
      <c r="C400" s="5" t="s">
        <v>274</v>
      </c>
      <c r="D400" s="7">
        <v>46273</v>
      </c>
      <c r="E400" s="7"/>
      <c r="F400" s="10" t="str">
        <f>IF(E400="","",E400-D400)</f>
        <v/>
      </c>
      <c r="G400" s="5" t="str">
        <f>IF(E400="","Open",IF(F400&gt;0,"Delayed","Done"))</f>
        <v>Open</v>
      </c>
      <c r="H400" s="5" t="s">
        <v>321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x14ac:dyDescent="0.2">
      <c r="A401" s="5" t="s">
        <v>823</v>
      </c>
      <c r="B401" s="5" t="s">
        <v>219</v>
      </c>
      <c r="C401" s="5" t="s">
        <v>439</v>
      </c>
      <c r="D401" s="7">
        <v>46275</v>
      </c>
      <c r="E401" s="7"/>
      <c r="F401" s="10" t="str">
        <f>IF(E401="","",E401-D401)</f>
        <v/>
      </c>
      <c r="G401" s="5" t="str">
        <f>IF(E401="","Open",IF(F401&gt;0,"Delayed","Done"))</f>
        <v>Open</v>
      </c>
      <c r="H401" s="5" t="s">
        <v>326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x14ac:dyDescent="0.2">
      <c r="A402" s="5" t="s">
        <v>824</v>
      </c>
      <c r="B402" s="5" t="s">
        <v>220</v>
      </c>
      <c r="C402" s="5" t="s">
        <v>410</v>
      </c>
      <c r="D402" s="7">
        <v>46164</v>
      </c>
      <c r="E402" s="7">
        <v>46164</v>
      </c>
      <c r="F402" s="10">
        <f>IF(E402="","",E402-D402)</f>
        <v>0</v>
      </c>
      <c r="G402" s="5" t="str">
        <f>IF(E402="","Open",IF(F402&gt;0,"Delayed","Done"))</f>
        <v>Done</v>
      </c>
      <c r="H402" s="5" t="s">
        <v>321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x14ac:dyDescent="0.2">
      <c r="A403" s="5" t="s">
        <v>825</v>
      </c>
      <c r="B403" s="5" t="s">
        <v>220</v>
      </c>
      <c r="C403" s="5" t="s">
        <v>412</v>
      </c>
      <c r="D403" s="7">
        <v>46167</v>
      </c>
      <c r="E403" s="7">
        <v>46170</v>
      </c>
      <c r="F403" s="10">
        <f>IF(E403="","",E403-D403)</f>
        <v>3</v>
      </c>
      <c r="G403" s="5" t="str">
        <f>IF(E403="","Open",IF(F403&gt;0,"Delayed","Done"))</f>
        <v>Delayed</v>
      </c>
      <c r="H403" s="5" t="s">
        <v>321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x14ac:dyDescent="0.2">
      <c r="A404" s="5" t="s">
        <v>826</v>
      </c>
      <c r="B404" s="5" t="s">
        <v>220</v>
      </c>
      <c r="C404" s="5" t="s">
        <v>414</v>
      </c>
      <c r="D404" s="7">
        <v>46169</v>
      </c>
      <c r="E404" s="7"/>
      <c r="F404" s="10" t="str">
        <f>IF(E404="","",E404-D404)</f>
        <v/>
      </c>
      <c r="G404" s="5" t="str">
        <f>IF(E404="","Open",IF(F404&gt;0,"Delayed","Done"))</f>
        <v>Open</v>
      </c>
      <c r="H404" s="5" t="s">
        <v>321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x14ac:dyDescent="0.2">
      <c r="A405" s="5" t="s">
        <v>827</v>
      </c>
      <c r="B405" s="5" t="s">
        <v>220</v>
      </c>
      <c r="C405" s="5" t="s">
        <v>416</v>
      </c>
      <c r="D405" s="7">
        <v>46171</v>
      </c>
      <c r="E405" s="7"/>
      <c r="F405" s="10" t="str">
        <f>IF(E405="","",E405-D405)</f>
        <v/>
      </c>
      <c r="G405" s="5" t="str">
        <f>IF(E405="","Open",IF(F405&gt;0,"Delayed","Done"))</f>
        <v>Open</v>
      </c>
      <c r="H405" s="5" t="s">
        <v>321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x14ac:dyDescent="0.2">
      <c r="A406" s="5" t="s">
        <v>828</v>
      </c>
      <c r="B406" s="5" t="s">
        <v>220</v>
      </c>
      <c r="C406" s="5" t="s">
        <v>418</v>
      </c>
      <c r="D406" s="7">
        <v>46175</v>
      </c>
      <c r="E406" s="7"/>
      <c r="F406" s="10" t="str">
        <f>IF(E406="","",E406-D406)</f>
        <v/>
      </c>
      <c r="G406" s="5" t="str">
        <f>IF(E406="","Open",IF(F406&gt;0,"Delayed","Done"))</f>
        <v>Open</v>
      </c>
      <c r="H406" s="5" t="s">
        <v>321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x14ac:dyDescent="0.2">
      <c r="A407" s="5" t="s">
        <v>829</v>
      </c>
      <c r="B407" s="5" t="s">
        <v>220</v>
      </c>
      <c r="C407" s="5" t="s">
        <v>420</v>
      </c>
      <c r="D407" s="7">
        <v>46181</v>
      </c>
      <c r="E407" s="7">
        <v>46181</v>
      </c>
      <c r="F407" s="10">
        <f>IF(E407="","",E407-D407)</f>
        <v>0</v>
      </c>
      <c r="G407" s="5" t="str">
        <f>IF(E407="","Open",IF(F407&gt;0,"Delayed","Done"))</f>
        <v>Done</v>
      </c>
      <c r="H407" s="5" t="s">
        <v>321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x14ac:dyDescent="0.2">
      <c r="A408" s="5" t="s">
        <v>830</v>
      </c>
      <c r="B408" s="5" t="s">
        <v>220</v>
      </c>
      <c r="C408" s="5" t="s">
        <v>422</v>
      </c>
      <c r="D408" s="7">
        <v>46185</v>
      </c>
      <c r="E408" s="7"/>
      <c r="F408" s="10" t="str">
        <f>IF(E408="","",E408-D408)</f>
        <v/>
      </c>
      <c r="G408" s="5" t="str">
        <f>IF(E408="","Open",IF(F408&gt;0,"Delayed","Done"))</f>
        <v>Open</v>
      </c>
      <c r="H408" s="5" t="s">
        <v>321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x14ac:dyDescent="0.2">
      <c r="A409" s="5" t="s">
        <v>831</v>
      </c>
      <c r="B409" s="5" t="s">
        <v>220</v>
      </c>
      <c r="C409" s="5" t="s">
        <v>424</v>
      </c>
      <c r="D409" s="7">
        <v>46191</v>
      </c>
      <c r="E409" s="7">
        <v>46192</v>
      </c>
      <c r="F409" s="10">
        <f>IF(E409="","",E409-D409)</f>
        <v>1</v>
      </c>
      <c r="G409" s="5" t="str">
        <f>IF(E409="","Open",IF(F409&gt;0,"Delayed","Done"))</f>
        <v>Delayed</v>
      </c>
      <c r="H409" s="5" t="s">
        <v>326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x14ac:dyDescent="0.2">
      <c r="A410" s="5" t="s">
        <v>832</v>
      </c>
      <c r="B410" s="5" t="s">
        <v>220</v>
      </c>
      <c r="C410" s="5" t="s">
        <v>426</v>
      </c>
      <c r="D410" s="7">
        <v>46193</v>
      </c>
      <c r="E410" s="7">
        <v>46195</v>
      </c>
      <c r="F410" s="10">
        <f>IF(E410="","",E410-D410)</f>
        <v>2</v>
      </c>
      <c r="G410" s="5" t="str">
        <f>IF(E410="","Open",IF(F410&gt;0,"Delayed","Done"))</f>
        <v>Delayed</v>
      </c>
      <c r="H410" s="5" t="s">
        <v>326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x14ac:dyDescent="0.2">
      <c r="A411" s="5" t="s">
        <v>833</v>
      </c>
      <c r="B411" s="5" t="s">
        <v>220</v>
      </c>
      <c r="C411" s="5" t="s">
        <v>428</v>
      </c>
      <c r="D411" s="7">
        <v>46195</v>
      </c>
      <c r="E411" s="7">
        <v>46194</v>
      </c>
      <c r="F411" s="10">
        <f>IF(E411="","",E411-D411)</f>
        <v>-1</v>
      </c>
      <c r="G411" s="5" t="str">
        <f>IF(E411="","Open",IF(F411&gt;0,"Delayed","Done"))</f>
        <v>Done</v>
      </c>
      <c r="H411" s="5" t="s">
        <v>326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x14ac:dyDescent="0.2">
      <c r="A412" s="5" t="s">
        <v>834</v>
      </c>
      <c r="B412" s="5" t="s">
        <v>220</v>
      </c>
      <c r="C412" s="5" t="s">
        <v>430</v>
      </c>
      <c r="D412" s="7">
        <v>46198</v>
      </c>
      <c r="E412" s="7">
        <v>46198</v>
      </c>
      <c r="F412" s="10">
        <f>IF(E412="","",E412-D412)</f>
        <v>0</v>
      </c>
      <c r="G412" s="5" t="str">
        <f>IF(E412="","Open",IF(F412&gt;0,"Delayed","Done"))</f>
        <v>Done</v>
      </c>
      <c r="H412" s="5" t="s">
        <v>326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x14ac:dyDescent="0.2">
      <c r="A413" s="5" t="s">
        <v>835</v>
      </c>
      <c r="B413" s="5" t="s">
        <v>220</v>
      </c>
      <c r="C413" s="5" t="s">
        <v>432</v>
      </c>
      <c r="D413" s="7">
        <v>46202</v>
      </c>
      <c r="E413" s="7"/>
      <c r="F413" s="10" t="str">
        <f>IF(E413="","",E413-D413)</f>
        <v/>
      </c>
      <c r="G413" s="5" t="str">
        <f>IF(E413="","Open",IF(F413&gt;0,"Delayed","Done"))</f>
        <v>Open</v>
      </c>
      <c r="H413" s="5" t="s">
        <v>321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x14ac:dyDescent="0.2">
      <c r="A414" s="5" t="s">
        <v>836</v>
      </c>
      <c r="B414" s="5" t="s">
        <v>220</v>
      </c>
      <c r="C414" s="5" t="s">
        <v>434</v>
      </c>
      <c r="D414" s="7">
        <v>46204</v>
      </c>
      <c r="E414" s="7">
        <v>46207</v>
      </c>
      <c r="F414" s="10">
        <f>IF(E414="","",E414-D414)</f>
        <v>3</v>
      </c>
      <c r="G414" s="5" t="str">
        <f>IF(E414="","Open",IF(F414&gt;0,"Delayed","Done"))</f>
        <v>Delayed</v>
      </c>
      <c r="H414" s="5" t="s">
        <v>321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x14ac:dyDescent="0.2">
      <c r="A415" s="5" t="s">
        <v>837</v>
      </c>
      <c r="B415" s="5" t="s">
        <v>220</v>
      </c>
      <c r="C415" s="5" t="s">
        <v>436</v>
      </c>
      <c r="D415" s="7">
        <v>46206</v>
      </c>
      <c r="E415" s="7"/>
      <c r="F415" s="10" t="str">
        <f>IF(E415="","",E415-D415)</f>
        <v/>
      </c>
      <c r="G415" s="5" t="str">
        <f>IF(E415="","Open",IF(F415&gt;0,"Delayed","Done"))</f>
        <v>Open</v>
      </c>
      <c r="H415" s="5" t="s">
        <v>326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x14ac:dyDescent="0.2">
      <c r="A416" s="5" t="s">
        <v>838</v>
      </c>
      <c r="B416" s="5" t="s">
        <v>220</v>
      </c>
      <c r="C416" s="5" t="s">
        <v>274</v>
      </c>
      <c r="D416" s="7">
        <v>46207</v>
      </c>
      <c r="E416" s="7"/>
      <c r="F416" s="10" t="str">
        <f>IF(E416="","",E416-D416)</f>
        <v/>
      </c>
      <c r="G416" s="5" t="str">
        <f>IF(E416="","Open",IF(F416&gt;0,"Delayed","Done"))</f>
        <v>Open</v>
      </c>
      <c r="H416" s="5" t="s">
        <v>321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x14ac:dyDescent="0.2">
      <c r="A417" s="5" t="s">
        <v>839</v>
      </c>
      <c r="B417" s="5" t="s">
        <v>220</v>
      </c>
      <c r="C417" s="5" t="s">
        <v>439</v>
      </c>
      <c r="D417" s="7">
        <v>46209</v>
      </c>
      <c r="E417" s="7"/>
      <c r="F417" s="10" t="str">
        <f>IF(E417="","",E417-D417)</f>
        <v/>
      </c>
      <c r="G417" s="5" t="str">
        <f>IF(E417="","Open",IF(F417&gt;0,"Delayed","Done"))</f>
        <v>Open</v>
      </c>
      <c r="H417" s="5" t="s">
        <v>326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x14ac:dyDescent="0.2">
      <c r="A418" s="5" t="s">
        <v>840</v>
      </c>
      <c r="B418" s="5" t="s">
        <v>221</v>
      </c>
      <c r="C418" s="5" t="s">
        <v>410</v>
      </c>
      <c r="D418" s="7">
        <v>46224</v>
      </c>
      <c r="E418" s="7">
        <v>46224</v>
      </c>
      <c r="F418" s="10">
        <f>IF(E418="","",E418-D418)</f>
        <v>0</v>
      </c>
      <c r="G418" s="5" t="str">
        <f>IF(E418="","Open",IF(F418&gt;0,"Delayed","Done"))</f>
        <v>Done</v>
      </c>
      <c r="H418" s="5" t="s">
        <v>321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x14ac:dyDescent="0.2">
      <c r="A419" s="5" t="s">
        <v>841</v>
      </c>
      <c r="B419" s="5" t="s">
        <v>221</v>
      </c>
      <c r="C419" s="5" t="s">
        <v>412</v>
      </c>
      <c r="D419" s="7">
        <v>46227</v>
      </c>
      <c r="E419" s="7">
        <v>46232</v>
      </c>
      <c r="F419" s="10">
        <f>IF(E419="","",E419-D419)</f>
        <v>5</v>
      </c>
      <c r="G419" s="5" t="str">
        <f>IF(E419="","Open",IF(F419&gt;0,"Delayed","Done"))</f>
        <v>Delayed</v>
      </c>
      <c r="H419" s="5" t="s">
        <v>321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x14ac:dyDescent="0.2">
      <c r="A420" s="5" t="s">
        <v>842</v>
      </c>
      <c r="B420" s="5" t="s">
        <v>221</v>
      </c>
      <c r="C420" s="5" t="s">
        <v>414</v>
      </c>
      <c r="D420" s="7">
        <v>46229</v>
      </c>
      <c r="E420" s="7">
        <v>46234</v>
      </c>
      <c r="F420" s="10">
        <f>IF(E420="","",E420-D420)</f>
        <v>5</v>
      </c>
      <c r="G420" s="5" t="str">
        <f>IF(E420="","Open",IF(F420&gt;0,"Delayed","Done"))</f>
        <v>Delayed</v>
      </c>
      <c r="H420" s="5" t="s">
        <v>321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x14ac:dyDescent="0.2">
      <c r="A421" s="5" t="s">
        <v>843</v>
      </c>
      <c r="B421" s="5" t="s">
        <v>221</v>
      </c>
      <c r="C421" s="5" t="s">
        <v>416</v>
      </c>
      <c r="D421" s="7">
        <v>46231</v>
      </c>
      <c r="E421" s="7"/>
      <c r="F421" s="10" t="str">
        <f>IF(E421="","",E421-D421)</f>
        <v/>
      </c>
      <c r="G421" s="5" t="str">
        <f>IF(E421="","Open",IF(F421&gt;0,"Delayed","Done"))</f>
        <v>Open</v>
      </c>
      <c r="H421" s="5" t="s">
        <v>321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x14ac:dyDescent="0.2">
      <c r="A422" s="5" t="s">
        <v>844</v>
      </c>
      <c r="B422" s="5" t="s">
        <v>221</v>
      </c>
      <c r="C422" s="5" t="s">
        <v>418</v>
      </c>
      <c r="D422" s="7">
        <v>46235</v>
      </c>
      <c r="E422" s="7">
        <v>46235</v>
      </c>
      <c r="F422" s="10">
        <f>IF(E422="","",E422-D422)</f>
        <v>0</v>
      </c>
      <c r="G422" s="5" t="str">
        <f>IF(E422="","Open",IF(F422&gt;0,"Delayed","Done"))</f>
        <v>Done</v>
      </c>
      <c r="H422" s="5" t="s">
        <v>321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x14ac:dyDescent="0.2">
      <c r="A423" s="5" t="s">
        <v>845</v>
      </c>
      <c r="B423" s="5" t="s">
        <v>221</v>
      </c>
      <c r="C423" s="5" t="s">
        <v>420</v>
      </c>
      <c r="D423" s="7">
        <v>46241</v>
      </c>
      <c r="E423" s="7"/>
      <c r="F423" s="10" t="str">
        <f>IF(E423="","",E423-D423)</f>
        <v/>
      </c>
      <c r="G423" s="5" t="str">
        <f>IF(E423="","Open",IF(F423&gt;0,"Delayed","Done"))</f>
        <v>Open</v>
      </c>
      <c r="H423" s="5" t="s">
        <v>321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x14ac:dyDescent="0.2">
      <c r="A424" s="5" t="s">
        <v>846</v>
      </c>
      <c r="B424" s="5" t="s">
        <v>221</v>
      </c>
      <c r="C424" s="5" t="s">
        <v>422</v>
      </c>
      <c r="D424" s="7">
        <v>46245</v>
      </c>
      <c r="E424" s="7">
        <v>46243</v>
      </c>
      <c r="F424" s="10">
        <f>IF(E424="","",E424-D424)</f>
        <v>-2</v>
      </c>
      <c r="G424" s="5" t="str">
        <f>IF(E424="","Open",IF(F424&gt;0,"Delayed","Done"))</f>
        <v>Done</v>
      </c>
      <c r="H424" s="5" t="s">
        <v>321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x14ac:dyDescent="0.2">
      <c r="A425" s="5" t="s">
        <v>847</v>
      </c>
      <c r="B425" s="5" t="s">
        <v>221</v>
      </c>
      <c r="C425" s="5" t="s">
        <v>424</v>
      </c>
      <c r="D425" s="7">
        <v>46251</v>
      </c>
      <c r="E425" s="7">
        <v>46254</v>
      </c>
      <c r="F425" s="10">
        <f>IF(E425="","",E425-D425)</f>
        <v>3</v>
      </c>
      <c r="G425" s="5" t="str">
        <f>IF(E425="","Open",IF(F425&gt;0,"Delayed","Done"))</f>
        <v>Delayed</v>
      </c>
      <c r="H425" s="5" t="s">
        <v>326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x14ac:dyDescent="0.2">
      <c r="A426" s="5" t="s">
        <v>848</v>
      </c>
      <c r="B426" s="5" t="s">
        <v>221</v>
      </c>
      <c r="C426" s="5" t="s">
        <v>426</v>
      </c>
      <c r="D426" s="7">
        <v>46253</v>
      </c>
      <c r="E426" s="7">
        <v>46254</v>
      </c>
      <c r="F426" s="10">
        <f>IF(E426="","",E426-D426)</f>
        <v>1</v>
      </c>
      <c r="G426" s="5" t="str">
        <f>IF(E426="","Open",IF(F426&gt;0,"Delayed","Done"))</f>
        <v>Delayed</v>
      </c>
      <c r="H426" s="5" t="s">
        <v>326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x14ac:dyDescent="0.2">
      <c r="A427" s="5" t="s">
        <v>849</v>
      </c>
      <c r="B427" s="5" t="s">
        <v>221</v>
      </c>
      <c r="C427" s="5" t="s">
        <v>428</v>
      </c>
      <c r="D427" s="7">
        <v>46255</v>
      </c>
      <c r="E427" s="7"/>
      <c r="F427" s="10" t="str">
        <f>IF(E427="","",E427-D427)</f>
        <v/>
      </c>
      <c r="G427" s="5" t="str">
        <f>IF(E427="","Open",IF(F427&gt;0,"Delayed","Done"))</f>
        <v>Open</v>
      </c>
      <c r="H427" s="5" t="s">
        <v>326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x14ac:dyDescent="0.2">
      <c r="A428" s="5" t="s">
        <v>850</v>
      </c>
      <c r="B428" s="5" t="s">
        <v>221</v>
      </c>
      <c r="C428" s="5" t="s">
        <v>430</v>
      </c>
      <c r="D428" s="7">
        <v>46258</v>
      </c>
      <c r="E428" s="7">
        <v>46261</v>
      </c>
      <c r="F428" s="10">
        <f>IF(E428="","",E428-D428)</f>
        <v>3</v>
      </c>
      <c r="G428" s="5" t="str">
        <f>IF(E428="","Open",IF(F428&gt;0,"Delayed","Done"))</f>
        <v>Delayed</v>
      </c>
      <c r="H428" s="5" t="s">
        <v>326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x14ac:dyDescent="0.2">
      <c r="A429" s="5" t="s">
        <v>851</v>
      </c>
      <c r="B429" s="5" t="s">
        <v>221</v>
      </c>
      <c r="C429" s="5" t="s">
        <v>432</v>
      </c>
      <c r="D429" s="7">
        <v>46262</v>
      </c>
      <c r="E429" s="7">
        <v>46261</v>
      </c>
      <c r="F429" s="10">
        <f>IF(E429="","",E429-D429)</f>
        <v>-1</v>
      </c>
      <c r="G429" s="5" t="str">
        <f>IF(E429="","Open",IF(F429&gt;0,"Delayed","Done"))</f>
        <v>Done</v>
      </c>
      <c r="H429" s="5" t="s">
        <v>321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x14ac:dyDescent="0.2">
      <c r="A430" s="5" t="s">
        <v>852</v>
      </c>
      <c r="B430" s="5" t="s">
        <v>221</v>
      </c>
      <c r="C430" s="5" t="s">
        <v>434</v>
      </c>
      <c r="D430" s="7">
        <v>46264</v>
      </c>
      <c r="E430" s="7"/>
      <c r="F430" s="10" t="str">
        <f>IF(E430="","",E430-D430)</f>
        <v/>
      </c>
      <c r="G430" s="5" t="str">
        <f>IF(E430="","Open",IF(F430&gt;0,"Delayed","Done"))</f>
        <v>Open</v>
      </c>
      <c r="H430" s="5" t="s">
        <v>321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x14ac:dyDescent="0.2">
      <c r="A431" s="5" t="s">
        <v>853</v>
      </c>
      <c r="B431" s="5" t="s">
        <v>221</v>
      </c>
      <c r="C431" s="5" t="s">
        <v>436</v>
      </c>
      <c r="D431" s="7">
        <v>46266</v>
      </c>
      <c r="E431" s="7">
        <v>46269</v>
      </c>
      <c r="F431" s="10">
        <f>IF(E431="","",E431-D431)</f>
        <v>3</v>
      </c>
      <c r="G431" s="5" t="str">
        <f>IF(E431="","Open",IF(F431&gt;0,"Delayed","Done"))</f>
        <v>Delayed</v>
      </c>
      <c r="H431" s="5" t="s">
        <v>326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x14ac:dyDescent="0.2">
      <c r="A432" s="5" t="s">
        <v>854</v>
      </c>
      <c r="B432" s="5" t="s">
        <v>221</v>
      </c>
      <c r="C432" s="5" t="s">
        <v>274</v>
      </c>
      <c r="D432" s="7">
        <v>46267</v>
      </c>
      <c r="E432" s="7">
        <v>46267</v>
      </c>
      <c r="F432" s="10">
        <f>IF(E432="","",E432-D432)</f>
        <v>0</v>
      </c>
      <c r="G432" s="5" t="str">
        <f>IF(E432="","Open",IF(F432&gt;0,"Delayed","Done"))</f>
        <v>Done</v>
      </c>
      <c r="H432" s="5" t="s">
        <v>321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x14ac:dyDescent="0.2">
      <c r="A433" s="5" t="s">
        <v>855</v>
      </c>
      <c r="B433" s="5" t="s">
        <v>221</v>
      </c>
      <c r="C433" s="5" t="s">
        <v>439</v>
      </c>
      <c r="D433" s="7">
        <v>46269</v>
      </c>
      <c r="E433" s="7"/>
      <c r="F433" s="10" t="str">
        <f>IF(E433="","",E433-D433)</f>
        <v/>
      </c>
      <c r="G433" s="5" t="str">
        <f>IF(E433="","Open",IF(F433&gt;0,"Delayed","Done"))</f>
        <v>Open</v>
      </c>
      <c r="H433" s="5" t="s">
        <v>326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x14ac:dyDescent="0.2">
      <c r="A434" s="5" t="s">
        <v>856</v>
      </c>
      <c r="B434" s="5" t="s">
        <v>222</v>
      </c>
      <c r="C434" s="5" t="s">
        <v>410</v>
      </c>
      <c r="D434" s="7">
        <v>46168</v>
      </c>
      <c r="E434" s="7">
        <v>46173</v>
      </c>
      <c r="F434" s="10">
        <f>IF(E434="","",E434-D434)</f>
        <v>5</v>
      </c>
      <c r="G434" s="5" t="str">
        <f>IF(E434="","Open",IF(F434&gt;0,"Delayed","Done"))</f>
        <v>Delayed</v>
      </c>
      <c r="H434" s="5" t="s">
        <v>321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x14ac:dyDescent="0.2">
      <c r="A435" s="5" t="s">
        <v>857</v>
      </c>
      <c r="B435" s="5" t="s">
        <v>222</v>
      </c>
      <c r="C435" s="5" t="s">
        <v>412</v>
      </c>
      <c r="D435" s="7">
        <v>46171</v>
      </c>
      <c r="E435" s="7">
        <v>46171</v>
      </c>
      <c r="F435" s="10">
        <f>IF(E435="","",E435-D435)</f>
        <v>0</v>
      </c>
      <c r="G435" s="5" t="str">
        <f>IF(E435="","Open",IF(F435&gt;0,"Delayed","Done"))</f>
        <v>Done</v>
      </c>
      <c r="H435" s="5" t="s">
        <v>321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x14ac:dyDescent="0.2">
      <c r="A436" s="5" t="s">
        <v>858</v>
      </c>
      <c r="B436" s="5" t="s">
        <v>222</v>
      </c>
      <c r="C436" s="5" t="s">
        <v>414</v>
      </c>
      <c r="D436" s="7">
        <v>46173</v>
      </c>
      <c r="E436" s="7"/>
      <c r="F436" s="10" t="str">
        <f>IF(E436="","",E436-D436)</f>
        <v/>
      </c>
      <c r="G436" s="5" t="str">
        <f>IF(E436="","Open",IF(F436&gt;0,"Delayed","Done"))</f>
        <v>Open</v>
      </c>
      <c r="H436" s="5" t="s">
        <v>321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x14ac:dyDescent="0.2">
      <c r="A437" s="5" t="s">
        <v>859</v>
      </c>
      <c r="B437" s="5" t="s">
        <v>222</v>
      </c>
      <c r="C437" s="5" t="s">
        <v>416</v>
      </c>
      <c r="D437" s="7">
        <v>46175</v>
      </c>
      <c r="E437" s="7">
        <v>46174</v>
      </c>
      <c r="F437" s="10">
        <f>IF(E437="","",E437-D437)</f>
        <v>-1</v>
      </c>
      <c r="G437" s="5" t="str">
        <f>IF(E437="","Open",IF(F437&gt;0,"Delayed","Done"))</f>
        <v>Done</v>
      </c>
      <c r="H437" s="5" t="s">
        <v>321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x14ac:dyDescent="0.2">
      <c r="A438" s="5" t="s">
        <v>860</v>
      </c>
      <c r="B438" s="5" t="s">
        <v>222</v>
      </c>
      <c r="C438" s="5" t="s">
        <v>418</v>
      </c>
      <c r="D438" s="7">
        <v>46179</v>
      </c>
      <c r="E438" s="7">
        <v>46181</v>
      </c>
      <c r="F438" s="10">
        <f>IF(E438="","",E438-D438)</f>
        <v>2</v>
      </c>
      <c r="G438" s="5" t="str">
        <f>IF(E438="","Open",IF(F438&gt;0,"Delayed","Done"))</f>
        <v>Delayed</v>
      </c>
      <c r="H438" s="5" t="s">
        <v>321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x14ac:dyDescent="0.2">
      <c r="A439" s="5" t="s">
        <v>861</v>
      </c>
      <c r="B439" s="5" t="s">
        <v>222</v>
      </c>
      <c r="C439" s="5" t="s">
        <v>420</v>
      </c>
      <c r="D439" s="7">
        <v>46185</v>
      </c>
      <c r="E439" s="7">
        <v>46185</v>
      </c>
      <c r="F439" s="10">
        <f>IF(E439="","",E439-D439)</f>
        <v>0</v>
      </c>
      <c r="G439" s="5" t="str">
        <f>IF(E439="","Open",IF(F439&gt;0,"Delayed","Done"))</f>
        <v>Done</v>
      </c>
      <c r="H439" s="5" t="s">
        <v>321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x14ac:dyDescent="0.2">
      <c r="A440" s="5" t="s">
        <v>862</v>
      </c>
      <c r="B440" s="5" t="s">
        <v>222</v>
      </c>
      <c r="C440" s="5" t="s">
        <v>422</v>
      </c>
      <c r="D440" s="7">
        <v>46189</v>
      </c>
      <c r="E440" s="7"/>
      <c r="F440" s="10" t="str">
        <f>IF(E440="","",E440-D440)</f>
        <v/>
      </c>
      <c r="G440" s="5" t="str">
        <f>IF(E440="","Open",IF(F440&gt;0,"Delayed","Done"))</f>
        <v>Open</v>
      </c>
      <c r="H440" s="5" t="s">
        <v>321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x14ac:dyDescent="0.2">
      <c r="A441" s="5" t="s">
        <v>863</v>
      </c>
      <c r="B441" s="5" t="s">
        <v>222</v>
      </c>
      <c r="C441" s="5" t="s">
        <v>424</v>
      </c>
      <c r="D441" s="7">
        <v>46195</v>
      </c>
      <c r="E441" s="7">
        <v>46195</v>
      </c>
      <c r="F441" s="10">
        <f>IF(E441="","",E441-D441)</f>
        <v>0</v>
      </c>
      <c r="G441" s="5" t="str">
        <f>IF(E441="","Open",IF(F441&gt;0,"Delayed","Done"))</f>
        <v>Done</v>
      </c>
      <c r="H441" s="5" t="s">
        <v>326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x14ac:dyDescent="0.2">
      <c r="A442" s="5" t="s">
        <v>864</v>
      </c>
      <c r="B442" s="5" t="s">
        <v>222</v>
      </c>
      <c r="C442" s="5" t="s">
        <v>426</v>
      </c>
      <c r="D442" s="7">
        <v>46197</v>
      </c>
      <c r="E442" s="7">
        <v>46199</v>
      </c>
      <c r="F442" s="10">
        <f>IF(E442="","",E442-D442)</f>
        <v>2</v>
      </c>
      <c r="G442" s="5" t="str">
        <f>IF(E442="","Open",IF(F442&gt;0,"Delayed","Done"))</f>
        <v>Delayed</v>
      </c>
      <c r="H442" s="5" t="s">
        <v>326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x14ac:dyDescent="0.2">
      <c r="A443" s="5" t="s">
        <v>865</v>
      </c>
      <c r="B443" s="5" t="s">
        <v>222</v>
      </c>
      <c r="C443" s="5" t="s">
        <v>428</v>
      </c>
      <c r="D443" s="7">
        <v>46199</v>
      </c>
      <c r="E443" s="7">
        <v>46197</v>
      </c>
      <c r="F443" s="10">
        <f>IF(E443="","",E443-D443)</f>
        <v>-2</v>
      </c>
      <c r="G443" s="5" t="str">
        <f>IF(E443="","Open",IF(F443&gt;0,"Delayed","Done"))</f>
        <v>Done</v>
      </c>
      <c r="H443" s="5" t="s">
        <v>326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x14ac:dyDescent="0.2">
      <c r="A444" s="5" t="s">
        <v>866</v>
      </c>
      <c r="B444" s="5" t="s">
        <v>222</v>
      </c>
      <c r="C444" s="5" t="s">
        <v>430</v>
      </c>
      <c r="D444" s="7">
        <v>46202</v>
      </c>
      <c r="E444" s="7">
        <v>46202</v>
      </c>
      <c r="F444" s="10">
        <f>IF(E444="","",E444-D444)</f>
        <v>0</v>
      </c>
      <c r="G444" s="5" t="str">
        <f>IF(E444="","Open",IF(F444&gt;0,"Delayed","Done"))</f>
        <v>Done</v>
      </c>
      <c r="H444" s="5" t="s">
        <v>326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x14ac:dyDescent="0.2">
      <c r="A445" s="5" t="s">
        <v>867</v>
      </c>
      <c r="B445" s="5" t="s">
        <v>222</v>
      </c>
      <c r="C445" s="5" t="s">
        <v>432</v>
      </c>
      <c r="D445" s="7">
        <v>46206</v>
      </c>
      <c r="E445" s="7">
        <v>46204</v>
      </c>
      <c r="F445" s="10">
        <f>IF(E445="","",E445-D445)</f>
        <v>-2</v>
      </c>
      <c r="G445" s="5" t="str">
        <f>IF(E445="","Open",IF(F445&gt;0,"Delayed","Done"))</f>
        <v>Done</v>
      </c>
      <c r="H445" s="5" t="s">
        <v>321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x14ac:dyDescent="0.2">
      <c r="A446" s="5" t="s">
        <v>868</v>
      </c>
      <c r="B446" s="5" t="s">
        <v>222</v>
      </c>
      <c r="C446" s="5" t="s">
        <v>434</v>
      </c>
      <c r="D446" s="7">
        <v>46208</v>
      </c>
      <c r="E446" s="7">
        <v>46208</v>
      </c>
      <c r="F446" s="10">
        <f>IF(E446="","",E446-D446)</f>
        <v>0</v>
      </c>
      <c r="G446" s="5" t="str">
        <f>IF(E446="","Open",IF(F446&gt;0,"Delayed","Done"))</f>
        <v>Done</v>
      </c>
      <c r="H446" s="5" t="s">
        <v>321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x14ac:dyDescent="0.2">
      <c r="A447" s="5" t="s">
        <v>869</v>
      </c>
      <c r="B447" s="5" t="s">
        <v>222</v>
      </c>
      <c r="C447" s="5" t="s">
        <v>436</v>
      </c>
      <c r="D447" s="7">
        <v>46210</v>
      </c>
      <c r="E447" s="7"/>
      <c r="F447" s="10" t="str">
        <f>IF(E447="","",E447-D447)</f>
        <v/>
      </c>
      <c r="G447" s="5" t="str">
        <f>IF(E447="","Open",IF(F447&gt;0,"Delayed","Done"))</f>
        <v>Open</v>
      </c>
      <c r="H447" s="5" t="s">
        <v>326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x14ac:dyDescent="0.2">
      <c r="A448" s="5" t="s">
        <v>870</v>
      </c>
      <c r="B448" s="5" t="s">
        <v>222</v>
      </c>
      <c r="C448" s="5" t="s">
        <v>274</v>
      </c>
      <c r="D448" s="7">
        <v>46211</v>
      </c>
      <c r="E448" s="7"/>
      <c r="F448" s="10" t="str">
        <f>IF(E448="","",E448-D448)</f>
        <v/>
      </c>
      <c r="G448" s="5" t="str">
        <f>IF(E448="","Open",IF(F448&gt;0,"Delayed","Done"))</f>
        <v>Open</v>
      </c>
      <c r="H448" s="5" t="s">
        <v>321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x14ac:dyDescent="0.2">
      <c r="A449" s="5" t="s">
        <v>871</v>
      </c>
      <c r="B449" s="5" t="s">
        <v>222</v>
      </c>
      <c r="C449" s="5" t="s">
        <v>439</v>
      </c>
      <c r="D449" s="7">
        <v>46213</v>
      </c>
      <c r="E449" s="7">
        <v>46215</v>
      </c>
      <c r="F449" s="10">
        <f>IF(E449="","",E449-D449)</f>
        <v>2</v>
      </c>
      <c r="G449" s="5" t="str">
        <f>IF(E449="","Open",IF(F449&gt;0,"Delayed","Done"))</f>
        <v>Delayed</v>
      </c>
      <c r="H449" s="5" t="s">
        <v>326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x14ac:dyDescent="0.2">
      <c r="A450" s="5" t="s">
        <v>872</v>
      </c>
      <c r="B450" s="5" t="s">
        <v>223</v>
      </c>
      <c r="C450" s="5" t="s">
        <v>410</v>
      </c>
      <c r="D450" s="7">
        <v>46196</v>
      </c>
      <c r="E450" s="7"/>
      <c r="F450" s="10" t="str">
        <f>IF(E450="","",E450-D450)</f>
        <v/>
      </c>
      <c r="G450" s="5" t="str">
        <f>IF(E450="","Open",IF(F450&gt;0,"Delayed","Done"))</f>
        <v>Open</v>
      </c>
      <c r="H450" s="5" t="s">
        <v>321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x14ac:dyDescent="0.2">
      <c r="A451" s="5" t="s">
        <v>873</v>
      </c>
      <c r="B451" s="5" t="s">
        <v>223</v>
      </c>
      <c r="C451" s="5" t="s">
        <v>412</v>
      </c>
      <c r="D451" s="7">
        <v>46199</v>
      </c>
      <c r="E451" s="7">
        <v>46199</v>
      </c>
      <c r="F451" s="10">
        <f>IF(E451="","",E451-D451)</f>
        <v>0</v>
      </c>
      <c r="G451" s="5" t="str">
        <f>IF(E451="","Open",IF(F451&gt;0,"Delayed","Done"))</f>
        <v>Done</v>
      </c>
      <c r="H451" s="5" t="s">
        <v>321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x14ac:dyDescent="0.2">
      <c r="A452" s="5" t="s">
        <v>874</v>
      </c>
      <c r="B452" s="5" t="s">
        <v>223</v>
      </c>
      <c r="C452" s="5" t="s">
        <v>414</v>
      </c>
      <c r="D452" s="7">
        <v>46201</v>
      </c>
      <c r="E452" s="7">
        <v>46206</v>
      </c>
      <c r="F452" s="10">
        <f>IF(E452="","",E452-D452)</f>
        <v>5</v>
      </c>
      <c r="G452" s="5" t="str">
        <f>IF(E452="","Open",IF(F452&gt;0,"Delayed","Done"))</f>
        <v>Delayed</v>
      </c>
      <c r="H452" s="5" t="s">
        <v>321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x14ac:dyDescent="0.2">
      <c r="A453" s="5" t="s">
        <v>875</v>
      </c>
      <c r="B453" s="5" t="s">
        <v>223</v>
      </c>
      <c r="C453" s="5" t="s">
        <v>416</v>
      </c>
      <c r="D453" s="7">
        <v>46203</v>
      </c>
      <c r="E453" s="7"/>
      <c r="F453" s="10" t="str">
        <f>IF(E453="","",E453-D453)</f>
        <v/>
      </c>
      <c r="G453" s="5" t="str">
        <f>IF(E453="","Open",IF(F453&gt;0,"Delayed","Done"))</f>
        <v>Open</v>
      </c>
      <c r="H453" s="5" t="s">
        <v>321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x14ac:dyDescent="0.2">
      <c r="A454" s="5" t="s">
        <v>876</v>
      </c>
      <c r="B454" s="5" t="s">
        <v>223</v>
      </c>
      <c r="C454" s="5" t="s">
        <v>418</v>
      </c>
      <c r="D454" s="7">
        <v>46207</v>
      </c>
      <c r="E454" s="7">
        <v>46206</v>
      </c>
      <c r="F454" s="10">
        <f>IF(E454="","",E454-D454)</f>
        <v>-1</v>
      </c>
      <c r="G454" s="5" t="str">
        <f>IF(E454="","Open",IF(F454&gt;0,"Delayed","Done"))</f>
        <v>Done</v>
      </c>
      <c r="H454" s="5" t="s">
        <v>321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x14ac:dyDescent="0.2">
      <c r="A455" s="5" t="s">
        <v>877</v>
      </c>
      <c r="B455" s="5" t="s">
        <v>223</v>
      </c>
      <c r="C455" s="5" t="s">
        <v>420</v>
      </c>
      <c r="D455" s="7">
        <v>46213</v>
      </c>
      <c r="E455" s="7">
        <v>46214</v>
      </c>
      <c r="F455" s="10">
        <f>IF(E455="","",E455-D455)</f>
        <v>1</v>
      </c>
      <c r="G455" s="5" t="str">
        <f>IF(E455="","Open",IF(F455&gt;0,"Delayed","Done"))</f>
        <v>Delayed</v>
      </c>
      <c r="H455" s="5" t="s">
        <v>321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x14ac:dyDescent="0.2">
      <c r="A456" s="5" t="s">
        <v>878</v>
      </c>
      <c r="B456" s="5" t="s">
        <v>223</v>
      </c>
      <c r="C456" s="5" t="s">
        <v>422</v>
      </c>
      <c r="D456" s="7">
        <v>46217</v>
      </c>
      <c r="E456" s="7">
        <v>46217</v>
      </c>
      <c r="F456" s="10">
        <f>IF(E456="","",E456-D456)</f>
        <v>0</v>
      </c>
      <c r="G456" s="5" t="str">
        <f>IF(E456="","Open",IF(F456&gt;0,"Delayed","Done"))</f>
        <v>Done</v>
      </c>
      <c r="H456" s="5" t="s">
        <v>321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x14ac:dyDescent="0.2">
      <c r="A457" s="5" t="s">
        <v>879</v>
      </c>
      <c r="B457" s="5" t="s">
        <v>223</v>
      </c>
      <c r="C457" s="5" t="s">
        <v>424</v>
      </c>
      <c r="D457" s="7">
        <v>46223</v>
      </c>
      <c r="E457" s="7">
        <v>46222</v>
      </c>
      <c r="F457" s="10">
        <f>IF(E457="","",E457-D457)</f>
        <v>-1</v>
      </c>
      <c r="G457" s="5" t="str">
        <f>IF(E457="","Open",IF(F457&gt;0,"Delayed","Done"))</f>
        <v>Done</v>
      </c>
      <c r="H457" s="5" t="s">
        <v>326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x14ac:dyDescent="0.2">
      <c r="A458" s="5" t="s">
        <v>880</v>
      </c>
      <c r="B458" s="5" t="s">
        <v>223</v>
      </c>
      <c r="C458" s="5" t="s">
        <v>426</v>
      </c>
      <c r="D458" s="7">
        <v>46225</v>
      </c>
      <c r="E458" s="7">
        <v>46226</v>
      </c>
      <c r="F458" s="10">
        <f>IF(E458="","",E458-D458)</f>
        <v>1</v>
      </c>
      <c r="G458" s="5" t="str">
        <f>IF(E458="","Open",IF(F458&gt;0,"Delayed","Done"))</f>
        <v>Delayed</v>
      </c>
      <c r="H458" s="5" t="s">
        <v>326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x14ac:dyDescent="0.2">
      <c r="A459" s="5" t="s">
        <v>881</v>
      </c>
      <c r="B459" s="5" t="s">
        <v>223</v>
      </c>
      <c r="C459" s="5" t="s">
        <v>428</v>
      </c>
      <c r="D459" s="7">
        <v>46227</v>
      </c>
      <c r="E459" s="7"/>
      <c r="F459" s="10" t="str">
        <f>IF(E459="","",E459-D459)</f>
        <v/>
      </c>
      <c r="G459" s="5" t="str">
        <f>IF(E459="","Open",IF(F459&gt;0,"Delayed","Done"))</f>
        <v>Open</v>
      </c>
      <c r="H459" s="5" t="s">
        <v>326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x14ac:dyDescent="0.2">
      <c r="A460" s="5" t="s">
        <v>882</v>
      </c>
      <c r="B460" s="5" t="s">
        <v>223</v>
      </c>
      <c r="C460" s="5" t="s">
        <v>430</v>
      </c>
      <c r="D460" s="7">
        <v>46230</v>
      </c>
      <c r="E460" s="7">
        <v>46230</v>
      </c>
      <c r="F460" s="10">
        <f>IF(E460="","",E460-D460)</f>
        <v>0</v>
      </c>
      <c r="G460" s="5" t="str">
        <f>IF(E460="","Open",IF(F460&gt;0,"Delayed","Done"))</f>
        <v>Done</v>
      </c>
      <c r="H460" s="5" t="s">
        <v>326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x14ac:dyDescent="0.2">
      <c r="A461" s="5" t="s">
        <v>883</v>
      </c>
      <c r="B461" s="5" t="s">
        <v>223</v>
      </c>
      <c r="C461" s="5" t="s">
        <v>432</v>
      </c>
      <c r="D461" s="7">
        <v>46234</v>
      </c>
      <c r="E461" s="7">
        <v>46234</v>
      </c>
      <c r="F461" s="10">
        <f>IF(E461="","",E461-D461)</f>
        <v>0</v>
      </c>
      <c r="G461" s="5" t="str">
        <f>IF(E461="","Open",IF(F461&gt;0,"Delayed","Done"))</f>
        <v>Done</v>
      </c>
      <c r="H461" s="5" t="s">
        <v>321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x14ac:dyDescent="0.2">
      <c r="A462" s="5" t="s">
        <v>884</v>
      </c>
      <c r="B462" s="5" t="s">
        <v>223</v>
      </c>
      <c r="C462" s="5" t="s">
        <v>434</v>
      </c>
      <c r="D462" s="7">
        <v>46236</v>
      </c>
      <c r="E462" s="7">
        <v>46241</v>
      </c>
      <c r="F462" s="10">
        <f>IF(E462="","",E462-D462)</f>
        <v>5</v>
      </c>
      <c r="G462" s="5" t="str">
        <f>IF(E462="","Open",IF(F462&gt;0,"Delayed","Done"))</f>
        <v>Delayed</v>
      </c>
      <c r="H462" s="5" t="s">
        <v>321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x14ac:dyDescent="0.2">
      <c r="A463" s="5" t="s">
        <v>885</v>
      </c>
      <c r="B463" s="5" t="s">
        <v>223</v>
      </c>
      <c r="C463" s="5" t="s">
        <v>436</v>
      </c>
      <c r="D463" s="7">
        <v>46238</v>
      </c>
      <c r="E463" s="7"/>
      <c r="F463" s="10" t="str">
        <f>IF(E463="","",E463-D463)</f>
        <v/>
      </c>
      <c r="G463" s="5" t="str">
        <f>IF(E463="","Open",IF(F463&gt;0,"Delayed","Done"))</f>
        <v>Open</v>
      </c>
      <c r="H463" s="5" t="s">
        <v>326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x14ac:dyDescent="0.2">
      <c r="A464" s="5" t="s">
        <v>886</v>
      </c>
      <c r="B464" s="5" t="s">
        <v>223</v>
      </c>
      <c r="C464" s="5" t="s">
        <v>274</v>
      </c>
      <c r="D464" s="7">
        <v>46239</v>
      </c>
      <c r="E464" s="7"/>
      <c r="F464" s="10" t="str">
        <f>IF(E464="","",E464-D464)</f>
        <v/>
      </c>
      <c r="G464" s="5" t="str">
        <f>IF(E464="","Open",IF(F464&gt;0,"Delayed","Done"))</f>
        <v>Open</v>
      </c>
      <c r="H464" s="5" t="s">
        <v>321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x14ac:dyDescent="0.2">
      <c r="A465" s="5" t="s">
        <v>887</v>
      </c>
      <c r="B465" s="5" t="s">
        <v>223</v>
      </c>
      <c r="C465" s="5" t="s">
        <v>439</v>
      </c>
      <c r="D465" s="7">
        <v>46241</v>
      </c>
      <c r="E465" s="7"/>
      <c r="F465" s="10" t="str">
        <f>IF(E465="","",E465-D465)</f>
        <v/>
      </c>
      <c r="G465" s="5" t="str">
        <f>IF(E465="","Open",IF(F465&gt;0,"Delayed","Done"))</f>
        <v>Open</v>
      </c>
      <c r="H465" s="5" t="s">
        <v>326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x14ac:dyDescent="0.2">
      <c r="A466" s="5" t="s">
        <v>888</v>
      </c>
      <c r="B466" s="5" t="s">
        <v>224</v>
      </c>
      <c r="C466" s="5" t="s">
        <v>410</v>
      </c>
      <c r="D466" s="7">
        <v>46260</v>
      </c>
      <c r="E466" s="7"/>
      <c r="F466" s="10" t="str">
        <f>IF(E466="","",E466-D466)</f>
        <v/>
      </c>
      <c r="G466" s="5" t="str">
        <f>IF(E466="","Open",IF(F466&gt;0,"Delayed","Done"))</f>
        <v>Open</v>
      </c>
      <c r="H466" s="5" t="s">
        <v>321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x14ac:dyDescent="0.2">
      <c r="A467" s="5" t="s">
        <v>889</v>
      </c>
      <c r="B467" s="5" t="s">
        <v>224</v>
      </c>
      <c r="C467" s="5" t="s">
        <v>412</v>
      </c>
      <c r="D467" s="7">
        <v>46263</v>
      </c>
      <c r="E467" s="7">
        <v>46264</v>
      </c>
      <c r="F467" s="10">
        <f>IF(E467="","",E467-D467)</f>
        <v>1</v>
      </c>
      <c r="G467" s="5" t="str">
        <f>IF(E467="","Open",IF(F467&gt;0,"Delayed","Done"))</f>
        <v>Delayed</v>
      </c>
      <c r="H467" s="5" t="s">
        <v>321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x14ac:dyDescent="0.2">
      <c r="A468" s="5" t="s">
        <v>890</v>
      </c>
      <c r="B468" s="5" t="s">
        <v>224</v>
      </c>
      <c r="C468" s="5" t="s">
        <v>414</v>
      </c>
      <c r="D468" s="7">
        <v>46265</v>
      </c>
      <c r="E468" s="7"/>
      <c r="F468" s="10" t="str">
        <f>IF(E468="","",E468-D468)</f>
        <v/>
      </c>
      <c r="G468" s="5" t="str">
        <f>IF(E468="","Open",IF(F468&gt;0,"Delayed","Done"))</f>
        <v>Open</v>
      </c>
      <c r="H468" s="5" t="s">
        <v>321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x14ac:dyDescent="0.2">
      <c r="A469" s="5" t="s">
        <v>891</v>
      </c>
      <c r="B469" s="5" t="s">
        <v>224</v>
      </c>
      <c r="C469" s="5" t="s">
        <v>416</v>
      </c>
      <c r="D469" s="7">
        <v>46267</v>
      </c>
      <c r="E469" s="7"/>
      <c r="F469" s="10" t="str">
        <f>IF(E469="","",E469-D469)</f>
        <v/>
      </c>
      <c r="G469" s="5" t="str">
        <f>IF(E469="","Open",IF(F469&gt;0,"Delayed","Done"))</f>
        <v>Open</v>
      </c>
      <c r="H469" s="5" t="s">
        <v>321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x14ac:dyDescent="0.2">
      <c r="A470" s="5" t="s">
        <v>892</v>
      </c>
      <c r="B470" s="5" t="s">
        <v>224</v>
      </c>
      <c r="C470" s="5" t="s">
        <v>418</v>
      </c>
      <c r="D470" s="7">
        <v>46271</v>
      </c>
      <c r="E470" s="7"/>
      <c r="F470" s="10" t="str">
        <f>IF(E470="","",E470-D470)</f>
        <v/>
      </c>
      <c r="G470" s="5" t="str">
        <f>IF(E470="","Open",IF(F470&gt;0,"Delayed","Done"))</f>
        <v>Open</v>
      </c>
      <c r="H470" s="5" t="s">
        <v>321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x14ac:dyDescent="0.2">
      <c r="A471" s="5" t="s">
        <v>893</v>
      </c>
      <c r="B471" s="5" t="s">
        <v>224</v>
      </c>
      <c r="C471" s="5" t="s">
        <v>420</v>
      </c>
      <c r="D471" s="7">
        <v>46277</v>
      </c>
      <c r="E471" s="7"/>
      <c r="F471" s="10" t="str">
        <f>IF(E471="","",E471-D471)</f>
        <v/>
      </c>
      <c r="G471" s="5" t="str">
        <f>IF(E471="","Open",IF(F471&gt;0,"Delayed","Done"))</f>
        <v>Open</v>
      </c>
      <c r="H471" s="5" t="s">
        <v>321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x14ac:dyDescent="0.2">
      <c r="A472" s="5" t="s">
        <v>894</v>
      </c>
      <c r="B472" s="5" t="s">
        <v>224</v>
      </c>
      <c r="C472" s="5" t="s">
        <v>422</v>
      </c>
      <c r="D472" s="7">
        <v>46281</v>
      </c>
      <c r="E472" s="7">
        <v>46283</v>
      </c>
      <c r="F472" s="10">
        <f>IF(E472="","",E472-D472)</f>
        <v>2</v>
      </c>
      <c r="G472" s="5" t="str">
        <f>IF(E472="","Open",IF(F472&gt;0,"Delayed","Done"))</f>
        <v>Delayed</v>
      </c>
      <c r="H472" s="5" t="s">
        <v>321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x14ac:dyDescent="0.2">
      <c r="A473" s="5" t="s">
        <v>895</v>
      </c>
      <c r="B473" s="5" t="s">
        <v>224</v>
      </c>
      <c r="C473" s="5" t="s">
        <v>424</v>
      </c>
      <c r="D473" s="7">
        <v>46287</v>
      </c>
      <c r="E473" s="7">
        <v>46285</v>
      </c>
      <c r="F473" s="10">
        <f>IF(E473="","",E473-D473)</f>
        <v>-2</v>
      </c>
      <c r="G473" s="5" t="str">
        <f>IF(E473="","Open",IF(F473&gt;0,"Delayed","Done"))</f>
        <v>Done</v>
      </c>
      <c r="H473" s="5" t="s">
        <v>326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x14ac:dyDescent="0.2">
      <c r="A474" s="5" t="s">
        <v>896</v>
      </c>
      <c r="B474" s="5" t="s">
        <v>224</v>
      </c>
      <c r="C474" s="5" t="s">
        <v>426</v>
      </c>
      <c r="D474" s="7">
        <v>46289</v>
      </c>
      <c r="E474" s="7">
        <v>46289</v>
      </c>
      <c r="F474" s="10">
        <f>IF(E474="","",E474-D474)</f>
        <v>0</v>
      </c>
      <c r="G474" s="5" t="str">
        <f>IF(E474="","Open",IF(F474&gt;0,"Delayed","Done"))</f>
        <v>Done</v>
      </c>
      <c r="H474" s="5" t="s">
        <v>326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x14ac:dyDescent="0.2">
      <c r="A475" s="5" t="s">
        <v>897</v>
      </c>
      <c r="B475" s="5" t="s">
        <v>224</v>
      </c>
      <c r="C475" s="5" t="s">
        <v>428</v>
      </c>
      <c r="D475" s="7">
        <v>46291</v>
      </c>
      <c r="E475" s="7">
        <v>46291</v>
      </c>
      <c r="F475" s="10">
        <f>IF(E475="","",E475-D475)</f>
        <v>0</v>
      </c>
      <c r="G475" s="5" t="str">
        <f>IF(E475="","Open",IF(F475&gt;0,"Delayed","Done"))</f>
        <v>Done</v>
      </c>
      <c r="H475" s="5" t="s">
        <v>326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x14ac:dyDescent="0.2">
      <c r="A476" s="5" t="s">
        <v>898</v>
      </c>
      <c r="B476" s="5" t="s">
        <v>224</v>
      </c>
      <c r="C476" s="5" t="s">
        <v>430</v>
      </c>
      <c r="D476" s="7">
        <v>46294</v>
      </c>
      <c r="E476" s="7"/>
      <c r="F476" s="10" t="str">
        <f>IF(E476="","",E476-D476)</f>
        <v/>
      </c>
      <c r="G476" s="5" t="str">
        <f>IF(E476="","Open",IF(F476&gt;0,"Delayed","Done"))</f>
        <v>Open</v>
      </c>
      <c r="H476" s="5" t="s">
        <v>326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x14ac:dyDescent="0.2">
      <c r="A477" s="5" t="s">
        <v>899</v>
      </c>
      <c r="B477" s="5" t="s">
        <v>224</v>
      </c>
      <c r="C477" s="5" t="s">
        <v>432</v>
      </c>
      <c r="D477" s="7">
        <v>46298</v>
      </c>
      <c r="E477" s="7">
        <v>46301</v>
      </c>
      <c r="F477" s="10">
        <f>IF(E477="","",E477-D477)</f>
        <v>3</v>
      </c>
      <c r="G477" s="5" t="str">
        <f>IF(E477="","Open",IF(F477&gt;0,"Delayed","Done"))</f>
        <v>Delayed</v>
      </c>
      <c r="H477" s="5" t="s">
        <v>321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x14ac:dyDescent="0.2">
      <c r="A478" s="5" t="s">
        <v>900</v>
      </c>
      <c r="B478" s="5" t="s">
        <v>224</v>
      </c>
      <c r="C478" s="5" t="s">
        <v>434</v>
      </c>
      <c r="D478" s="7">
        <v>46300</v>
      </c>
      <c r="E478" s="7"/>
      <c r="F478" s="10" t="str">
        <f>IF(E478="","",E478-D478)</f>
        <v/>
      </c>
      <c r="G478" s="5" t="str">
        <f>IF(E478="","Open",IF(F478&gt;0,"Delayed","Done"))</f>
        <v>Open</v>
      </c>
      <c r="H478" s="5" t="s">
        <v>321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x14ac:dyDescent="0.2">
      <c r="A479" s="5" t="s">
        <v>901</v>
      </c>
      <c r="B479" s="5" t="s">
        <v>224</v>
      </c>
      <c r="C479" s="5" t="s">
        <v>436</v>
      </c>
      <c r="D479" s="7">
        <v>46302</v>
      </c>
      <c r="E479" s="7"/>
      <c r="F479" s="10" t="str">
        <f>IF(E479="","",E479-D479)</f>
        <v/>
      </c>
      <c r="G479" s="5" t="str">
        <f>IF(E479="","Open",IF(F479&gt;0,"Delayed","Done"))</f>
        <v>Open</v>
      </c>
      <c r="H479" s="5" t="s">
        <v>326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x14ac:dyDescent="0.2">
      <c r="A480" s="5" t="s">
        <v>902</v>
      </c>
      <c r="B480" s="5" t="s">
        <v>224</v>
      </c>
      <c r="C480" s="5" t="s">
        <v>274</v>
      </c>
      <c r="D480" s="7">
        <v>46303</v>
      </c>
      <c r="E480" s="7">
        <v>46303</v>
      </c>
      <c r="F480" s="10">
        <f>IF(E480="","",E480-D480)</f>
        <v>0</v>
      </c>
      <c r="G480" s="5" t="str">
        <f>IF(E480="","Open",IF(F480&gt;0,"Delayed","Done"))</f>
        <v>Done</v>
      </c>
      <c r="H480" s="5" t="s">
        <v>321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x14ac:dyDescent="0.2">
      <c r="A481" s="5" t="s">
        <v>903</v>
      </c>
      <c r="B481" s="5" t="s">
        <v>224</v>
      </c>
      <c r="C481" s="5" t="s">
        <v>439</v>
      </c>
      <c r="D481" s="7">
        <v>46305</v>
      </c>
      <c r="E481" s="7"/>
      <c r="F481" s="10" t="str">
        <f>IF(E481="","",E481-D481)</f>
        <v/>
      </c>
      <c r="G481" s="5" t="str">
        <f>IF(E481="","Open",IF(F481&gt;0,"Delayed","Done"))</f>
        <v>Open</v>
      </c>
      <c r="H481" s="5" t="s">
        <v>326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x14ac:dyDescent="0.2">
      <c r="A482" s="5" t="s">
        <v>904</v>
      </c>
      <c r="B482" s="5" t="s">
        <v>225</v>
      </c>
      <c r="C482" s="5" t="s">
        <v>410</v>
      </c>
      <c r="D482" s="7">
        <v>46164</v>
      </c>
      <c r="E482" s="7"/>
      <c r="F482" s="10" t="str">
        <f>IF(E482="","",E482-D482)</f>
        <v/>
      </c>
      <c r="G482" s="5" t="str">
        <f>IF(E482="","Open",IF(F482&gt;0,"Delayed","Done"))</f>
        <v>Open</v>
      </c>
      <c r="H482" s="5" t="s">
        <v>321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x14ac:dyDescent="0.2">
      <c r="A483" s="5" t="s">
        <v>905</v>
      </c>
      <c r="B483" s="5" t="s">
        <v>225</v>
      </c>
      <c r="C483" s="5" t="s">
        <v>412</v>
      </c>
      <c r="D483" s="7">
        <v>46167</v>
      </c>
      <c r="E483" s="7">
        <v>46166</v>
      </c>
      <c r="F483" s="10">
        <f>IF(E483="","",E483-D483)</f>
        <v>-1</v>
      </c>
      <c r="G483" s="5" t="str">
        <f>IF(E483="","Open",IF(F483&gt;0,"Delayed","Done"))</f>
        <v>Done</v>
      </c>
      <c r="H483" s="5" t="s">
        <v>321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x14ac:dyDescent="0.2">
      <c r="A484" s="5" t="s">
        <v>906</v>
      </c>
      <c r="B484" s="5" t="s">
        <v>225</v>
      </c>
      <c r="C484" s="5" t="s">
        <v>414</v>
      </c>
      <c r="D484" s="7">
        <v>46169</v>
      </c>
      <c r="E484" s="7">
        <v>46169</v>
      </c>
      <c r="F484" s="10">
        <f>IF(E484="","",E484-D484)</f>
        <v>0</v>
      </c>
      <c r="G484" s="5" t="str">
        <f>IF(E484="","Open",IF(F484&gt;0,"Delayed","Done"))</f>
        <v>Done</v>
      </c>
      <c r="H484" s="5" t="s">
        <v>321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x14ac:dyDescent="0.2">
      <c r="A485" s="5" t="s">
        <v>907</v>
      </c>
      <c r="B485" s="5" t="s">
        <v>225</v>
      </c>
      <c r="C485" s="5" t="s">
        <v>416</v>
      </c>
      <c r="D485" s="7">
        <v>46171</v>
      </c>
      <c r="E485" s="7"/>
      <c r="F485" s="10" t="str">
        <f>IF(E485="","",E485-D485)</f>
        <v/>
      </c>
      <c r="G485" s="5" t="str">
        <f>IF(E485="","Open",IF(F485&gt;0,"Delayed","Done"))</f>
        <v>Open</v>
      </c>
      <c r="H485" s="5" t="s">
        <v>321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x14ac:dyDescent="0.2">
      <c r="A486" s="5" t="s">
        <v>908</v>
      </c>
      <c r="B486" s="5" t="s">
        <v>225</v>
      </c>
      <c r="C486" s="5" t="s">
        <v>418</v>
      </c>
      <c r="D486" s="7">
        <v>46175</v>
      </c>
      <c r="E486" s="7">
        <v>46175</v>
      </c>
      <c r="F486" s="10">
        <f>IF(E486="","",E486-D486)</f>
        <v>0</v>
      </c>
      <c r="G486" s="5" t="str">
        <f>IF(E486="","Open",IF(F486&gt;0,"Delayed","Done"))</f>
        <v>Done</v>
      </c>
      <c r="H486" s="5" t="s">
        <v>321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x14ac:dyDescent="0.2">
      <c r="A487" s="5" t="s">
        <v>909</v>
      </c>
      <c r="B487" s="5" t="s">
        <v>225</v>
      </c>
      <c r="C487" s="5" t="s">
        <v>420</v>
      </c>
      <c r="D487" s="7">
        <v>46181</v>
      </c>
      <c r="E487" s="7"/>
      <c r="F487" s="10" t="str">
        <f>IF(E487="","",E487-D487)</f>
        <v/>
      </c>
      <c r="G487" s="5" t="str">
        <f>IF(E487="","Open",IF(F487&gt;0,"Delayed","Done"))</f>
        <v>Open</v>
      </c>
      <c r="H487" s="5" t="s">
        <v>321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x14ac:dyDescent="0.2">
      <c r="A488" s="5" t="s">
        <v>910</v>
      </c>
      <c r="B488" s="5" t="s">
        <v>225</v>
      </c>
      <c r="C488" s="5" t="s">
        <v>422</v>
      </c>
      <c r="D488" s="7">
        <v>46185</v>
      </c>
      <c r="E488" s="7"/>
      <c r="F488" s="10" t="str">
        <f>IF(E488="","",E488-D488)</f>
        <v/>
      </c>
      <c r="G488" s="5" t="str">
        <f>IF(E488="","Open",IF(F488&gt;0,"Delayed","Done"))</f>
        <v>Open</v>
      </c>
      <c r="H488" s="5" t="s">
        <v>321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x14ac:dyDescent="0.2">
      <c r="A489" s="5" t="s">
        <v>911</v>
      </c>
      <c r="B489" s="5" t="s">
        <v>225</v>
      </c>
      <c r="C489" s="5" t="s">
        <v>424</v>
      </c>
      <c r="D489" s="7">
        <v>46191</v>
      </c>
      <c r="E489" s="7"/>
      <c r="F489" s="10" t="str">
        <f>IF(E489="","",E489-D489)</f>
        <v/>
      </c>
      <c r="G489" s="5" t="str">
        <f>IF(E489="","Open",IF(F489&gt;0,"Delayed","Done"))</f>
        <v>Open</v>
      </c>
      <c r="H489" s="5" t="s">
        <v>326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x14ac:dyDescent="0.2">
      <c r="A490" s="5" t="s">
        <v>912</v>
      </c>
      <c r="B490" s="5" t="s">
        <v>225</v>
      </c>
      <c r="C490" s="5" t="s">
        <v>426</v>
      </c>
      <c r="D490" s="7">
        <v>46193</v>
      </c>
      <c r="E490" s="7">
        <v>46193</v>
      </c>
      <c r="F490" s="10">
        <f>IF(E490="","",E490-D490)</f>
        <v>0</v>
      </c>
      <c r="G490" s="5" t="str">
        <f>IF(E490="","Open",IF(F490&gt;0,"Delayed","Done"))</f>
        <v>Done</v>
      </c>
      <c r="H490" s="5" t="s">
        <v>326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x14ac:dyDescent="0.2">
      <c r="A491" s="5" t="s">
        <v>913</v>
      </c>
      <c r="B491" s="5" t="s">
        <v>225</v>
      </c>
      <c r="C491" s="5" t="s">
        <v>428</v>
      </c>
      <c r="D491" s="7">
        <v>46195</v>
      </c>
      <c r="E491" s="7"/>
      <c r="F491" s="10" t="str">
        <f>IF(E491="","",E491-D491)</f>
        <v/>
      </c>
      <c r="G491" s="5" t="str">
        <f>IF(E491="","Open",IF(F491&gt;0,"Delayed","Done"))</f>
        <v>Open</v>
      </c>
      <c r="H491" s="5" t="s">
        <v>326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x14ac:dyDescent="0.2">
      <c r="A492" s="5" t="s">
        <v>914</v>
      </c>
      <c r="B492" s="5" t="s">
        <v>225</v>
      </c>
      <c r="C492" s="5" t="s">
        <v>430</v>
      </c>
      <c r="D492" s="7">
        <v>46198</v>
      </c>
      <c r="E492" s="7">
        <v>46199</v>
      </c>
      <c r="F492" s="10">
        <f>IF(E492="","",E492-D492)</f>
        <v>1</v>
      </c>
      <c r="G492" s="5" t="str">
        <f>IF(E492="","Open",IF(F492&gt;0,"Delayed","Done"))</f>
        <v>Delayed</v>
      </c>
      <c r="H492" s="5" t="s">
        <v>326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x14ac:dyDescent="0.2">
      <c r="A493" s="5" t="s">
        <v>915</v>
      </c>
      <c r="B493" s="5" t="s">
        <v>225</v>
      </c>
      <c r="C493" s="5" t="s">
        <v>432</v>
      </c>
      <c r="D493" s="7">
        <v>46202</v>
      </c>
      <c r="E493" s="7">
        <v>46202</v>
      </c>
      <c r="F493" s="10">
        <f>IF(E493="","",E493-D493)</f>
        <v>0</v>
      </c>
      <c r="G493" s="5" t="str">
        <f>IF(E493="","Open",IF(F493&gt;0,"Delayed","Done"))</f>
        <v>Done</v>
      </c>
      <c r="H493" s="5" t="s">
        <v>321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x14ac:dyDescent="0.2">
      <c r="A494" s="5" t="s">
        <v>916</v>
      </c>
      <c r="B494" s="5" t="s">
        <v>225</v>
      </c>
      <c r="C494" s="5" t="s">
        <v>434</v>
      </c>
      <c r="D494" s="7">
        <v>46204</v>
      </c>
      <c r="E494" s="7">
        <v>46203</v>
      </c>
      <c r="F494" s="10">
        <f>IF(E494="","",E494-D494)</f>
        <v>-1</v>
      </c>
      <c r="G494" s="5" t="str">
        <f>IF(E494="","Open",IF(F494&gt;0,"Delayed","Done"))</f>
        <v>Done</v>
      </c>
      <c r="H494" s="5" t="s">
        <v>321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x14ac:dyDescent="0.2">
      <c r="A495" s="5" t="s">
        <v>917</v>
      </c>
      <c r="B495" s="5" t="s">
        <v>225</v>
      </c>
      <c r="C495" s="5" t="s">
        <v>436</v>
      </c>
      <c r="D495" s="7">
        <v>46206</v>
      </c>
      <c r="E495" s="7">
        <v>46205</v>
      </c>
      <c r="F495" s="10">
        <f>IF(E495="","",E495-D495)</f>
        <v>-1</v>
      </c>
      <c r="G495" s="5" t="str">
        <f>IF(E495="","Open",IF(F495&gt;0,"Delayed","Done"))</f>
        <v>Done</v>
      </c>
      <c r="H495" s="5" t="s">
        <v>326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x14ac:dyDescent="0.2">
      <c r="A496" s="5" t="s">
        <v>918</v>
      </c>
      <c r="B496" s="5" t="s">
        <v>225</v>
      </c>
      <c r="C496" s="5" t="s">
        <v>274</v>
      </c>
      <c r="D496" s="7">
        <v>46207</v>
      </c>
      <c r="E496" s="7">
        <v>46207</v>
      </c>
      <c r="F496" s="10">
        <f>IF(E496="","",E496-D496)</f>
        <v>0</v>
      </c>
      <c r="G496" s="5" t="str">
        <f>IF(E496="","Open",IF(F496&gt;0,"Delayed","Done"))</f>
        <v>Done</v>
      </c>
      <c r="H496" s="5" t="s">
        <v>321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x14ac:dyDescent="0.2">
      <c r="A497" s="5" t="s">
        <v>919</v>
      </c>
      <c r="B497" s="5" t="s">
        <v>225</v>
      </c>
      <c r="C497" s="5" t="s">
        <v>439</v>
      </c>
      <c r="D497" s="7">
        <v>46209</v>
      </c>
      <c r="E497" s="7">
        <v>46211</v>
      </c>
      <c r="F497" s="10">
        <f>IF(E497="","",E497-D497)</f>
        <v>2</v>
      </c>
      <c r="G497" s="5" t="str">
        <f>IF(E497="","Open",IF(F497&gt;0,"Delayed","Done"))</f>
        <v>Delayed</v>
      </c>
      <c r="H497" s="5" t="s">
        <v>326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x14ac:dyDescent="0.2">
      <c r="A498" s="5" t="s">
        <v>920</v>
      </c>
      <c r="B498" s="5" t="s">
        <v>226</v>
      </c>
      <c r="C498" s="5" t="s">
        <v>410</v>
      </c>
      <c r="D498" s="7">
        <v>46212</v>
      </c>
      <c r="E498" s="7">
        <v>46214</v>
      </c>
      <c r="F498" s="10">
        <f>IF(E498="","",E498-D498)</f>
        <v>2</v>
      </c>
      <c r="G498" s="5" t="str">
        <f>IF(E498="","Open",IF(F498&gt;0,"Delayed","Done"))</f>
        <v>Delayed</v>
      </c>
      <c r="H498" s="5" t="s">
        <v>321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x14ac:dyDescent="0.2">
      <c r="A499" s="5" t="s">
        <v>921</v>
      </c>
      <c r="B499" s="5" t="s">
        <v>226</v>
      </c>
      <c r="C499" s="5" t="s">
        <v>412</v>
      </c>
      <c r="D499" s="7">
        <v>46215</v>
      </c>
      <c r="E499" s="7">
        <v>46215</v>
      </c>
      <c r="F499" s="10">
        <f>IF(E499="","",E499-D499)</f>
        <v>0</v>
      </c>
      <c r="G499" s="5" t="str">
        <f>IF(E499="","Open",IF(F499&gt;0,"Delayed","Done"))</f>
        <v>Done</v>
      </c>
      <c r="H499" s="5" t="s">
        <v>321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x14ac:dyDescent="0.2">
      <c r="A500" s="5" t="s">
        <v>922</v>
      </c>
      <c r="B500" s="5" t="s">
        <v>226</v>
      </c>
      <c r="C500" s="5" t="s">
        <v>414</v>
      </c>
      <c r="D500" s="7">
        <v>46217</v>
      </c>
      <c r="E500" s="7">
        <v>46217</v>
      </c>
      <c r="F500" s="10">
        <f>IF(E500="","",E500-D500)</f>
        <v>0</v>
      </c>
      <c r="G500" s="5" t="str">
        <f>IF(E500="","Open",IF(F500&gt;0,"Delayed","Done"))</f>
        <v>Done</v>
      </c>
      <c r="H500" s="5" t="s">
        <v>321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x14ac:dyDescent="0.2">
      <c r="A501" s="5" t="s">
        <v>923</v>
      </c>
      <c r="B501" s="5" t="s">
        <v>226</v>
      </c>
      <c r="C501" s="5" t="s">
        <v>416</v>
      </c>
      <c r="D501" s="7">
        <v>46219</v>
      </c>
      <c r="E501" s="7">
        <v>46222</v>
      </c>
      <c r="F501" s="10">
        <f>IF(E501="","",E501-D501)</f>
        <v>3</v>
      </c>
      <c r="G501" s="5" t="str">
        <f>IF(E501="","Open",IF(F501&gt;0,"Delayed","Done"))</f>
        <v>Delayed</v>
      </c>
      <c r="H501" s="5" t="s">
        <v>321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x14ac:dyDescent="0.2">
      <c r="A502" s="5" t="s">
        <v>924</v>
      </c>
      <c r="B502" s="5" t="s">
        <v>226</v>
      </c>
      <c r="C502" s="5" t="s">
        <v>418</v>
      </c>
      <c r="D502" s="7">
        <v>46223</v>
      </c>
      <c r="E502" s="7">
        <v>46223</v>
      </c>
      <c r="F502" s="10">
        <f>IF(E502="","",E502-D502)</f>
        <v>0</v>
      </c>
      <c r="G502" s="5" t="str">
        <f>IF(E502="","Open",IF(F502&gt;0,"Delayed","Done"))</f>
        <v>Done</v>
      </c>
      <c r="H502" s="5" t="s">
        <v>321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x14ac:dyDescent="0.2">
      <c r="A503" s="5" t="s">
        <v>925</v>
      </c>
      <c r="B503" s="5" t="s">
        <v>226</v>
      </c>
      <c r="C503" s="5" t="s">
        <v>420</v>
      </c>
      <c r="D503" s="7">
        <v>46229</v>
      </c>
      <c r="E503" s="7"/>
      <c r="F503" s="10" t="str">
        <f>IF(E503="","",E503-D503)</f>
        <v/>
      </c>
      <c r="G503" s="5" t="str">
        <f>IF(E503="","Open",IF(F503&gt;0,"Delayed","Done"))</f>
        <v>Open</v>
      </c>
      <c r="H503" s="5" t="s">
        <v>321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x14ac:dyDescent="0.2">
      <c r="A504" s="5" t="s">
        <v>926</v>
      </c>
      <c r="B504" s="5" t="s">
        <v>226</v>
      </c>
      <c r="C504" s="5" t="s">
        <v>422</v>
      </c>
      <c r="D504" s="7">
        <v>46233</v>
      </c>
      <c r="E504" s="7">
        <v>46233</v>
      </c>
      <c r="F504" s="10">
        <f>IF(E504="","",E504-D504)</f>
        <v>0</v>
      </c>
      <c r="G504" s="5" t="str">
        <f>IF(E504="","Open",IF(F504&gt;0,"Delayed","Done"))</f>
        <v>Done</v>
      </c>
      <c r="H504" s="5" t="s">
        <v>321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x14ac:dyDescent="0.2">
      <c r="A505" s="5" t="s">
        <v>927</v>
      </c>
      <c r="B505" s="5" t="s">
        <v>226</v>
      </c>
      <c r="C505" s="5" t="s">
        <v>424</v>
      </c>
      <c r="D505" s="7">
        <v>46239</v>
      </c>
      <c r="E505" s="7">
        <v>46237</v>
      </c>
      <c r="F505" s="10">
        <f>IF(E505="","",E505-D505)</f>
        <v>-2</v>
      </c>
      <c r="G505" s="5" t="str">
        <f>IF(E505="","Open",IF(F505&gt;0,"Delayed","Done"))</f>
        <v>Done</v>
      </c>
      <c r="H505" s="5" t="s">
        <v>326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x14ac:dyDescent="0.2">
      <c r="A506" s="5" t="s">
        <v>928</v>
      </c>
      <c r="B506" s="5" t="s">
        <v>226</v>
      </c>
      <c r="C506" s="5" t="s">
        <v>426</v>
      </c>
      <c r="D506" s="7">
        <v>46241</v>
      </c>
      <c r="E506" s="7">
        <v>46241</v>
      </c>
      <c r="F506" s="10">
        <f>IF(E506="","",E506-D506)</f>
        <v>0</v>
      </c>
      <c r="G506" s="5" t="str">
        <f>IF(E506="","Open",IF(F506&gt;0,"Delayed","Done"))</f>
        <v>Done</v>
      </c>
      <c r="H506" s="5" t="s">
        <v>326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x14ac:dyDescent="0.2">
      <c r="A507" s="5" t="s">
        <v>929</v>
      </c>
      <c r="B507" s="5" t="s">
        <v>226</v>
      </c>
      <c r="C507" s="5" t="s">
        <v>428</v>
      </c>
      <c r="D507" s="7">
        <v>46243</v>
      </c>
      <c r="E507" s="7">
        <v>46243</v>
      </c>
      <c r="F507" s="10">
        <f>IF(E507="","",E507-D507)</f>
        <v>0</v>
      </c>
      <c r="G507" s="5" t="str">
        <f>IF(E507="","Open",IF(F507&gt;0,"Delayed","Done"))</f>
        <v>Done</v>
      </c>
      <c r="H507" s="5" t="s">
        <v>326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x14ac:dyDescent="0.2">
      <c r="A508" s="5" t="s">
        <v>930</v>
      </c>
      <c r="B508" s="5" t="s">
        <v>226</v>
      </c>
      <c r="C508" s="5" t="s">
        <v>430</v>
      </c>
      <c r="D508" s="7">
        <v>46246</v>
      </c>
      <c r="E508" s="7">
        <v>46246</v>
      </c>
      <c r="F508" s="10">
        <f>IF(E508="","",E508-D508)</f>
        <v>0</v>
      </c>
      <c r="G508" s="5" t="str">
        <f>IF(E508="","Open",IF(F508&gt;0,"Delayed","Done"))</f>
        <v>Done</v>
      </c>
      <c r="H508" s="5" t="s">
        <v>326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x14ac:dyDescent="0.2">
      <c r="A509" s="5" t="s">
        <v>931</v>
      </c>
      <c r="B509" s="5" t="s">
        <v>226</v>
      </c>
      <c r="C509" s="5" t="s">
        <v>432</v>
      </c>
      <c r="D509" s="7">
        <v>46250</v>
      </c>
      <c r="E509" s="7">
        <v>46249</v>
      </c>
      <c r="F509" s="10">
        <f>IF(E509="","",E509-D509)</f>
        <v>-1</v>
      </c>
      <c r="G509" s="5" t="str">
        <f>IF(E509="","Open",IF(F509&gt;0,"Delayed","Done"))</f>
        <v>Done</v>
      </c>
      <c r="H509" s="5" t="s">
        <v>321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x14ac:dyDescent="0.2">
      <c r="A510" s="5" t="s">
        <v>932</v>
      </c>
      <c r="B510" s="5" t="s">
        <v>226</v>
      </c>
      <c r="C510" s="5" t="s">
        <v>434</v>
      </c>
      <c r="D510" s="7">
        <v>46252</v>
      </c>
      <c r="E510" s="7">
        <v>46254</v>
      </c>
      <c r="F510" s="10">
        <f>IF(E510="","",E510-D510)</f>
        <v>2</v>
      </c>
      <c r="G510" s="5" t="str">
        <f>IF(E510="","Open",IF(F510&gt;0,"Delayed","Done"))</f>
        <v>Delayed</v>
      </c>
      <c r="H510" s="5" t="s">
        <v>321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x14ac:dyDescent="0.2">
      <c r="A511" s="5" t="s">
        <v>933</v>
      </c>
      <c r="B511" s="5" t="s">
        <v>226</v>
      </c>
      <c r="C511" s="5" t="s">
        <v>436</v>
      </c>
      <c r="D511" s="7">
        <v>46254</v>
      </c>
      <c r="E511" s="7">
        <v>46256</v>
      </c>
      <c r="F511" s="10">
        <f>IF(E511="","",E511-D511)</f>
        <v>2</v>
      </c>
      <c r="G511" s="5" t="str">
        <f>IF(E511="","Open",IF(F511&gt;0,"Delayed","Done"))</f>
        <v>Delayed</v>
      </c>
      <c r="H511" s="5" t="s">
        <v>326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x14ac:dyDescent="0.2">
      <c r="A512" s="5" t="s">
        <v>934</v>
      </c>
      <c r="B512" s="5" t="s">
        <v>226</v>
      </c>
      <c r="C512" s="5" t="s">
        <v>274</v>
      </c>
      <c r="D512" s="7">
        <v>46255</v>
      </c>
      <c r="E512" s="7">
        <v>46258</v>
      </c>
      <c r="F512" s="10">
        <f>IF(E512="","",E512-D512)</f>
        <v>3</v>
      </c>
      <c r="G512" s="5" t="str">
        <f>IF(E512="","Open",IF(F512&gt;0,"Delayed","Done"))</f>
        <v>Delayed</v>
      </c>
      <c r="H512" s="5" t="s">
        <v>321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x14ac:dyDescent="0.2">
      <c r="A513" s="5" t="s">
        <v>935</v>
      </c>
      <c r="B513" s="5" t="s">
        <v>226</v>
      </c>
      <c r="C513" s="5" t="s">
        <v>439</v>
      </c>
      <c r="D513" s="7">
        <v>46257</v>
      </c>
      <c r="E513" s="7">
        <v>46255</v>
      </c>
      <c r="F513" s="10">
        <f>IF(E513="","",E513-D513)</f>
        <v>-2</v>
      </c>
      <c r="G513" s="5" t="str">
        <f>IF(E513="","Open",IF(F513&gt;0,"Delayed","Done"))</f>
        <v>Done</v>
      </c>
      <c r="H513" s="5" t="s">
        <v>326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x14ac:dyDescent="0.2">
      <c r="A514" s="5" t="s">
        <v>936</v>
      </c>
      <c r="B514" s="5" t="s">
        <v>227</v>
      </c>
      <c r="C514" s="5" t="s">
        <v>410</v>
      </c>
      <c r="D514" s="7">
        <v>46200</v>
      </c>
      <c r="E514" s="7">
        <v>46201</v>
      </c>
      <c r="F514" s="10">
        <f>IF(E514="","",E514-D514)</f>
        <v>1</v>
      </c>
      <c r="G514" s="5" t="str">
        <f>IF(E514="","Open",IF(F514&gt;0,"Delayed","Done"))</f>
        <v>Delayed</v>
      </c>
      <c r="H514" s="5" t="s">
        <v>321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x14ac:dyDescent="0.2">
      <c r="A515" s="5" t="s">
        <v>937</v>
      </c>
      <c r="B515" s="5" t="s">
        <v>227</v>
      </c>
      <c r="C515" s="5" t="s">
        <v>412</v>
      </c>
      <c r="D515" s="7">
        <v>46203</v>
      </c>
      <c r="E515" s="7"/>
      <c r="F515" s="10" t="str">
        <f>IF(E515="","",E515-D515)</f>
        <v/>
      </c>
      <c r="G515" s="5" t="str">
        <f>IF(E515="","Open",IF(F515&gt;0,"Delayed","Done"))</f>
        <v>Open</v>
      </c>
      <c r="H515" s="5" t="s">
        <v>321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x14ac:dyDescent="0.2">
      <c r="A516" s="5" t="s">
        <v>938</v>
      </c>
      <c r="B516" s="5" t="s">
        <v>227</v>
      </c>
      <c r="C516" s="5" t="s">
        <v>414</v>
      </c>
      <c r="D516" s="7">
        <v>46205</v>
      </c>
      <c r="E516" s="7"/>
      <c r="F516" s="10" t="str">
        <f>IF(E516="","",E516-D516)</f>
        <v/>
      </c>
      <c r="G516" s="5" t="str">
        <f>IF(E516="","Open",IF(F516&gt;0,"Delayed","Done"))</f>
        <v>Open</v>
      </c>
      <c r="H516" s="5" t="s">
        <v>321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x14ac:dyDescent="0.2">
      <c r="A517" s="5" t="s">
        <v>939</v>
      </c>
      <c r="B517" s="5" t="s">
        <v>227</v>
      </c>
      <c r="C517" s="5" t="s">
        <v>416</v>
      </c>
      <c r="D517" s="7">
        <v>46207</v>
      </c>
      <c r="E517" s="7"/>
      <c r="F517" s="10" t="str">
        <f>IF(E517="","",E517-D517)</f>
        <v/>
      </c>
      <c r="G517" s="5" t="str">
        <f>IF(E517="","Open",IF(F517&gt;0,"Delayed","Done"))</f>
        <v>Open</v>
      </c>
      <c r="H517" s="5" t="s">
        <v>321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x14ac:dyDescent="0.2">
      <c r="A518" s="5" t="s">
        <v>940</v>
      </c>
      <c r="B518" s="5" t="s">
        <v>227</v>
      </c>
      <c r="C518" s="5" t="s">
        <v>418</v>
      </c>
      <c r="D518" s="7">
        <v>46211</v>
      </c>
      <c r="E518" s="7">
        <v>46209</v>
      </c>
      <c r="F518" s="10">
        <f>IF(E518="","",E518-D518)</f>
        <v>-2</v>
      </c>
      <c r="G518" s="5" t="str">
        <f>IF(E518="","Open",IF(F518&gt;0,"Delayed","Done"))</f>
        <v>Done</v>
      </c>
      <c r="H518" s="5" t="s">
        <v>321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x14ac:dyDescent="0.2">
      <c r="A519" s="5" t="s">
        <v>941</v>
      </c>
      <c r="B519" s="5" t="s">
        <v>227</v>
      </c>
      <c r="C519" s="5" t="s">
        <v>420</v>
      </c>
      <c r="D519" s="7">
        <v>46217</v>
      </c>
      <c r="E519" s="7"/>
      <c r="F519" s="10" t="str">
        <f>IF(E519="","",E519-D519)</f>
        <v/>
      </c>
      <c r="G519" s="5" t="str">
        <f>IF(E519="","Open",IF(F519&gt;0,"Delayed","Done"))</f>
        <v>Open</v>
      </c>
      <c r="H519" s="5" t="s">
        <v>321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x14ac:dyDescent="0.2">
      <c r="A520" s="5" t="s">
        <v>942</v>
      </c>
      <c r="B520" s="5" t="s">
        <v>227</v>
      </c>
      <c r="C520" s="5" t="s">
        <v>422</v>
      </c>
      <c r="D520" s="7">
        <v>46221</v>
      </c>
      <c r="E520" s="7">
        <v>46221</v>
      </c>
      <c r="F520" s="10">
        <f>IF(E520="","",E520-D520)</f>
        <v>0</v>
      </c>
      <c r="G520" s="5" t="str">
        <f>IF(E520="","Open",IF(F520&gt;0,"Delayed","Done"))</f>
        <v>Done</v>
      </c>
      <c r="H520" s="5" t="s">
        <v>321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x14ac:dyDescent="0.2">
      <c r="A521" s="5" t="s">
        <v>943</v>
      </c>
      <c r="B521" s="5" t="s">
        <v>227</v>
      </c>
      <c r="C521" s="5" t="s">
        <v>424</v>
      </c>
      <c r="D521" s="7">
        <v>46227</v>
      </c>
      <c r="E521" s="7">
        <v>46228</v>
      </c>
      <c r="F521" s="10">
        <f>IF(E521="","",E521-D521)</f>
        <v>1</v>
      </c>
      <c r="G521" s="5" t="str">
        <f>IF(E521="","Open",IF(F521&gt;0,"Delayed","Done"))</f>
        <v>Delayed</v>
      </c>
      <c r="H521" s="5" t="s">
        <v>326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x14ac:dyDescent="0.2">
      <c r="A522" s="5" t="s">
        <v>944</v>
      </c>
      <c r="B522" s="5" t="s">
        <v>227</v>
      </c>
      <c r="C522" s="5" t="s">
        <v>426</v>
      </c>
      <c r="D522" s="7">
        <v>46229</v>
      </c>
      <c r="E522" s="7">
        <v>46228</v>
      </c>
      <c r="F522" s="10">
        <f>IF(E522="","",E522-D522)</f>
        <v>-1</v>
      </c>
      <c r="G522" s="5" t="str">
        <f>IF(E522="","Open",IF(F522&gt;0,"Delayed","Done"))</f>
        <v>Done</v>
      </c>
      <c r="H522" s="5" t="s">
        <v>326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x14ac:dyDescent="0.2">
      <c r="A523" s="5" t="s">
        <v>945</v>
      </c>
      <c r="B523" s="5" t="s">
        <v>227</v>
      </c>
      <c r="C523" s="5" t="s">
        <v>428</v>
      </c>
      <c r="D523" s="7">
        <v>46231</v>
      </c>
      <c r="E523" s="7">
        <v>46231</v>
      </c>
      <c r="F523" s="10">
        <f>IF(E523="","",E523-D523)</f>
        <v>0</v>
      </c>
      <c r="G523" s="5" t="str">
        <f>IF(E523="","Open",IF(F523&gt;0,"Delayed","Done"))</f>
        <v>Done</v>
      </c>
      <c r="H523" s="5" t="s">
        <v>326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x14ac:dyDescent="0.2">
      <c r="A524" s="5" t="s">
        <v>946</v>
      </c>
      <c r="B524" s="5" t="s">
        <v>227</v>
      </c>
      <c r="C524" s="5" t="s">
        <v>430</v>
      </c>
      <c r="D524" s="7">
        <v>46234</v>
      </c>
      <c r="E524" s="7">
        <v>46232</v>
      </c>
      <c r="F524" s="10">
        <f>IF(E524="","",E524-D524)</f>
        <v>-2</v>
      </c>
      <c r="G524" s="5" t="str">
        <f>IF(E524="","Open",IF(F524&gt;0,"Delayed","Done"))</f>
        <v>Done</v>
      </c>
      <c r="H524" s="5" t="s">
        <v>326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x14ac:dyDescent="0.2">
      <c r="A525" s="5" t="s">
        <v>947</v>
      </c>
      <c r="B525" s="5" t="s">
        <v>227</v>
      </c>
      <c r="C525" s="5" t="s">
        <v>432</v>
      </c>
      <c r="D525" s="7">
        <v>46238</v>
      </c>
      <c r="E525" s="7">
        <v>46238</v>
      </c>
      <c r="F525" s="10">
        <f>IF(E525="","",E525-D525)</f>
        <v>0</v>
      </c>
      <c r="G525" s="5" t="str">
        <f>IF(E525="","Open",IF(F525&gt;0,"Delayed","Done"))</f>
        <v>Done</v>
      </c>
      <c r="H525" s="5" t="s">
        <v>321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x14ac:dyDescent="0.2">
      <c r="A526" s="5" t="s">
        <v>948</v>
      </c>
      <c r="B526" s="5" t="s">
        <v>227</v>
      </c>
      <c r="C526" s="5" t="s">
        <v>434</v>
      </c>
      <c r="D526" s="7">
        <v>46240</v>
      </c>
      <c r="E526" s="7">
        <v>46245</v>
      </c>
      <c r="F526" s="10">
        <f>IF(E526="","",E526-D526)</f>
        <v>5</v>
      </c>
      <c r="G526" s="5" t="str">
        <f>IF(E526="","Open",IF(F526&gt;0,"Delayed","Done"))</f>
        <v>Delayed</v>
      </c>
      <c r="H526" s="5" t="s">
        <v>321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x14ac:dyDescent="0.2">
      <c r="A527" s="5" t="s">
        <v>949</v>
      </c>
      <c r="B527" s="5" t="s">
        <v>227</v>
      </c>
      <c r="C527" s="5" t="s">
        <v>436</v>
      </c>
      <c r="D527" s="7">
        <v>46242</v>
      </c>
      <c r="E527" s="7">
        <v>46243</v>
      </c>
      <c r="F527" s="10">
        <f>IF(E527="","",E527-D527)</f>
        <v>1</v>
      </c>
      <c r="G527" s="5" t="str">
        <f>IF(E527="","Open",IF(F527&gt;0,"Delayed","Done"))</f>
        <v>Delayed</v>
      </c>
      <c r="H527" s="5" t="s">
        <v>326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x14ac:dyDescent="0.2">
      <c r="A528" s="5" t="s">
        <v>950</v>
      </c>
      <c r="B528" s="5" t="s">
        <v>227</v>
      </c>
      <c r="C528" s="5" t="s">
        <v>274</v>
      </c>
      <c r="D528" s="7">
        <v>46243</v>
      </c>
      <c r="E528" s="7">
        <v>46243</v>
      </c>
      <c r="F528" s="10">
        <f>IF(E528="","",E528-D528)</f>
        <v>0</v>
      </c>
      <c r="G528" s="5" t="str">
        <f>IF(E528="","Open",IF(F528&gt;0,"Delayed","Done"))</f>
        <v>Done</v>
      </c>
      <c r="H528" s="5" t="s">
        <v>321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x14ac:dyDescent="0.2">
      <c r="A529" s="5" t="s">
        <v>951</v>
      </c>
      <c r="B529" s="5" t="s">
        <v>227</v>
      </c>
      <c r="C529" s="5" t="s">
        <v>439</v>
      </c>
      <c r="D529" s="7">
        <v>46245</v>
      </c>
      <c r="E529" s="7">
        <v>46248</v>
      </c>
      <c r="F529" s="10">
        <f>IF(E529="","",E529-D529)</f>
        <v>3</v>
      </c>
      <c r="G529" s="5" t="str">
        <f>IF(E529="","Open",IF(F529&gt;0,"Delayed","Done"))</f>
        <v>Delayed</v>
      </c>
      <c r="H529" s="5" t="s">
        <v>326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x14ac:dyDescent="0.2">
      <c r="A530" s="5" t="s">
        <v>952</v>
      </c>
      <c r="B530" s="5" t="s">
        <v>228</v>
      </c>
      <c r="C530" s="5" t="s">
        <v>410</v>
      </c>
      <c r="D530" s="7">
        <v>46207</v>
      </c>
      <c r="E530" s="7">
        <v>46207</v>
      </c>
      <c r="F530" s="10">
        <f>IF(E530="","",E530-D530)</f>
        <v>0</v>
      </c>
      <c r="G530" s="5" t="str">
        <f>IF(E530="","Open",IF(F530&gt;0,"Delayed","Done"))</f>
        <v>Done</v>
      </c>
      <c r="H530" s="5" t="s">
        <v>321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x14ac:dyDescent="0.2">
      <c r="A531" s="5" t="s">
        <v>953</v>
      </c>
      <c r="B531" s="5" t="s">
        <v>228</v>
      </c>
      <c r="C531" s="5" t="s">
        <v>412</v>
      </c>
      <c r="D531" s="7">
        <v>46210</v>
      </c>
      <c r="E531" s="7">
        <v>46212</v>
      </c>
      <c r="F531" s="10">
        <f>IF(E531="","",E531-D531)</f>
        <v>2</v>
      </c>
      <c r="G531" s="5" t="str">
        <f>IF(E531="","Open",IF(F531&gt;0,"Delayed","Done"))</f>
        <v>Delayed</v>
      </c>
      <c r="H531" s="5" t="s">
        <v>321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x14ac:dyDescent="0.2">
      <c r="A532" s="5" t="s">
        <v>954</v>
      </c>
      <c r="B532" s="5" t="s">
        <v>228</v>
      </c>
      <c r="C532" s="5" t="s">
        <v>414</v>
      </c>
      <c r="D532" s="7">
        <v>46212</v>
      </c>
      <c r="E532" s="7">
        <v>46212</v>
      </c>
      <c r="F532" s="10">
        <f>IF(E532="","",E532-D532)</f>
        <v>0</v>
      </c>
      <c r="G532" s="5" t="str">
        <f>IF(E532="","Open",IF(F532&gt;0,"Delayed","Done"))</f>
        <v>Done</v>
      </c>
      <c r="H532" s="5" t="s">
        <v>321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x14ac:dyDescent="0.2">
      <c r="A533" s="5" t="s">
        <v>955</v>
      </c>
      <c r="B533" s="5" t="s">
        <v>228</v>
      </c>
      <c r="C533" s="5" t="s">
        <v>416</v>
      </c>
      <c r="D533" s="7">
        <v>46214</v>
      </c>
      <c r="E533" s="7"/>
      <c r="F533" s="10" t="str">
        <f>IF(E533="","",E533-D533)</f>
        <v/>
      </c>
      <c r="G533" s="5" t="str">
        <f>IF(E533="","Open",IF(F533&gt;0,"Delayed","Done"))</f>
        <v>Open</v>
      </c>
      <c r="H533" s="5" t="s">
        <v>321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x14ac:dyDescent="0.2">
      <c r="A534" s="5" t="s">
        <v>956</v>
      </c>
      <c r="B534" s="5" t="s">
        <v>228</v>
      </c>
      <c r="C534" s="5" t="s">
        <v>418</v>
      </c>
      <c r="D534" s="7">
        <v>46218</v>
      </c>
      <c r="E534" s="7">
        <v>46216</v>
      </c>
      <c r="F534" s="10">
        <f>IF(E534="","",E534-D534)</f>
        <v>-2</v>
      </c>
      <c r="G534" s="5" t="str">
        <f>IF(E534="","Open",IF(F534&gt;0,"Delayed","Done"))</f>
        <v>Done</v>
      </c>
      <c r="H534" s="5" t="s">
        <v>321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x14ac:dyDescent="0.2">
      <c r="A535" s="5" t="s">
        <v>957</v>
      </c>
      <c r="B535" s="5" t="s">
        <v>228</v>
      </c>
      <c r="C535" s="5" t="s">
        <v>420</v>
      </c>
      <c r="D535" s="7">
        <v>46224</v>
      </c>
      <c r="E535" s="7">
        <v>46224</v>
      </c>
      <c r="F535" s="10">
        <f>IF(E535="","",E535-D535)</f>
        <v>0</v>
      </c>
      <c r="G535" s="5" t="str">
        <f>IF(E535="","Open",IF(F535&gt;0,"Delayed","Done"))</f>
        <v>Done</v>
      </c>
      <c r="H535" s="5" t="s">
        <v>321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x14ac:dyDescent="0.2">
      <c r="A536" s="5" t="s">
        <v>958</v>
      </c>
      <c r="B536" s="5" t="s">
        <v>228</v>
      </c>
      <c r="C536" s="5" t="s">
        <v>422</v>
      </c>
      <c r="D536" s="7">
        <v>46228</v>
      </c>
      <c r="E536" s="7">
        <v>46226</v>
      </c>
      <c r="F536" s="10">
        <f>IF(E536="","",E536-D536)</f>
        <v>-2</v>
      </c>
      <c r="G536" s="5" t="str">
        <f>IF(E536="","Open",IF(F536&gt;0,"Delayed","Done"))</f>
        <v>Done</v>
      </c>
      <c r="H536" s="5" t="s">
        <v>321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x14ac:dyDescent="0.2">
      <c r="A537" s="5" t="s">
        <v>959</v>
      </c>
      <c r="B537" s="5" t="s">
        <v>228</v>
      </c>
      <c r="C537" s="5" t="s">
        <v>424</v>
      </c>
      <c r="D537" s="7">
        <v>46234</v>
      </c>
      <c r="E537" s="7">
        <v>46234</v>
      </c>
      <c r="F537" s="10">
        <f>IF(E537="","",E537-D537)</f>
        <v>0</v>
      </c>
      <c r="G537" s="5" t="str">
        <f>IF(E537="","Open",IF(F537&gt;0,"Delayed","Done"))</f>
        <v>Done</v>
      </c>
      <c r="H537" s="5" t="s">
        <v>326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x14ac:dyDescent="0.2">
      <c r="A538" s="5" t="s">
        <v>960</v>
      </c>
      <c r="B538" s="5" t="s">
        <v>228</v>
      </c>
      <c r="C538" s="5" t="s">
        <v>426</v>
      </c>
      <c r="D538" s="7">
        <v>46236</v>
      </c>
      <c r="E538" s="7"/>
      <c r="F538" s="10" t="str">
        <f>IF(E538="","",E538-D538)</f>
        <v/>
      </c>
      <c r="G538" s="5" t="str">
        <f>IF(E538="","Open",IF(F538&gt;0,"Delayed","Done"))</f>
        <v>Open</v>
      </c>
      <c r="H538" s="5" t="s">
        <v>326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x14ac:dyDescent="0.2">
      <c r="A539" s="5" t="s">
        <v>961</v>
      </c>
      <c r="B539" s="5" t="s">
        <v>228</v>
      </c>
      <c r="C539" s="5" t="s">
        <v>428</v>
      </c>
      <c r="D539" s="7">
        <v>46238</v>
      </c>
      <c r="E539" s="7">
        <v>46236</v>
      </c>
      <c r="F539" s="10">
        <f>IF(E539="","",E539-D539)</f>
        <v>-2</v>
      </c>
      <c r="G539" s="5" t="str">
        <f>IF(E539="","Open",IF(F539&gt;0,"Delayed","Done"))</f>
        <v>Done</v>
      </c>
      <c r="H539" s="5" t="s">
        <v>326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x14ac:dyDescent="0.2">
      <c r="A540" s="5" t="s">
        <v>962</v>
      </c>
      <c r="B540" s="5" t="s">
        <v>228</v>
      </c>
      <c r="C540" s="5" t="s">
        <v>430</v>
      </c>
      <c r="D540" s="7">
        <v>46241</v>
      </c>
      <c r="E540" s="7"/>
      <c r="F540" s="10" t="str">
        <f>IF(E540="","",E540-D540)</f>
        <v/>
      </c>
      <c r="G540" s="5" t="str">
        <f>IF(E540="","Open",IF(F540&gt;0,"Delayed","Done"))</f>
        <v>Open</v>
      </c>
      <c r="H540" s="5" t="s">
        <v>326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x14ac:dyDescent="0.2">
      <c r="A541" s="5" t="s">
        <v>963</v>
      </c>
      <c r="B541" s="5" t="s">
        <v>228</v>
      </c>
      <c r="C541" s="5" t="s">
        <v>432</v>
      </c>
      <c r="D541" s="7">
        <v>46245</v>
      </c>
      <c r="E541" s="7"/>
      <c r="F541" s="10" t="str">
        <f>IF(E541="","",E541-D541)</f>
        <v/>
      </c>
      <c r="G541" s="5" t="str">
        <f>IF(E541="","Open",IF(F541&gt;0,"Delayed","Done"))</f>
        <v>Open</v>
      </c>
      <c r="H541" s="5" t="s">
        <v>321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x14ac:dyDescent="0.2">
      <c r="A542" s="5" t="s">
        <v>964</v>
      </c>
      <c r="B542" s="5" t="s">
        <v>228</v>
      </c>
      <c r="C542" s="5" t="s">
        <v>434</v>
      </c>
      <c r="D542" s="7">
        <v>46247</v>
      </c>
      <c r="E542" s="7">
        <v>46246</v>
      </c>
      <c r="F542" s="10">
        <f>IF(E542="","",E542-D542)</f>
        <v>-1</v>
      </c>
      <c r="G542" s="5" t="str">
        <f>IF(E542="","Open",IF(F542&gt;0,"Delayed","Done"))</f>
        <v>Done</v>
      </c>
      <c r="H542" s="5" t="s">
        <v>321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x14ac:dyDescent="0.2">
      <c r="A543" s="5" t="s">
        <v>965</v>
      </c>
      <c r="B543" s="5" t="s">
        <v>228</v>
      </c>
      <c r="C543" s="5" t="s">
        <v>436</v>
      </c>
      <c r="D543" s="7">
        <v>46249</v>
      </c>
      <c r="E543" s="7">
        <v>46251</v>
      </c>
      <c r="F543" s="10">
        <f>IF(E543="","",E543-D543)</f>
        <v>2</v>
      </c>
      <c r="G543" s="5" t="str">
        <f>IF(E543="","Open",IF(F543&gt;0,"Delayed","Done"))</f>
        <v>Delayed</v>
      </c>
      <c r="H543" s="5" t="s">
        <v>326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x14ac:dyDescent="0.2">
      <c r="A544" s="5" t="s">
        <v>966</v>
      </c>
      <c r="B544" s="5" t="s">
        <v>228</v>
      </c>
      <c r="C544" s="5" t="s">
        <v>274</v>
      </c>
      <c r="D544" s="7">
        <v>46250</v>
      </c>
      <c r="E544" s="7">
        <v>46250</v>
      </c>
      <c r="F544" s="10">
        <f>IF(E544="","",E544-D544)</f>
        <v>0</v>
      </c>
      <c r="G544" s="5" t="str">
        <f>IF(E544="","Open",IF(F544&gt;0,"Delayed","Done"))</f>
        <v>Done</v>
      </c>
      <c r="H544" s="5" t="s">
        <v>321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x14ac:dyDescent="0.2">
      <c r="A545" s="5" t="s">
        <v>967</v>
      </c>
      <c r="B545" s="5" t="s">
        <v>228</v>
      </c>
      <c r="C545" s="5" t="s">
        <v>439</v>
      </c>
      <c r="D545" s="7">
        <v>46252</v>
      </c>
      <c r="E545" s="7">
        <v>46252</v>
      </c>
      <c r="F545" s="10">
        <f>IF(E545="","",E545-D545)</f>
        <v>0</v>
      </c>
      <c r="G545" s="5" t="str">
        <f>IF(E545="","Open",IF(F545&gt;0,"Delayed","Done"))</f>
        <v>Done</v>
      </c>
      <c r="H545" s="5" t="s">
        <v>326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x14ac:dyDescent="0.2">
      <c r="A546" s="5" t="s">
        <v>968</v>
      </c>
      <c r="B546" s="5" t="s">
        <v>229</v>
      </c>
      <c r="C546" s="5" t="s">
        <v>410</v>
      </c>
      <c r="D546" s="7">
        <v>46169</v>
      </c>
      <c r="E546" s="7">
        <v>46167</v>
      </c>
      <c r="F546" s="10">
        <f>IF(E546="","",E546-D546)</f>
        <v>-2</v>
      </c>
      <c r="G546" s="5" t="str">
        <f>IF(E546="","Open",IF(F546&gt;0,"Delayed","Done"))</f>
        <v>Done</v>
      </c>
      <c r="H546" s="5" t="s">
        <v>321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x14ac:dyDescent="0.2">
      <c r="A547" s="5" t="s">
        <v>969</v>
      </c>
      <c r="B547" s="5" t="s">
        <v>229</v>
      </c>
      <c r="C547" s="5" t="s">
        <v>412</v>
      </c>
      <c r="D547" s="7">
        <v>46172</v>
      </c>
      <c r="E547" s="7">
        <v>46171</v>
      </c>
      <c r="F547" s="10">
        <f>IF(E547="","",E547-D547)</f>
        <v>-1</v>
      </c>
      <c r="G547" s="5" t="str">
        <f>IF(E547="","Open",IF(F547&gt;0,"Delayed","Done"))</f>
        <v>Done</v>
      </c>
      <c r="H547" s="5" t="s">
        <v>321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x14ac:dyDescent="0.2">
      <c r="A548" s="5" t="s">
        <v>970</v>
      </c>
      <c r="B548" s="5" t="s">
        <v>229</v>
      </c>
      <c r="C548" s="5" t="s">
        <v>414</v>
      </c>
      <c r="D548" s="7">
        <v>46174</v>
      </c>
      <c r="E548" s="7"/>
      <c r="F548" s="10" t="str">
        <f>IF(E548="","",E548-D548)</f>
        <v/>
      </c>
      <c r="G548" s="5" t="str">
        <f>IF(E548="","Open",IF(F548&gt;0,"Delayed","Done"))</f>
        <v>Open</v>
      </c>
      <c r="H548" s="5" t="s">
        <v>321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x14ac:dyDescent="0.2">
      <c r="A549" s="5" t="s">
        <v>971</v>
      </c>
      <c r="B549" s="5" t="s">
        <v>229</v>
      </c>
      <c r="C549" s="5" t="s">
        <v>416</v>
      </c>
      <c r="D549" s="7">
        <v>46176</v>
      </c>
      <c r="E549" s="7">
        <v>46176</v>
      </c>
      <c r="F549" s="10">
        <f>IF(E549="","",E549-D549)</f>
        <v>0</v>
      </c>
      <c r="G549" s="5" t="str">
        <f>IF(E549="","Open",IF(F549&gt;0,"Delayed","Done"))</f>
        <v>Done</v>
      </c>
      <c r="H549" s="5" t="s">
        <v>321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x14ac:dyDescent="0.2">
      <c r="A550" s="5" t="s">
        <v>972</v>
      </c>
      <c r="B550" s="5" t="s">
        <v>229</v>
      </c>
      <c r="C550" s="5" t="s">
        <v>418</v>
      </c>
      <c r="D550" s="7">
        <v>46180</v>
      </c>
      <c r="E550" s="7">
        <v>46179</v>
      </c>
      <c r="F550" s="10">
        <f>IF(E550="","",E550-D550)</f>
        <v>-1</v>
      </c>
      <c r="G550" s="5" t="str">
        <f>IF(E550="","Open",IF(F550&gt;0,"Delayed","Done"))</f>
        <v>Done</v>
      </c>
      <c r="H550" s="5" t="s">
        <v>321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x14ac:dyDescent="0.2">
      <c r="A551" s="5" t="s">
        <v>973</v>
      </c>
      <c r="B551" s="5" t="s">
        <v>229</v>
      </c>
      <c r="C551" s="5" t="s">
        <v>420</v>
      </c>
      <c r="D551" s="7">
        <v>46186</v>
      </c>
      <c r="E551" s="7">
        <v>46185</v>
      </c>
      <c r="F551" s="10">
        <f>IF(E551="","",E551-D551)</f>
        <v>-1</v>
      </c>
      <c r="G551" s="5" t="str">
        <f>IF(E551="","Open",IF(F551&gt;0,"Delayed","Done"))</f>
        <v>Done</v>
      </c>
      <c r="H551" s="5" t="s">
        <v>321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x14ac:dyDescent="0.2">
      <c r="A552" s="5" t="s">
        <v>974</v>
      </c>
      <c r="B552" s="5" t="s">
        <v>229</v>
      </c>
      <c r="C552" s="5" t="s">
        <v>422</v>
      </c>
      <c r="D552" s="7">
        <v>46190</v>
      </c>
      <c r="E552" s="7">
        <v>46189</v>
      </c>
      <c r="F552" s="10">
        <f>IF(E552="","",E552-D552)</f>
        <v>-1</v>
      </c>
      <c r="G552" s="5" t="str">
        <f>IF(E552="","Open",IF(F552&gt;0,"Delayed","Done"))</f>
        <v>Done</v>
      </c>
      <c r="H552" s="5" t="s">
        <v>321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x14ac:dyDescent="0.2">
      <c r="A553" s="5" t="s">
        <v>975</v>
      </c>
      <c r="B553" s="5" t="s">
        <v>229</v>
      </c>
      <c r="C553" s="5" t="s">
        <v>424</v>
      </c>
      <c r="D553" s="7">
        <v>46196</v>
      </c>
      <c r="E553" s="7">
        <v>46196</v>
      </c>
      <c r="F553" s="10">
        <f>IF(E553="","",E553-D553)</f>
        <v>0</v>
      </c>
      <c r="G553" s="5" t="str">
        <f>IF(E553="","Open",IF(F553&gt;0,"Delayed","Done"))</f>
        <v>Done</v>
      </c>
      <c r="H553" s="5" t="s">
        <v>326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x14ac:dyDescent="0.2">
      <c r="A554" s="5" t="s">
        <v>976</v>
      </c>
      <c r="B554" s="5" t="s">
        <v>229</v>
      </c>
      <c r="C554" s="5" t="s">
        <v>426</v>
      </c>
      <c r="D554" s="7">
        <v>46198</v>
      </c>
      <c r="E554" s="7"/>
      <c r="F554" s="10" t="str">
        <f>IF(E554="","",E554-D554)</f>
        <v/>
      </c>
      <c r="G554" s="5" t="str">
        <f>IF(E554="","Open",IF(F554&gt;0,"Delayed","Done"))</f>
        <v>Open</v>
      </c>
      <c r="H554" s="5" t="s">
        <v>326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x14ac:dyDescent="0.2">
      <c r="A555" s="5" t="s">
        <v>977</v>
      </c>
      <c r="B555" s="5" t="s">
        <v>229</v>
      </c>
      <c r="C555" s="5" t="s">
        <v>428</v>
      </c>
      <c r="D555" s="7">
        <v>46200</v>
      </c>
      <c r="E555" s="7"/>
      <c r="F555" s="10" t="str">
        <f>IF(E555="","",E555-D555)</f>
        <v/>
      </c>
      <c r="G555" s="5" t="str">
        <f>IF(E555="","Open",IF(F555&gt;0,"Delayed","Done"))</f>
        <v>Open</v>
      </c>
      <c r="H555" s="5" t="s">
        <v>326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x14ac:dyDescent="0.2">
      <c r="A556" s="5" t="s">
        <v>978</v>
      </c>
      <c r="B556" s="5" t="s">
        <v>229</v>
      </c>
      <c r="C556" s="5" t="s">
        <v>430</v>
      </c>
      <c r="D556" s="7">
        <v>46203</v>
      </c>
      <c r="E556" s="7"/>
      <c r="F556" s="10" t="str">
        <f>IF(E556="","",E556-D556)</f>
        <v/>
      </c>
      <c r="G556" s="5" t="str">
        <f>IF(E556="","Open",IF(F556&gt;0,"Delayed","Done"))</f>
        <v>Open</v>
      </c>
      <c r="H556" s="5" t="s">
        <v>326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x14ac:dyDescent="0.2">
      <c r="A557" s="5" t="s">
        <v>979</v>
      </c>
      <c r="B557" s="5" t="s">
        <v>229</v>
      </c>
      <c r="C557" s="5" t="s">
        <v>432</v>
      </c>
      <c r="D557" s="7">
        <v>46207</v>
      </c>
      <c r="E557" s="7">
        <v>46209</v>
      </c>
      <c r="F557" s="10">
        <f>IF(E557="","",E557-D557)</f>
        <v>2</v>
      </c>
      <c r="G557" s="5" t="str">
        <f>IF(E557="","Open",IF(F557&gt;0,"Delayed","Done"))</f>
        <v>Delayed</v>
      </c>
      <c r="H557" s="5" t="s">
        <v>321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x14ac:dyDescent="0.2">
      <c r="A558" s="5" t="s">
        <v>980</v>
      </c>
      <c r="B558" s="5" t="s">
        <v>229</v>
      </c>
      <c r="C558" s="5" t="s">
        <v>434</v>
      </c>
      <c r="D558" s="7">
        <v>46209</v>
      </c>
      <c r="E558" s="7">
        <v>46207</v>
      </c>
      <c r="F558" s="10">
        <f>IF(E558="","",E558-D558)</f>
        <v>-2</v>
      </c>
      <c r="G558" s="5" t="str">
        <f>IF(E558="","Open",IF(F558&gt;0,"Delayed","Done"))</f>
        <v>Done</v>
      </c>
      <c r="H558" s="5" t="s">
        <v>321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x14ac:dyDescent="0.2">
      <c r="A559" s="5" t="s">
        <v>981</v>
      </c>
      <c r="B559" s="5" t="s">
        <v>229</v>
      </c>
      <c r="C559" s="5" t="s">
        <v>436</v>
      </c>
      <c r="D559" s="7">
        <v>46211</v>
      </c>
      <c r="E559" s="7">
        <v>46211</v>
      </c>
      <c r="F559" s="10">
        <f>IF(E559="","",E559-D559)</f>
        <v>0</v>
      </c>
      <c r="G559" s="5" t="str">
        <f>IF(E559="","Open",IF(F559&gt;0,"Delayed","Done"))</f>
        <v>Done</v>
      </c>
      <c r="H559" s="5" t="s">
        <v>326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x14ac:dyDescent="0.2">
      <c r="A560" s="5" t="s">
        <v>982</v>
      </c>
      <c r="B560" s="5" t="s">
        <v>229</v>
      </c>
      <c r="C560" s="5" t="s">
        <v>274</v>
      </c>
      <c r="D560" s="7">
        <v>46212</v>
      </c>
      <c r="E560" s="7"/>
      <c r="F560" s="10" t="str">
        <f>IF(E560="","",E560-D560)</f>
        <v/>
      </c>
      <c r="G560" s="5" t="str">
        <f>IF(E560="","Open",IF(F560&gt;0,"Delayed","Done"))</f>
        <v>Open</v>
      </c>
      <c r="H560" s="5" t="s">
        <v>321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x14ac:dyDescent="0.2">
      <c r="A561" s="5" t="s">
        <v>983</v>
      </c>
      <c r="B561" s="5" t="s">
        <v>229</v>
      </c>
      <c r="C561" s="5" t="s">
        <v>439</v>
      </c>
      <c r="D561" s="7">
        <v>46214</v>
      </c>
      <c r="E561" s="7">
        <v>46214</v>
      </c>
      <c r="F561" s="10">
        <f>IF(E561="","",E561-D561)</f>
        <v>0</v>
      </c>
      <c r="G561" s="5" t="str">
        <f>IF(E561="","Open",IF(F561&gt;0,"Delayed","Done"))</f>
        <v>Done</v>
      </c>
      <c r="H561" s="5" t="s">
        <v>326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x14ac:dyDescent="0.2">
      <c r="A562" s="5" t="s">
        <v>984</v>
      </c>
      <c r="B562" s="5" t="s">
        <v>230</v>
      </c>
      <c r="C562" s="5" t="s">
        <v>410</v>
      </c>
      <c r="D562" s="7">
        <v>46184</v>
      </c>
      <c r="E562" s="7">
        <v>46183</v>
      </c>
      <c r="F562" s="10">
        <f>IF(E562="","",E562-D562)</f>
        <v>-1</v>
      </c>
      <c r="G562" s="5" t="str">
        <f>IF(E562="","Open",IF(F562&gt;0,"Delayed","Done"))</f>
        <v>Done</v>
      </c>
      <c r="H562" s="5" t="s">
        <v>321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x14ac:dyDescent="0.2">
      <c r="A563" s="5" t="s">
        <v>985</v>
      </c>
      <c r="B563" s="5" t="s">
        <v>230</v>
      </c>
      <c r="C563" s="5" t="s">
        <v>412</v>
      </c>
      <c r="D563" s="7">
        <v>46187</v>
      </c>
      <c r="E563" s="7"/>
      <c r="F563" s="10" t="str">
        <f>IF(E563="","",E563-D563)</f>
        <v/>
      </c>
      <c r="G563" s="5" t="str">
        <f>IF(E563="","Open",IF(F563&gt;0,"Delayed","Done"))</f>
        <v>Open</v>
      </c>
      <c r="H563" s="5" t="s">
        <v>321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x14ac:dyDescent="0.2">
      <c r="A564" s="5" t="s">
        <v>986</v>
      </c>
      <c r="B564" s="5" t="s">
        <v>230</v>
      </c>
      <c r="C564" s="5" t="s">
        <v>414</v>
      </c>
      <c r="D564" s="7">
        <v>46189</v>
      </c>
      <c r="E564" s="7"/>
      <c r="F564" s="10" t="str">
        <f>IF(E564="","",E564-D564)</f>
        <v/>
      </c>
      <c r="G564" s="5" t="str">
        <f>IF(E564="","Open",IF(F564&gt;0,"Delayed","Done"))</f>
        <v>Open</v>
      </c>
      <c r="H564" s="5" t="s">
        <v>321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x14ac:dyDescent="0.2">
      <c r="A565" s="5" t="s">
        <v>987</v>
      </c>
      <c r="B565" s="5" t="s">
        <v>230</v>
      </c>
      <c r="C565" s="5" t="s">
        <v>416</v>
      </c>
      <c r="D565" s="7">
        <v>46191</v>
      </c>
      <c r="E565" s="7"/>
      <c r="F565" s="10" t="str">
        <f>IF(E565="","",E565-D565)</f>
        <v/>
      </c>
      <c r="G565" s="5" t="str">
        <f>IF(E565="","Open",IF(F565&gt;0,"Delayed","Done"))</f>
        <v>Open</v>
      </c>
      <c r="H565" s="5" t="s">
        <v>321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x14ac:dyDescent="0.2">
      <c r="A566" s="5" t="s">
        <v>988</v>
      </c>
      <c r="B566" s="5" t="s">
        <v>230</v>
      </c>
      <c r="C566" s="5" t="s">
        <v>418</v>
      </c>
      <c r="D566" s="7">
        <v>46195</v>
      </c>
      <c r="E566" s="7">
        <v>46194</v>
      </c>
      <c r="F566" s="10">
        <f>IF(E566="","",E566-D566)</f>
        <v>-1</v>
      </c>
      <c r="G566" s="5" t="str">
        <f>IF(E566="","Open",IF(F566&gt;0,"Delayed","Done"))</f>
        <v>Done</v>
      </c>
      <c r="H566" s="5" t="s">
        <v>321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x14ac:dyDescent="0.2">
      <c r="A567" s="5" t="s">
        <v>989</v>
      </c>
      <c r="B567" s="5" t="s">
        <v>230</v>
      </c>
      <c r="C567" s="5" t="s">
        <v>420</v>
      </c>
      <c r="D567" s="7">
        <v>46201</v>
      </c>
      <c r="E567" s="7"/>
      <c r="F567" s="10" t="str">
        <f>IF(E567="","",E567-D567)</f>
        <v/>
      </c>
      <c r="G567" s="5" t="str">
        <f>IF(E567="","Open",IF(F567&gt;0,"Delayed","Done"))</f>
        <v>Open</v>
      </c>
      <c r="H567" s="5" t="s">
        <v>321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x14ac:dyDescent="0.2">
      <c r="A568" s="5" t="s">
        <v>990</v>
      </c>
      <c r="B568" s="5" t="s">
        <v>230</v>
      </c>
      <c r="C568" s="5" t="s">
        <v>422</v>
      </c>
      <c r="D568" s="7">
        <v>46205</v>
      </c>
      <c r="E568" s="7">
        <v>46204</v>
      </c>
      <c r="F568" s="10">
        <f>IF(E568="","",E568-D568)</f>
        <v>-1</v>
      </c>
      <c r="G568" s="5" t="str">
        <f>IF(E568="","Open",IF(F568&gt;0,"Delayed","Done"))</f>
        <v>Done</v>
      </c>
      <c r="H568" s="5" t="s">
        <v>321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x14ac:dyDescent="0.2">
      <c r="A569" s="5" t="s">
        <v>991</v>
      </c>
      <c r="B569" s="5" t="s">
        <v>230</v>
      </c>
      <c r="C569" s="5" t="s">
        <v>424</v>
      </c>
      <c r="D569" s="7">
        <v>46211</v>
      </c>
      <c r="E569" s="7"/>
      <c r="F569" s="10" t="str">
        <f>IF(E569="","",E569-D569)</f>
        <v/>
      </c>
      <c r="G569" s="5" t="str">
        <f>IF(E569="","Open",IF(F569&gt;0,"Delayed","Done"))</f>
        <v>Open</v>
      </c>
      <c r="H569" s="5" t="s">
        <v>326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x14ac:dyDescent="0.2">
      <c r="A570" s="5" t="s">
        <v>992</v>
      </c>
      <c r="B570" s="5" t="s">
        <v>230</v>
      </c>
      <c r="C570" s="5" t="s">
        <v>426</v>
      </c>
      <c r="D570" s="7">
        <v>46213</v>
      </c>
      <c r="E570" s="7">
        <v>46216</v>
      </c>
      <c r="F570" s="10">
        <f>IF(E570="","",E570-D570)</f>
        <v>3</v>
      </c>
      <c r="G570" s="5" t="str">
        <f>IF(E570="","Open",IF(F570&gt;0,"Delayed","Done"))</f>
        <v>Delayed</v>
      </c>
      <c r="H570" s="5" t="s">
        <v>326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x14ac:dyDescent="0.2">
      <c r="A571" s="5" t="s">
        <v>993</v>
      </c>
      <c r="B571" s="5" t="s">
        <v>230</v>
      </c>
      <c r="C571" s="5" t="s">
        <v>428</v>
      </c>
      <c r="D571" s="7">
        <v>46215</v>
      </c>
      <c r="E571" s="7"/>
      <c r="F571" s="10" t="str">
        <f>IF(E571="","",E571-D571)</f>
        <v/>
      </c>
      <c r="G571" s="5" t="str">
        <f>IF(E571="","Open",IF(F571&gt;0,"Delayed","Done"))</f>
        <v>Open</v>
      </c>
      <c r="H571" s="5" t="s">
        <v>326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x14ac:dyDescent="0.2">
      <c r="A572" s="5" t="s">
        <v>994</v>
      </c>
      <c r="B572" s="5" t="s">
        <v>230</v>
      </c>
      <c r="C572" s="5" t="s">
        <v>430</v>
      </c>
      <c r="D572" s="7">
        <v>46218</v>
      </c>
      <c r="E572" s="7">
        <v>46221</v>
      </c>
      <c r="F572" s="10">
        <f>IF(E572="","",E572-D572)</f>
        <v>3</v>
      </c>
      <c r="G572" s="5" t="str">
        <f>IF(E572="","Open",IF(F572&gt;0,"Delayed","Done"))</f>
        <v>Delayed</v>
      </c>
      <c r="H572" s="5" t="s">
        <v>326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x14ac:dyDescent="0.2">
      <c r="A573" s="5" t="s">
        <v>995</v>
      </c>
      <c r="B573" s="5" t="s">
        <v>230</v>
      </c>
      <c r="C573" s="5" t="s">
        <v>432</v>
      </c>
      <c r="D573" s="7">
        <v>46222</v>
      </c>
      <c r="E573" s="7">
        <v>46222</v>
      </c>
      <c r="F573" s="10">
        <f>IF(E573="","",E573-D573)</f>
        <v>0</v>
      </c>
      <c r="G573" s="5" t="str">
        <f>IF(E573="","Open",IF(F573&gt;0,"Delayed","Done"))</f>
        <v>Done</v>
      </c>
      <c r="H573" s="5" t="s">
        <v>321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x14ac:dyDescent="0.2">
      <c r="A574" s="5" t="s">
        <v>996</v>
      </c>
      <c r="B574" s="5" t="s">
        <v>230</v>
      </c>
      <c r="C574" s="5" t="s">
        <v>434</v>
      </c>
      <c r="D574" s="7">
        <v>46224</v>
      </c>
      <c r="E574" s="7"/>
      <c r="F574" s="10" t="str">
        <f>IF(E574="","",E574-D574)</f>
        <v/>
      </c>
      <c r="G574" s="5" t="str">
        <f>IF(E574="","Open",IF(F574&gt;0,"Delayed","Done"))</f>
        <v>Open</v>
      </c>
      <c r="H574" s="5" t="s">
        <v>321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x14ac:dyDescent="0.2">
      <c r="A575" s="5" t="s">
        <v>997</v>
      </c>
      <c r="B575" s="5" t="s">
        <v>230</v>
      </c>
      <c r="C575" s="5" t="s">
        <v>436</v>
      </c>
      <c r="D575" s="7">
        <v>46226</v>
      </c>
      <c r="E575" s="7"/>
      <c r="F575" s="10" t="str">
        <f>IF(E575="","",E575-D575)</f>
        <v/>
      </c>
      <c r="G575" s="5" t="str">
        <f>IF(E575="","Open",IF(F575&gt;0,"Delayed","Done"))</f>
        <v>Open</v>
      </c>
      <c r="H575" s="5" t="s">
        <v>326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x14ac:dyDescent="0.2">
      <c r="A576" s="5" t="s">
        <v>998</v>
      </c>
      <c r="B576" s="5" t="s">
        <v>230</v>
      </c>
      <c r="C576" s="5" t="s">
        <v>274</v>
      </c>
      <c r="D576" s="7">
        <v>46227</v>
      </c>
      <c r="E576" s="7">
        <v>46228</v>
      </c>
      <c r="F576" s="10">
        <f>IF(E576="","",E576-D576)</f>
        <v>1</v>
      </c>
      <c r="G576" s="5" t="str">
        <f>IF(E576="","Open",IF(F576&gt;0,"Delayed","Done"))</f>
        <v>Delayed</v>
      </c>
      <c r="H576" s="5" t="s">
        <v>321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x14ac:dyDescent="0.2">
      <c r="A577" s="5" t="s">
        <v>999</v>
      </c>
      <c r="B577" s="5" t="s">
        <v>230</v>
      </c>
      <c r="C577" s="5" t="s">
        <v>439</v>
      </c>
      <c r="D577" s="7">
        <v>46229</v>
      </c>
      <c r="E577" s="7">
        <v>46228</v>
      </c>
      <c r="F577" s="10">
        <f>IF(E577="","",E577-D577)</f>
        <v>-1</v>
      </c>
      <c r="G577" s="5" t="str">
        <f>IF(E577="","Open",IF(F577&gt;0,"Delayed","Done"))</f>
        <v>Done</v>
      </c>
      <c r="H577" s="5" t="s">
        <v>326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x14ac:dyDescent="0.2">
      <c r="A578" s="5" t="s">
        <v>1000</v>
      </c>
      <c r="B578" s="5" t="s">
        <v>231</v>
      </c>
      <c r="C578" s="5" t="s">
        <v>410</v>
      </c>
      <c r="D578" s="7">
        <v>46166</v>
      </c>
      <c r="E578" s="7">
        <v>46164</v>
      </c>
      <c r="F578" s="10">
        <f>IF(E578="","",E578-D578)</f>
        <v>-2</v>
      </c>
      <c r="G578" s="5" t="str">
        <f>IF(E578="","Open",IF(F578&gt;0,"Delayed","Done"))</f>
        <v>Done</v>
      </c>
      <c r="H578" s="5" t="s">
        <v>321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x14ac:dyDescent="0.2">
      <c r="A579" s="5" t="s">
        <v>1001</v>
      </c>
      <c r="B579" s="5" t="s">
        <v>231</v>
      </c>
      <c r="C579" s="5" t="s">
        <v>412</v>
      </c>
      <c r="D579" s="7">
        <v>46169</v>
      </c>
      <c r="E579" s="7">
        <v>46169</v>
      </c>
      <c r="F579" s="10">
        <f>IF(E579="","",E579-D579)</f>
        <v>0</v>
      </c>
      <c r="G579" s="5" t="str">
        <f>IF(E579="","Open",IF(F579&gt;0,"Delayed","Done"))</f>
        <v>Done</v>
      </c>
      <c r="H579" s="5" t="s">
        <v>321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x14ac:dyDescent="0.2">
      <c r="A580" s="5" t="s">
        <v>1002</v>
      </c>
      <c r="B580" s="5" t="s">
        <v>231</v>
      </c>
      <c r="C580" s="5" t="s">
        <v>414</v>
      </c>
      <c r="D580" s="7">
        <v>46171</v>
      </c>
      <c r="E580" s="7"/>
      <c r="F580" s="10" t="str">
        <f>IF(E580="","",E580-D580)</f>
        <v/>
      </c>
      <c r="G580" s="5" t="str">
        <f>IF(E580="","Open",IF(F580&gt;0,"Delayed","Done"))</f>
        <v>Open</v>
      </c>
      <c r="H580" s="5" t="s">
        <v>321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x14ac:dyDescent="0.2">
      <c r="A581" s="5" t="s">
        <v>1003</v>
      </c>
      <c r="B581" s="5" t="s">
        <v>231</v>
      </c>
      <c r="C581" s="5" t="s">
        <v>416</v>
      </c>
      <c r="D581" s="7">
        <v>46173</v>
      </c>
      <c r="E581" s="7">
        <v>46174</v>
      </c>
      <c r="F581" s="10">
        <f>IF(E581="","",E581-D581)</f>
        <v>1</v>
      </c>
      <c r="G581" s="5" t="str">
        <f>IF(E581="","Open",IF(F581&gt;0,"Delayed","Done"))</f>
        <v>Delayed</v>
      </c>
      <c r="H581" s="5" t="s">
        <v>321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x14ac:dyDescent="0.2">
      <c r="A582" s="5" t="s">
        <v>1004</v>
      </c>
      <c r="B582" s="5" t="s">
        <v>231</v>
      </c>
      <c r="C582" s="5" t="s">
        <v>418</v>
      </c>
      <c r="D582" s="7">
        <v>46177</v>
      </c>
      <c r="E582" s="7"/>
      <c r="F582" s="10" t="str">
        <f>IF(E582="","",E582-D582)</f>
        <v/>
      </c>
      <c r="G582" s="5" t="str">
        <f>IF(E582="","Open",IF(F582&gt;0,"Delayed","Done"))</f>
        <v>Open</v>
      </c>
      <c r="H582" s="5" t="s">
        <v>321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x14ac:dyDescent="0.2">
      <c r="A583" s="5" t="s">
        <v>1005</v>
      </c>
      <c r="B583" s="5" t="s">
        <v>231</v>
      </c>
      <c r="C583" s="5" t="s">
        <v>420</v>
      </c>
      <c r="D583" s="7">
        <v>46183</v>
      </c>
      <c r="E583" s="7"/>
      <c r="F583" s="10" t="str">
        <f>IF(E583="","",E583-D583)</f>
        <v/>
      </c>
      <c r="G583" s="5" t="str">
        <f>IF(E583="","Open",IF(F583&gt;0,"Delayed","Done"))</f>
        <v>Open</v>
      </c>
      <c r="H583" s="5" t="s">
        <v>321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x14ac:dyDescent="0.2">
      <c r="A584" s="5" t="s">
        <v>1006</v>
      </c>
      <c r="B584" s="5" t="s">
        <v>231</v>
      </c>
      <c r="C584" s="5" t="s">
        <v>422</v>
      </c>
      <c r="D584" s="7">
        <v>46187</v>
      </c>
      <c r="E584" s="7">
        <v>46186</v>
      </c>
      <c r="F584" s="10">
        <f>IF(E584="","",E584-D584)</f>
        <v>-1</v>
      </c>
      <c r="G584" s="5" t="str">
        <f>IF(E584="","Open",IF(F584&gt;0,"Delayed","Done"))</f>
        <v>Done</v>
      </c>
      <c r="H584" s="5" t="s">
        <v>321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x14ac:dyDescent="0.2">
      <c r="A585" s="5" t="s">
        <v>1007</v>
      </c>
      <c r="B585" s="5" t="s">
        <v>231</v>
      </c>
      <c r="C585" s="5" t="s">
        <v>424</v>
      </c>
      <c r="D585" s="7">
        <v>46193</v>
      </c>
      <c r="E585" s="7">
        <v>46194</v>
      </c>
      <c r="F585" s="10">
        <f>IF(E585="","",E585-D585)</f>
        <v>1</v>
      </c>
      <c r="G585" s="5" t="str">
        <f>IF(E585="","Open",IF(F585&gt;0,"Delayed","Done"))</f>
        <v>Delayed</v>
      </c>
      <c r="H585" s="5" t="s">
        <v>326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x14ac:dyDescent="0.2">
      <c r="A586" s="5" t="s">
        <v>1008</v>
      </c>
      <c r="B586" s="5" t="s">
        <v>231</v>
      </c>
      <c r="C586" s="5" t="s">
        <v>426</v>
      </c>
      <c r="D586" s="7">
        <v>46195</v>
      </c>
      <c r="E586" s="7">
        <v>46197</v>
      </c>
      <c r="F586" s="10">
        <f>IF(E586="","",E586-D586)</f>
        <v>2</v>
      </c>
      <c r="G586" s="5" t="str">
        <f>IF(E586="","Open",IF(F586&gt;0,"Delayed","Done"))</f>
        <v>Delayed</v>
      </c>
      <c r="H586" s="5" t="s">
        <v>326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x14ac:dyDescent="0.2">
      <c r="A587" s="5" t="s">
        <v>1009</v>
      </c>
      <c r="B587" s="5" t="s">
        <v>231</v>
      </c>
      <c r="C587" s="5" t="s">
        <v>428</v>
      </c>
      <c r="D587" s="7">
        <v>46197</v>
      </c>
      <c r="E587" s="7">
        <v>46200</v>
      </c>
      <c r="F587" s="10">
        <f>IF(E587="","",E587-D587)</f>
        <v>3</v>
      </c>
      <c r="G587" s="5" t="str">
        <f>IF(E587="","Open",IF(F587&gt;0,"Delayed","Done"))</f>
        <v>Delayed</v>
      </c>
      <c r="H587" s="5" t="s">
        <v>326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x14ac:dyDescent="0.2">
      <c r="A588" s="5" t="s">
        <v>1010</v>
      </c>
      <c r="B588" s="5" t="s">
        <v>231</v>
      </c>
      <c r="C588" s="5" t="s">
        <v>430</v>
      </c>
      <c r="D588" s="7">
        <v>46200</v>
      </c>
      <c r="E588" s="7">
        <v>46202</v>
      </c>
      <c r="F588" s="10">
        <f>IF(E588="","",E588-D588)</f>
        <v>2</v>
      </c>
      <c r="G588" s="5" t="str">
        <f>IF(E588="","Open",IF(F588&gt;0,"Delayed","Done"))</f>
        <v>Delayed</v>
      </c>
      <c r="H588" s="5" t="s">
        <v>326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x14ac:dyDescent="0.2">
      <c r="A589" s="5" t="s">
        <v>1011</v>
      </c>
      <c r="B589" s="5" t="s">
        <v>231</v>
      </c>
      <c r="C589" s="5" t="s">
        <v>432</v>
      </c>
      <c r="D589" s="7">
        <v>46204</v>
      </c>
      <c r="E589" s="7"/>
      <c r="F589" s="10" t="str">
        <f>IF(E589="","",E589-D589)</f>
        <v/>
      </c>
      <c r="G589" s="5" t="str">
        <f>IF(E589="","Open",IF(F589&gt;0,"Delayed","Done"))</f>
        <v>Open</v>
      </c>
      <c r="H589" s="5" t="s">
        <v>321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x14ac:dyDescent="0.2">
      <c r="A590" s="5" t="s">
        <v>1012</v>
      </c>
      <c r="B590" s="5" t="s">
        <v>231</v>
      </c>
      <c r="C590" s="5" t="s">
        <v>434</v>
      </c>
      <c r="D590" s="7">
        <v>46206</v>
      </c>
      <c r="E590" s="7">
        <v>46208</v>
      </c>
      <c r="F590" s="10">
        <f>IF(E590="","",E590-D590)</f>
        <v>2</v>
      </c>
      <c r="G590" s="5" t="str">
        <f>IF(E590="","Open",IF(F590&gt;0,"Delayed","Done"))</f>
        <v>Delayed</v>
      </c>
      <c r="H590" s="5" t="s">
        <v>321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x14ac:dyDescent="0.2">
      <c r="A591" s="5" t="s">
        <v>1013</v>
      </c>
      <c r="B591" s="5" t="s">
        <v>231</v>
      </c>
      <c r="C591" s="5" t="s">
        <v>436</v>
      </c>
      <c r="D591" s="7">
        <v>46208</v>
      </c>
      <c r="E591" s="7">
        <v>46208</v>
      </c>
      <c r="F591" s="10">
        <f>IF(E591="","",E591-D591)</f>
        <v>0</v>
      </c>
      <c r="G591" s="5" t="str">
        <f>IF(E591="","Open",IF(F591&gt;0,"Delayed","Done"))</f>
        <v>Done</v>
      </c>
      <c r="H591" s="5" t="s">
        <v>326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x14ac:dyDescent="0.2">
      <c r="A592" s="5" t="s">
        <v>1014</v>
      </c>
      <c r="B592" s="5" t="s">
        <v>231</v>
      </c>
      <c r="C592" s="5" t="s">
        <v>274</v>
      </c>
      <c r="D592" s="7">
        <v>46209</v>
      </c>
      <c r="E592" s="7">
        <v>46207</v>
      </c>
      <c r="F592" s="10">
        <f>IF(E592="","",E592-D592)</f>
        <v>-2</v>
      </c>
      <c r="G592" s="5" t="str">
        <f>IF(E592="","Open",IF(F592&gt;0,"Delayed","Done"))</f>
        <v>Done</v>
      </c>
      <c r="H592" s="5" t="s">
        <v>321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x14ac:dyDescent="0.2">
      <c r="A593" s="5" t="s">
        <v>1015</v>
      </c>
      <c r="B593" s="5" t="s">
        <v>231</v>
      </c>
      <c r="C593" s="5" t="s">
        <v>439</v>
      </c>
      <c r="D593" s="7">
        <v>46211</v>
      </c>
      <c r="E593" s="7"/>
      <c r="F593" s="10" t="str">
        <f>IF(E593="","",E593-D593)</f>
        <v/>
      </c>
      <c r="G593" s="5" t="str">
        <f>IF(E593="","Open",IF(F593&gt;0,"Delayed","Done"))</f>
        <v>Open</v>
      </c>
      <c r="H593" s="5" t="s">
        <v>326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x14ac:dyDescent="0.2">
      <c r="A594" s="5" t="s">
        <v>1016</v>
      </c>
      <c r="B594" s="5" t="s">
        <v>232</v>
      </c>
      <c r="C594" s="5" t="s">
        <v>410</v>
      </c>
      <c r="D594" s="7">
        <v>46144</v>
      </c>
      <c r="E594" s="7"/>
      <c r="F594" s="10" t="str">
        <f>IF(E594="","",E594-D594)</f>
        <v/>
      </c>
      <c r="G594" s="5" t="str">
        <f>IF(E594="","Open",IF(F594&gt;0,"Delayed","Done"))</f>
        <v>Open</v>
      </c>
      <c r="H594" s="5" t="s">
        <v>321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x14ac:dyDescent="0.2">
      <c r="A595" s="5" t="s">
        <v>1017</v>
      </c>
      <c r="B595" s="5" t="s">
        <v>232</v>
      </c>
      <c r="C595" s="5" t="s">
        <v>412</v>
      </c>
      <c r="D595" s="7">
        <v>46147</v>
      </c>
      <c r="E595" s="7">
        <v>46150</v>
      </c>
      <c r="F595" s="10">
        <f>IF(E595="","",E595-D595)</f>
        <v>3</v>
      </c>
      <c r="G595" s="5" t="str">
        <f>IF(E595="","Open",IF(F595&gt;0,"Delayed","Done"))</f>
        <v>Delayed</v>
      </c>
      <c r="H595" s="5" t="s">
        <v>321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x14ac:dyDescent="0.2">
      <c r="A596" s="5" t="s">
        <v>1018</v>
      </c>
      <c r="B596" s="5" t="s">
        <v>232</v>
      </c>
      <c r="C596" s="5" t="s">
        <v>414</v>
      </c>
      <c r="D596" s="7">
        <v>46149</v>
      </c>
      <c r="E596" s="7"/>
      <c r="F596" s="10" t="str">
        <f>IF(E596="","",E596-D596)</f>
        <v/>
      </c>
      <c r="G596" s="5" t="str">
        <f>IF(E596="","Open",IF(F596&gt;0,"Delayed","Done"))</f>
        <v>Open</v>
      </c>
      <c r="H596" s="5" t="s">
        <v>321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x14ac:dyDescent="0.2">
      <c r="A597" s="5" t="s">
        <v>1019</v>
      </c>
      <c r="B597" s="5" t="s">
        <v>232</v>
      </c>
      <c r="C597" s="5" t="s">
        <v>416</v>
      </c>
      <c r="D597" s="7">
        <v>46151</v>
      </c>
      <c r="E597" s="7"/>
      <c r="F597" s="10" t="str">
        <f>IF(E597="","",E597-D597)</f>
        <v/>
      </c>
      <c r="G597" s="5" t="str">
        <f>IF(E597="","Open",IF(F597&gt;0,"Delayed","Done"))</f>
        <v>Open</v>
      </c>
      <c r="H597" s="5" t="s">
        <v>321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x14ac:dyDescent="0.2">
      <c r="A598" s="5" t="s">
        <v>1020</v>
      </c>
      <c r="B598" s="5" t="s">
        <v>232</v>
      </c>
      <c r="C598" s="5" t="s">
        <v>418</v>
      </c>
      <c r="D598" s="7">
        <v>46155</v>
      </c>
      <c r="E598" s="7">
        <v>46157</v>
      </c>
      <c r="F598" s="10">
        <f>IF(E598="","",E598-D598)</f>
        <v>2</v>
      </c>
      <c r="G598" s="5" t="str">
        <f>IF(E598="","Open",IF(F598&gt;0,"Delayed","Done"))</f>
        <v>Delayed</v>
      </c>
      <c r="H598" s="5" t="s">
        <v>321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x14ac:dyDescent="0.2">
      <c r="A599" s="5" t="s">
        <v>1021</v>
      </c>
      <c r="B599" s="5" t="s">
        <v>232</v>
      </c>
      <c r="C599" s="5" t="s">
        <v>420</v>
      </c>
      <c r="D599" s="7">
        <v>46161</v>
      </c>
      <c r="E599" s="7"/>
      <c r="F599" s="10" t="str">
        <f>IF(E599="","",E599-D599)</f>
        <v/>
      </c>
      <c r="G599" s="5" t="str">
        <f>IF(E599="","Open",IF(F599&gt;0,"Delayed","Done"))</f>
        <v>Open</v>
      </c>
      <c r="H599" s="5" t="s">
        <v>321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x14ac:dyDescent="0.2">
      <c r="A600" s="5" t="s">
        <v>1022</v>
      </c>
      <c r="B600" s="5" t="s">
        <v>232</v>
      </c>
      <c r="C600" s="5" t="s">
        <v>422</v>
      </c>
      <c r="D600" s="7">
        <v>46165</v>
      </c>
      <c r="E600" s="7">
        <v>46165</v>
      </c>
      <c r="F600" s="10">
        <f>IF(E600="","",E600-D600)</f>
        <v>0</v>
      </c>
      <c r="G600" s="5" t="str">
        <f>IF(E600="","Open",IF(F600&gt;0,"Delayed","Done"))</f>
        <v>Done</v>
      </c>
      <c r="H600" s="5" t="s">
        <v>321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x14ac:dyDescent="0.2">
      <c r="A601" s="5" t="s">
        <v>1023</v>
      </c>
      <c r="B601" s="5" t="s">
        <v>232</v>
      </c>
      <c r="C601" s="5" t="s">
        <v>424</v>
      </c>
      <c r="D601" s="7">
        <v>46171</v>
      </c>
      <c r="E601" s="7">
        <v>46174</v>
      </c>
      <c r="F601" s="10">
        <f>IF(E601="","",E601-D601)</f>
        <v>3</v>
      </c>
      <c r="G601" s="5" t="str">
        <f>IF(E601="","Open",IF(F601&gt;0,"Delayed","Done"))</f>
        <v>Delayed</v>
      </c>
      <c r="H601" s="5" t="s">
        <v>326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x14ac:dyDescent="0.2">
      <c r="A602" s="5" t="s">
        <v>1024</v>
      </c>
      <c r="B602" s="5" t="s">
        <v>232</v>
      </c>
      <c r="C602" s="5" t="s">
        <v>426</v>
      </c>
      <c r="D602" s="7">
        <v>46173</v>
      </c>
      <c r="E602" s="7">
        <v>46175</v>
      </c>
      <c r="F602" s="10">
        <f>IF(E602="","",E602-D602)</f>
        <v>2</v>
      </c>
      <c r="G602" s="5" t="str">
        <f>IF(E602="","Open",IF(F602&gt;0,"Delayed","Done"))</f>
        <v>Delayed</v>
      </c>
      <c r="H602" s="5" t="s">
        <v>326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x14ac:dyDescent="0.2">
      <c r="A603" s="5" t="s">
        <v>1025</v>
      </c>
      <c r="B603" s="5" t="s">
        <v>232</v>
      </c>
      <c r="C603" s="5" t="s">
        <v>428</v>
      </c>
      <c r="D603" s="7">
        <v>46175</v>
      </c>
      <c r="E603" s="7">
        <v>46174</v>
      </c>
      <c r="F603" s="10">
        <f>IF(E603="","",E603-D603)</f>
        <v>-1</v>
      </c>
      <c r="G603" s="5" t="str">
        <f>IF(E603="","Open",IF(F603&gt;0,"Delayed","Done"))</f>
        <v>Done</v>
      </c>
      <c r="H603" s="5" t="s">
        <v>326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x14ac:dyDescent="0.2">
      <c r="A604" s="5" t="s">
        <v>1026</v>
      </c>
      <c r="B604" s="5" t="s">
        <v>232</v>
      </c>
      <c r="C604" s="5" t="s">
        <v>430</v>
      </c>
      <c r="D604" s="7">
        <v>46178</v>
      </c>
      <c r="E604" s="7">
        <v>46179</v>
      </c>
      <c r="F604" s="10">
        <f>IF(E604="","",E604-D604)</f>
        <v>1</v>
      </c>
      <c r="G604" s="5" t="str">
        <f>IF(E604="","Open",IF(F604&gt;0,"Delayed","Done"))</f>
        <v>Delayed</v>
      </c>
      <c r="H604" s="5" t="s">
        <v>326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x14ac:dyDescent="0.2">
      <c r="A605" s="5" t="s">
        <v>1027</v>
      </c>
      <c r="B605" s="5" t="s">
        <v>232</v>
      </c>
      <c r="C605" s="5" t="s">
        <v>432</v>
      </c>
      <c r="D605" s="7">
        <v>46182</v>
      </c>
      <c r="E605" s="7">
        <v>46187</v>
      </c>
      <c r="F605" s="10">
        <f>IF(E605="","",E605-D605)</f>
        <v>5</v>
      </c>
      <c r="G605" s="5" t="str">
        <f>IF(E605="","Open",IF(F605&gt;0,"Delayed","Done"))</f>
        <v>Delayed</v>
      </c>
      <c r="H605" s="5" t="s">
        <v>321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x14ac:dyDescent="0.2">
      <c r="A606" s="5" t="s">
        <v>1028</v>
      </c>
      <c r="B606" s="5" t="s">
        <v>232</v>
      </c>
      <c r="C606" s="5" t="s">
        <v>434</v>
      </c>
      <c r="D606" s="7">
        <v>46184</v>
      </c>
      <c r="E606" s="7"/>
      <c r="F606" s="10" t="str">
        <f>IF(E606="","",E606-D606)</f>
        <v/>
      </c>
      <c r="G606" s="5" t="str">
        <f>IF(E606="","Open",IF(F606&gt;0,"Delayed","Done"))</f>
        <v>Open</v>
      </c>
      <c r="H606" s="5" t="s">
        <v>321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x14ac:dyDescent="0.2">
      <c r="A607" s="5" t="s">
        <v>1029</v>
      </c>
      <c r="B607" s="5" t="s">
        <v>232</v>
      </c>
      <c r="C607" s="5" t="s">
        <v>436</v>
      </c>
      <c r="D607" s="7">
        <v>46186</v>
      </c>
      <c r="E607" s="7">
        <v>46186</v>
      </c>
      <c r="F607" s="10">
        <f>IF(E607="","",E607-D607)</f>
        <v>0</v>
      </c>
      <c r="G607" s="5" t="str">
        <f>IF(E607="","Open",IF(F607&gt;0,"Delayed","Done"))</f>
        <v>Done</v>
      </c>
      <c r="H607" s="5" t="s">
        <v>326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x14ac:dyDescent="0.2">
      <c r="A608" s="5" t="s">
        <v>1030</v>
      </c>
      <c r="B608" s="5" t="s">
        <v>232</v>
      </c>
      <c r="C608" s="5" t="s">
        <v>274</v>
      </c>
      <c r="D608" s="7">
        <v>46187</v>
      </c>
      <c r="E608" s="7"/>
      <c r="F608" s="10" t="str">
        <f>IF(E608="","",E608-D608)</f>
        <v/>
      </c>
      <c r="G608" s="5" t="str">
        <f>IF(E608="","Open",IF(F608&gt;0,"Delayed","Done"))</f>
        <v>Open</v>
      </c>
      <c r="H608" s="5" t="s">
        <v>321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x14ac:dyDescent="0.2">
      <c r="A609" s="5" t="s">
        <v>1031</v>
      </c>
      <c r="B609" s="5" t="s">
        <v>232</v>
      </c>
      <c r="C609" s="5" t="s">
        <v>439</v>
      </c>
      <c r="D609" s="7">
        <v>46189</v>
      </c>
      <c r="E609" s="7"/>
      <c r="F609" s="10" t="str">
        <f>IF(E609="","",E609-D609)</f>
        <v/>
      </c>
      <c r="G609" s="5" t="str">
        <f>IF(E609="","Open",IF(F609&gt;0,"Delayed","Done"))</f>
        <v>Open</v>
      </c>
      <c r="H609" s="5" t="s">
        <v>326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x14ac:dyDescent="0.2">
      <c r="A610" s="5" t="s">
        <v>1032</v>
      </c>
      <c r="B610" s="5" t="s">
        <v>233</v>
      </c>
      <c r="C610" s="5" t="s">
        <v>410</v>
      </c>
      <c r="D610" s="7">
        <v>46228</v>
      </c>
      <c r="E610" s="7">
        <v>46233</v>
      </c>
      <c r="F610" s="10">
        <f>IF(E610="","",E610-D610)</f>
        <v>5</v>
      </c>
      <c r="G610" s="5" t="str">
        <f>IF(E610="","Open",IF(F610&gt;0,"Delayed","Done"))</f>
        <v>Delayed</v>
      </c>
      <c r="H610" s="5" t="s">
        <v>321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x14ac:dyDescent="0.2">
      <c r="A611" s="5" t="s">
        <v>1033</v>
      </c>
      <c r="B611" s="5" t="s">
        <v>233</v>
      </c>
      <c r="C611" s="5" t="s">
        <v>412</v>
      </c>
      <c r="D611" s="7">
        <v>46231</v>
      </c>
      <c r="E611" s="7"/>
      <c r="F611" s="10" t="str">
        <f>IF(E611="","",E611-D611)</f>
        <v/>
      </c>
      <c r="G611" s="5" t="str">
        <f>IF(E611="","Open",IF(F611&gt;0,"Delayed","Done"))</f>
        <v>Open</v>
      </c>
      <c r="H611" s="5" t="s">
        <v>321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x14ac:dyDescent="0.2">
      <c r="A612" s="5" t="s">
        <v>1034</v>
      </c>
      <c r="B612" s="5" t="s">
        <v>233</v>
      </c>
      <c r="C612" s="5" t="s">
        <v>414</v>
      </c>
      <c r="D612" s="7">
        <v>46233</v>
      </c>
      <c r="E612" s="7">
        <v>46235</v>
      </c>
      <c r="F612" s="10">
        <f>IF(E612="","",E612-D612)</f>
        <v>2</v>
      </c>
      <c r="G612" s="5" t="str">
        <f>IF(E612="","Open",IF(F612&gt;0,"Delayed","Done"))</f>
        <v>Delayed</v>
      </c>
      <c r="H612" s="5" t="s">
        <v>321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x14ac:dyDescent="0.2">
      <c r="A613" s="5" t="s">
        <v>1035</v>
      </c>
      <c r="B613" s="5" t="s">
        <v>233</v>
      </c>
      <c r="C613" s="5" t="s">
        <v>416</v>
      </c>
      <c r="D613" s="7">
        <v>46235</v>
      </c>
      <c r="E613" s="7"/>
      <c r="F613" s="10" t="str">
        <f>IF(E613="","",E613-D613)</f>
        <v/>
      </c>
      <c r="G613" s="5" t="str">
        <f>IF(E613="","Open",IF(F613&gt;0,"Delayed","Done"))</f>
        <v>Open</v>
      </c>
      <c r="H613" s="5" t="s">
        <v>321</v>
      </c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x14ac:dyDescent="0.2">
      <c r="A614" s="5" t="s">
        <v>1036</v>
      </c>
      <c r="B614" s="5" t="s">
        <v>233</v>
      </c>
      <c r="C614" s="5" t="s">
        <v>418</v>
      </c>
      <c r="D614" s="7">
        <v>46239</v>
      </c>
      <c r="E614" s="7">
        <v>46240</v>
      </c>
      <c r="F614" s="10">
        <f>IF(E614="","",E614-D614)</f>
        <v>1</v>
      </c>
      <c r="G614" s="5" t="str">
        <f>IF(E614="","Open",IF(F614&gt;0,"Delayed","Done"))</f>
        <v>Delayed</v>
      </c>
      <c r="H614" s="5" t="s">
        <v>321</v>
      </c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x14ac:dyDescent="0.2">
      <c r="A615" s="5" t="s">
        <v>1037</v>
      </c>
      <c r="B615" s="5" t="s">
        <v>233</v>
      </c>
      <c r="C615" s="5" t="s">
        <v>420</v>
      </c>
      <c r="D615" s="7">
        <v>46245</v>
      </c>
      <c r="E615" s="7"/>
      <c r="F615" s="10" t="str">
        <f>IF(E615="","",E615-D615)</f>
        <v/>
      </c>
      <c r="G615" s="5" t="str">
        <f>IF(E615="","Open",IF(F615&gt;0,"Delayed","Done"))</f>
        <v>Open</v>
      </c>
      <c r="H615" s="5" t="s">
        <v>321</v>
      </c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x14ac:dyDescent="0.2">
      <c r="A616" s="5" t="s">
        <v>1038</v>
      </c>
      <c r="B616" s="5" t="s">
        <v>233</v>
      </c>
      <c r="C616" s="5" t="s">
        <v>422</v>
      </c>
      <c r="D616" s="7">
        <v>46249</v>
      </c>
      <c r="E616" s="7">
        <v>46249</v>
      </c>
      <c r="F616" s="10">
        <f>IF(E616="","",E616-D616)</f>
        <v>0</v>
      </c>
      <c r="G616" s="5" t="str">
        <f>IF(E616="","Open",IF(F616&gt;0,"Delayed","Done"))</f>
        <v>Done</v>
      </c>
      <c r="H616" s="5" t="s">
        <v>321</v>
      </c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x14ac:dyDescent="0.2">
      <c r="A617" s="5" t="s">
        <v>1039</v>
      </c>
      <c r="B617" s="5" t="s">
        <v>233</v>
      </c>
      <c r="C617" s="5" t="s">
        <v>424</v>
      </c>
      <c r="D617" s="7">
        <v>46255</v>
      </c>
      <c r="E617" s="7"/>
      <c r="F617" s="10" t="str">
        <f>IF(E617="","",E617-D617)</f>
        <v/>
      </c>
      <c r="G617" s="5" t="str">
        <f>IF(E617="","Open",IF(F617&gt;0,"Delayed","Done"))</f>
        <v>Open</v>
      </c>
      <c r="H617" s="5" t="s">
        <v>326</v>
      </c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x14ac:dyDescent="0.2">
      <c r="A618" s="5" t="s">
        <v>1040</v>
      </c>
      <c r="B618" s="5" t="s">
        <v>233</v>
      </c>
      <c r="C618" s="5" t="s">
        <v>426</v>
      </c>
      <c r="D618" s="7">
        <v>46257</v>
      </c>
      <c r="E618" s="7">
        <v>46255</v>
      </c>
      <c r="F618" s="10">
        <f>IF(E618="","",E618-D618)</f>
        <v>-2</v>
      </c>
      <c r="G618" s="5" t="str">
        <f>IF(E618="","Open",IF(F618&gt;0,"Delayed","Done"))</f>
        <v>Done</v>
      </c>
      <c r="H618" s="5" t="s">
        <v>326</v>
      </c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x14ac:dyDescent="0.2">
      <c r="A619" s="5" t="s">
        <v>1041</v>
      </c>
      <c r="B619" s="5" t="s">
        <v>233</v>
      </c>
      <c r="C619" s="5" t="s">
        <v>428</v>
      </c>
      <c r="D619" s="7">
        <v>46259</v>
      </c>
      <c r="E619" s="7">
        <v>46259</v>
      </c>
      <c r="F619" s="10">
        <f>IF(E619="","",E619-D619)</f>
        <v>0</v>
      </c>
      <c r="G619" s="5" t="str">
        <f>IF(E619="","Open",IF(F619&gt;0,"Delayed","Done"))</f>
        <v>Done</v>
      </c>
      <c r="H619" s="5" t="s">
        <v>326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x14ac:dyDescent="0.2">
      <c r="A620" s="5" t="s">
        <v>1042</v>
      </c>
      <c r="B620" s="5" t="s">
        <v>233</v>
      </c>
      <c r="C620" s="5" t="s">
        <v>430</v>
      </c>
      <c r="D620" s="7">
        <v>46262</v>
      </c>
      <c r="E620" s="7">
        <v>46265</v>
      </c>
      <c r="F620" s="10">
        <f>IF(E620="","",E620-D620)</f>
        <v>3</v>
      </c>
      <c r="G620" s="5" t="str">
        <f>IF(E620="","Open",IF(F620&gt;0,"Delayed","Done"))</f>
        <v>Delayed</v>
      </c>
      <c r="H620" s="5" t="s">
        <v>326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x14ac:dyDescent="0.2">
      <c r="A621" s="5" t="s">
        <v>1043</v>
      </c>
      <c r="B621" s="5" t="s">
        <v>233</v>
      </c>
      <c r="C621" s="5" t="s">
        <v>432</v>
      </c>
      <c r="D621" s="7">
        <v>46266</v>
      </c>
      <c r="E621" s="7"/>
      <c r="F621" s="10" t="str">
        <f>IF(E621="","",E621-D621)</f>
        <v/>
      </c>
      <c r="G621" s="5" t="str">
        <f>IF(E621="","Open",IF(F621&gt;0,"Delayed","Done"))</f>
        <v>Open</v>
      </c>
      <c r="H621" s="5" t="s">
        <v>321</v>
      </c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x14ac:dyDescent="0.2">
      <c r="A622" s="5" t="s">
        <v>1044</v>
      </c>
      <c r="B622" s="5" t="s">
        <v>233</v>
      </c>
      <c r="C622" s="5" t="s">
        <v>434</v>
      </c>
      <c r="D622" s="7">
        <v>46268</v>
      </c>
      <c r="E622" s="7"/>
      <c r="F622" s="10" t="str">
        <f>IF(E622="","",E622-D622)</f>
        <v/>
      </c>
      <c r="G622" s="5" t="str">
        <f>IF(E622="","Open",IF(F622&gt;0,"Delayed","Done"))</f>
        <v>Open</v>
      </c>
      <c r="H622" s="5" t="s">
        <v>321</v>
      </c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x14ac:dyDescent="0.2">
      <c r="A623" s="5" t="s">
        <v>1045</v>
      </c>
      <c r="B623" s="5" t="s">
        <v>233</v>
      </c>
      <c r="C623" s="5" t="s">
        <v>436</v>
      </c>
      <c r="D623" s="7">
        <v>46270</v>
      </c>
      <c r="E623" s="7">
        <v>46273</v>
      </c>
      <c r="F623" s="10">
        <f>IF(E623="","",E623-D623)</f>
        <v>3</v>
      </c>
      <c r="G623" s="5" t="str">
        <f>IF(E623="","Open",IF(F623&gt;0,"Delayed","Done"))</f>
        <v>Delayed</v>
      </c>
      <c r="H623" s="5" t="s">
        <v>326</v>
      </c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x14ac:dyDescent="0.2">
      <c r="A624" s="5" t="s">
        <v>1046</v>
      </c>
      <c r="B624" s="5" t="s">
        <v>233</v>
      </c>
      <c r="C624" s="5" t="s">
        <v>274</v>
      </c>
      <c r="D624" s="7">
        <v>46271</v>
      </c>
      <c r="E624" s="7">
        <v>46272</v>
      </c>
      <c r="F624" s="10">
        <f>IF(E624="","",E624-D624)</f>
        <v>1</v>
      </c>
      <c r="G624" s="5" t="str">
        <f>IF(E624="","Open",IF(F624&gt;0,"Delayed","Done"))</f>
        <v>Delayed</v>
      </c>
      <c r="H624" s="5" t="s">
        <v>321</v>
      </c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x14ac:dyDescent="0.2">
      <c r="A625" s="5" t="s">
        <v>1047</v>
      </c>
      <c r="B625" s="5" t="s">
        <v>233</v>
      </c>
      <c r="C625" s="5" t="s">
        <v>439</v>
      </c>
      <c r="D625" s="7">
        <v>46273</v>
      </c>
      <c r="E625" s="7"/>
      <c r="F625" s="10" t="str">
        <f>IF(E625="","",E625-D625)</f>
        <v/>
      </c>
      <c r="G625" s="5" t="str">
        <f>IF(E625="","Open",IF(F625&gt;0,"Delayed","Done"))</f>
        <v>Open</v>
      </c>
      <c r="H625" s="5" t="s">
        <v>326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x14ac:dyDescent="0.2">
      <c r="A626" s="5" t="s">
        <v>1048</v>
      </c>
      <c r="B626" s="5" t="s">
        <v>234</v>
      </c>
      <c r="C626" s="5" t="s">
        <v>410</v>
      </c>
      <c r="D626" s="7">
        <v>46176</v>
      </c>
      <c r="E626" s="7">
        <v>46176</v>
      </c>
      <c r="F626" s="10">
        <f>IF(E626="","",E626-D626)</f>
        <v>0</v>
      </c>
      <c r="G626" s="5" t="str">
        <f>IF(E626="","Open",IF(F626&gt;0,"Delayed","Done"))</f>
        <v>Done</v>
      </c>
      <c r="H626" s="5" t="s">
        <v>321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x14ac:dyDescent="0.2">
      <c r="A627" s="5" t="s">
        <v>1049</v>
      </c>
      <c r="B627" s="5" t="s">
        <v>234</v>
      </c>
      <c r="C627" s="5" t="s">
        <v>412</v>
      </c>
      <c r="D627" s="7">
        <v>46179</v>
      </c>
      <c r="E627" s="7">
        <v>46181</v>
      </c>
      <c r="F627" s="10">
        <f>IF(E627="","",E627-D627)</f>
        <v>2</v>
      </c>
      <c r="G627" s="5" t="str">
        <f>IF(E627="","Open",IF(F627&gt;0,"Delayed","Done"))</f>
        <v>Delayed</v>
      </c>
      <c r="H627" s="5" t="s">
        <v>321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x14ac:dyDescent="0.2">
      <c r="A628" s="5" t="s">
        <v>1050</v>
      </c>
      <c r="B628" s="5" t="s">
        <v>234</v>
      </c>
      <c r="C628" s="5" t="s">
        <v>414</v>
      </c>
      <c r="D628" s="7">
        <v>46181</v>
      </c>
      <c r="E628" s="7">
        <v>46181</v>
      </c>
      <c r="F628" s="10">
        <f>IF(E628="","",E628-D628)</f>
        <v>0</v>
      </c>
      <c r="G628" s="5" t="str">
        <f>IF(E628="","Open",IF(F628&gt;0,"Delayed","Done"))</f>
        <v>Done</v>
      </c>
      <c r="H628" s="5" t="s">
        <v>321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x14ac:dyDescent="0.2">
      <c r="A629" s="5" t="s">
        <v>1051</v>
      </c>
      <c r="B629" s="5" t="s">
        <v>234</v>
      </c>
      <c r="C629" s="5" t="s">
        <v>416</v>
      </c>
      <c r="D629" s="7">
        <v>46183</v>
      </c>
      <c r="E629" s="7">
        <v>46186</v>
      </c>
      <c r="F629" s="10">
        <f>IF(E629="","",E629-D629)</f>
        <v>3</v>
      </c>
      <c r="G629" s="5" t="str">
        <f>IF(E629="","Open",IF(F629&gt;0,"Delayed","Done"))</f>
        <v>Delayed</v>
      </c>
      <c r="H629" s="5" t="s">
        <v>321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x14ac:dyDescent="0.2">
      <c r="A630" s="5" t="s">
        <v>1052</v>
      </c>
      <c r="B630" s="5" t="s">
        <v>234</v>
      </c>
      <c r="C630" s="5" t="s">
        <v>418</v>
      </c>
      <c r="D630" s="7">
        <v>46187</v>
      </c>
      <c r="E630" s="7"/>
      <c r="F630" s="10" t="str">
        <f>IF(E630="","",E630-D630)</f>
        <v/>
      </c>
      <c r="G630" s="5" t="str">
        <f>IF(E630="","Open",IF(F630&gt;0,"Delayed","Done"))</f>
        <v>Open</v>
      </c>
      <c r="H630" s="5" t="s">
        <v>321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x14ac:dyDescent="0.2">
      <c r="A631" s="5" t="s">
        <v>1053</v>
      </c>
      <c r="B631" s="5" t="s">
        <v>234</v>
      </c>
      <c r="C631" s="5" t="s">
        <v>420</v>
      </c>
      <c r="D631" s="7">
        <v>46193</v>
      </c>
      <c r="E631" s="7">
        <v>46196</v>
      </c>
      <c r="F631" s="10">
        <f>IF(E631="","",E631-D631)</f>
        <v>3</v>
      </c>
      <c r="G631" s="5" t="str">
        <f>IF(E631="","Open",IF(F631&gt;0,"Delayed","Done"))</f>
        <v>Delayed</v>
      </c>
      <c r="H631" s="5" t="s">
        <v>321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x14ac:dyDescent="0.2">
      <c r="A632" s="5" t="s">
        <v>1054</v>
      </c>
      <c r="B632" s="5" t="s">
        <v>234</v>
      </c>
      <c r="C632" s="5" t="s">
        <v>422</v>
      </c>
      <c r="D632" s="7">
        <v>46197</v>
      </c>
      <c r="E632" s="7">
        <v>46196</v>
      </c>
      <c r="F632" s="10">
        <f>IF(E632="","",E632-D632)</f>
        <v>-1</v>
      </c>
      <c r="G632" s="5" t="str">
        <f>IF(E632="","Open",IF(F632&gt;0,"Delayed","Done"))</f>
        <v>Done</v>
      </c>
      <c r="H632" s="5" t="s">
        <v>321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x14ac:dyDescent="0.2">
      <c r="A633" s="5" t="s">
        <v>1055</v>
      </c>
      <c r="B633" s="5" t="s">
        <v>234</v>
      </c>
      <c r="C633" s="5" t="s">
        <v>424</v>
      </c>
      <c r="D633" s="7">
        <v>46203</v>
      </c>
      <c r="E633" s="7"/>
      <c r="F633" s="10" t="str">
        <f>IF(E633="","",E633-D633)</f>
        <v/>
      </c>
      <c r="G633" s="5" t="str">
        <f>IF(E633="","Open",IF(F633&gt;0,"Delayed","Done"))</f>
        <v>Open</v>
      </c>
      <c r="H633" s="5" t="s">
        <v>326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x14ac:dyDescent="0.2">
      <c r="A634" s="5" t="s">
        <v>1056</v>
      </c>
      <c r="B634" s="5" t="s">
        <v>234</v>
      </c>
      <c r="C634" s="5" t="s">
        <v>426</v>
      </c>
      <c r="D634" s="7">
        <v>46205</v>
      </c>
      <c r="E634" s="7"/>
      <c r="F634" s="10" t="str">
        <f>IF(E634="","",E634-D634)</f>
        <v/>
      </c>
      <c r="G634" s="5" t="str">
        <f>IF(E634="","Open",IF(F634&gt;0,"Delayed","Done"))</f>
        <v>Open</v>
      </c>
      <c r="H634" s="5" t="s">
        <v>326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x14ac:dyDescent="0.2">
      <c r="A635" s="5" t="s">
        <v>1057</v>
      </c>
      <c r="B635" s="5" t="s">
        <v>234</v>
      </c>
      <c r="C635" s="5" t="s">
        <v>428</v>
      </c>
      <c r="D635" s="7">
        <v>46207</v>
      </c>
      <c r="E635" s="7">
        <v>46209</v>
      </c>
      <c r="F635" s="10">
        <f>IF(E635="","",E635-D635)</f>
        <v>2</v>
      </c>
      <c r="G635" s="5" t="str">
        <f>IF(E635="","Open",IF(F635&gt;0,"Delayed","Done"))</f>
        <v>Delayed</v>
      </c>
      <c r="H635" s="5" t="s">
        <v>326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x14ac:dyDescent="0.2">
      <c r="A636" s="5" t="s">
        <v>1058</v>
      </c>
      <c r="B636" s="5" t="s">
        <v>234</v>
      </c>
      <c r="C636" s="5" t="s">
        <v>430</v>
      </c>
      <c r="D636" s="7">
        <v>46210</v>
      </c>
      <c r="E636" s="7">
        <v>46215</v>
      </c>
      <c r="F636" s="10">
        <f>IF(E636="","",E636-D636)</f>
        <v>5</v>
      </c>
      <c r="G636" s="5" t="str">
        <f>IF(E636="","Open",IF(F636&gt;0,"Delayed","Done"))</f>
        <v>Delayed</v>
      </c>
      <c r="H636" s="5" t="s">
        <v>326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x14ac:dyDescent="0.2">
      <c r="A637" s="5" t="s">
        <v>1059</v>
      </c>
      <c r="B637" s="5" t="s">
        <v>234</v>
      </c>
      <c r="C637" s="5" t="s">
        <v>432</v>
      </c>
      <c r="D637" s="7">
        <v>46214</v>
      </c>
      <c r="E637" s="7">
        <v>46213</v>
      </c>
      <c r="F637" s="10">
        <f>IF(E637="","",E637-D637)</f>
        <v>-1</v>
      </c>
      <c r="G637" s="5" t="str">
        <f>IF(E637="","Open",IF(F637&gt;0,"Delayed","Done"))</f>
        <v>Done</v>
      </c>
      <c r="H637" s="5" t="s">
        <v>321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x14ac:dyDescent="0.2">
      <c r="A638" s="5" t="s">
        <v>1060</v>
      </c>
      <c r="B638" s="5" t="s">
        <v>234</v>
      </c>
      <c r="C638" s="5" t="s">
        <v>434</v>
      </c>
      <c r="D638" s="7">
        <v>46216</v>
      </c>
      <c r="E638" s="7"/>
      <c r="F638" s="10" t="str">
        <f>IF(E638="","",E638-D638)</f>
        <v/>
      </c>
      <c r="G638" s="5" t="str">
        <f>IF(E638="","Open",IF(F638&gt;0,"Delayed","Done"))</f>
        <v>Open</v>
      </c>
      <c r="H638" s="5" t="s">
        <v>321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x14ac:dyDescent="0.2">
      <c r="A639" s="5" t="s">
        <v>1061</v>
      </c>
      <c r="B639" s="5" t="s">
        <v>234</v>
      </c>
      <c r="C639" s="5" t="s">
        <v>436</v>
      </c>
      <c r="D639" s="7">
        <v>46218</v>
      </c>
      <c r="E639" s="7"/>
      <c r="F639" s="10" t="str">
        <f>IF(E639="","",E639-D639)</f>
        <v/>
      </c>
      <c r="G639" s="5" t="str">
        <f>IF(E639="","Open",IF(F639&gt;0,"Delayed","Done"))</f>
        <v>Open</v>
      </c>
      <c r="H639" s="5" t="s">
        <v>326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x14ac:dyDescent="0.2">
      <c r="A640" s="5" t="s">
        <v>1062</v>
      </c>
      <c r="B640" s="5" t="s">
        <v>234</v>
      </c>
      <c r="C640" s="5" t="s">
        <v>274</v>
      </c>
      <c r="D640" s="7">
        <v>46219</v>
      </c>
      <c r="E640" s="7">
        <v>46224</v>
      </c>
      <c r="F640" s="10">
        <f>IF(E640="","",E640-D640)</f>
        <v>5</v>
      </c>
      <c r="G640" s="5" t="str">
        <f>IF(E640="","Open",IF(F640&gt;0,"Delayed","Done"))</f>
        <v>Delayed</v>
      </c>
      <c r="H640" s="5" t="s">
        <v>321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x14ac:dyDescent="0.2">
      <c r="A641" s="5" t="s">
        <v>1063</v>
      </c>
      <c r="B641" s="5" t="s">
        <v>234</v>
      </c>
      <c r="C641" s="5" t="s">
        <v>439</v>
      </c>
      <c r="D641" s="7">
        <v>46221</v>
      </c>
      <c r="E641" s="7">
        <v>46224</v>
      </c>
      <c r="F641" s="10">
        <f>IF(E641="","",E641-D641)</f>
        <v>3</v>
      </c>
      <c r="G641" s="5" t="str">
        <f>IF(E641="","Open",IF(F641&gt;0,"Delayed","Done"))</f>
        <v>Delayed</v>
      </c>
      <c r="H641" s="5" t="s">
        <v>326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</sheetData>
  <conditionalFormatting sqref="G2:G641">
    <cfRule type="expression" dxfId="1" priority="1">
      <formula>G2="Delayed"</formula>
    </cfRule>
    <cfRule type="expression" dxfId="0" priority="2">
      <formula>G2="Open"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"/>
  <sheetViews>
    <sheetView zoomScaleNormal="150" zoomScaleSheetLayoutView="100" workbookViewId="0"/>
  </sheetViews>
  <sheetFormatPr defaultRowHeight="15" x14ac:dyDescent="0.2"/>
  <cols>
    <col min="1" max="1" width="8.0703125" customWidth="1"/>
    <col min="2" max="2" width="10.625" customWidth="1"/>
    <col min="3" max="3" width="27.98046875" customWidth="1"/>
    <col min="4" max="4" width="11.56640625" customWidth="1"/>
    <col min="5" max="5" width="8.203125" customWidth="1"/>
    <col min="6" max="6" width="10.89453125" customWidth="1"/>
    <col min="7" max="7" width="27.98046875" customWidth="1"/>
    <col min="8" max="8" width="12.375" customWidth="1"/>
    <col min="9" max="9" width="23.13671875" customWidth="1"/>
    <col min="10" max="10" width="27.98046875" customWidth="1"/>
  </cols>
  <sheetData>
    <row r="1" spans="1:26" ht="27.95" customHeight="1" x14ac:dyDescent="0.2">
      <c r="A1" s="4" t="s">
        <v>1064</v>
      </c>
      <c r="B1" s="4" t="s">
        <v>1065</v>
      </c>
      <c r="C1" s="4" t="s">
        <v>1066</v>
      </c>
      <c r="D1" s="4" t="s">
        <v>1067</v>
      </c>
      <c r="E1" s="4" t="s">
        <v>1068</v>
      </c>
      <c r="F1" s="4" t="s">
        <v>1069</v>
      </c>
      <c r="G1" s="4" t="s">
        <v>1070</v>
      </c>
      <c r="H1" s="4" t="s">
        <v>1071</v>
      </c>
      <c r="I1" s="4" t="s">
        <v>1072</v>
      </c>
      <c r="J1" s="4" t="s">
        <v>146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 t="s">
        <v>1073</v>
      </c>
      <c r="B2" s="5" t="s">
        <v>1074</v>
      </c>
      <c r="C2" s="5" t="s">
        <v>1075</v>
      </c>
      <c r="D2" s="5">
        <v>4</v>
      </c>
      <c r="E2" s="5">
        <v>5</v>
      </c>
      <c r="F2" s="5">
        <f>D2*E2</f>
        <v>20</v>
      </c>
      <c r="G2" s="5" t="s">
        <v>1076</v>
      </c>
      <c r="H2" s="5" t="s">
        <v>1077</v>
      </c>
      <c r="I2" s="5" t="s">
        <v>1078</v>
      </c>
      <c r="J2" s="5" t="s">
        <v>1079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 t="s">
        <v>1080</v>
      </c>
      <c r="B3" s="5" t="s">
        <v>1081</v>
      </c>
      <c r="C3" s="5" t="s">
        <v>1082</v>
      </c>
      <c r="D3" s="5">
        <v>3</v>
      </c>
      <c r="E3" s="5">
        <v>5</v>
      </c>
      <c r="F3" s="5">
        <f>D3*E3</f>
        <v>15</v>
      </c>
      <c r="G3" s="5" t="s">
        <v>1083</v>
      </c>
      <c r="H3" s="5" t="s">
        <v>1084</v>
      </c>
      <c r="I3" s="5" t="s">
        <v>1085</v>
      </c>
      <c r="J3" s="5" t="s">
        <v>1079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 t="s">
        <v>1086</v>
      </c>
      <c r="B4" s="5" t="s">
        <v>1087</v>
      </c>
      <c r="C4" s="5" t="s">
        <v>1088</v>
      </c>
      <c r="D4" s="5">
        <v>3</v>
      </c>
      <c r="E4" s="5">
        <v>4</v>
      </c>
      <c r="F4" s="5">
        <f>D4*E4</f>
        <v>12</v>
      </c>
      <c r="G4" s="5" t="s">
        <v>1089</v>
      </c>
      <c r="H4" s="5" t="s">
        <v>1090</v>
      </c>
      <c r="I4" s="5" t="s">
        <v>1091</v>
      </c>
      <c r="J4" s="5" t="s">
        <v>1092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 t="s">
        <v>1093</v>
      </c>
      <c r="B5" s="5" t="s">
        <v>1094</v>
      </c>
      <c r="C5" s="5" t="s">
        <v>1095</v>
      </c>
      <c r="D5" s="5">
        <v>2</v>
      </c>
      <c r="E5" s="5">
        <v>4</v>
      </c>
      <c r="F5" s="5">
        <f>D5*E5</f>
        <v>8</v>
      </c>
      <c r="G5" s="5" t="s">
        <v>1096</v>
      </c>
      <c r="H5" s="5" t="s">
        <v>1097</v>
      </c>
      <c r="I5" s="5" t="s">
        <v>1098</v>
      </c>
      <c r="J5" s="5" t="s">
        <v>1079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 t="s">
        <v>1099</v>
      </c>
      <c r="B6" s="5" t="s">
        <v>1100</v>
      </c>
      <c r="C6" s="5" t="s">
        <v>1101</v>
      </c>
      <c r="D6" s="5">
        <v>3</v>
      </c>
      <c r="E6" s="5">
        <v>5</v>
      </c>
      <c r="F6" s="5">
        <f>D6*E6</f>
        <v>15</v>
      </c>
      <c r="G6" s="5" t="s">
        <v>1102</v>
      </c>
      <c r="H6" s="5" t="s">
        <v>1103</v>
      </c>
      <c r="I6" s="5" t="s">
        <v>1104</v>
      </c>
      <c r="J6" s="5" t="s">
        <v>1079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 t="s">
        <v>1105</v>
      </c>
      <c r="B7" s="5" t="s">
        <v>1106</v>
      </c>
      <c r="C7" s="5" t="s">
        <v>1107</v>
      </c>
      <c r="D7" s="5">
        <v>2</v>
      </c>
      <c r="E7" s="5">
        <v>4</v>
      </c>
      <c r="F7" s="5">
        <f>D7*E7</f>
        <v>8</v>
      </c>
      <c r="G7" s="5" t="s">
        <v>1108</v>
      </c>
      <c r="H7" s="5" t="s">
        <v>1109</v>
      </c>
      <c r="I7" s="5" t="s">
        <v>1110</v>
      </c>
      <c r="J7" s="5" t="s">
        <v>1092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</sheetData>
  <conditionalFormatting sqref="F2:F7">
    <cfRule type="dataBar" priority="1">
      <dataBar>
        <cfvo type="min"/>
        <cfvo type="max"/>
        <color rgb="FF9E480E"/>
      </dataBar>
    </cfRule>
    <cfRule type="dataBar" priority="2">
      <dataBar>
        <cfvo type="min"/>
        <cfvo type="max"/>
        <color rgb="FF9E480E"/>
      </dataBar>
      <extLst>
        <ext xmlns:x14="http://schemas.microsoft.com/office/spreadsheetml/2009/9/main" uri="{B025F937-C7B1-47D3-B67F-A62EFF666E3E}">
          <x14:id>{5C605793-E872-FFFF-0FA1-C20BEC5C4002}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605793-E872-FFFF-0FA1-C20BEC5C4002}">
            <x14:dataBar>
              <x14:cfvo type="min"/>
              <x14:cfvo type="max"/>
              <x14:negativeFillColor auto="1"/>
              <x14:axisColor auto="1"/>
            </x14:dataBar>
          </x14:cfRule>
          <xm:sqref>F2:F7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"/>
  <sheetViews>
    <sheetView zoomScaleNormal="150" zoomScaleSheetLayoutView="100" workbookViewId="0"/>
  </sheetViews>
  <sheetFormatPr defaultRowHeight="15" x14ac:dyDescent="0.2"/>
  <cols>
    <col min="1" max="1" width="23.13671875" customWidth="1"/>
    <col min="2" max="2" width="22.46484375" customWidth="1"/>
    <col min="3" max="3" width="27.98046875" customWidth="1"/>
    <col min="4" max="4" width="6.58984375" customWidth="1"/>
    <col min="5" max="5" width="27.98046875" customWidth="1"/>
  </cols>
  <sheetData>
    <row r="1" spans="1:26" ht="27.95" customHeight="1" x14ac:dyDescent="0.2">
      <c r="A1" s="4" t="s">
        <v>1111</v>
      </c>
      <c r="B1" s="4" t="s">
        <v>1112</v>
      </c>
      <c r="C1" s="4" t="s">
        <v>1066</v>
      </c>
      <c r="D1" s="4" t="s">
        <v>1113</v>
      </c>
      <c r="E1" s="4" t="s">
        <v>1114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 t="s">
        <v>1115</v>
      </c>
      <c r="B2" s="5" t="s">
        <v>137</v>
      </c>
      <c r="C2" s="5" t="s">
        <v>1116</v>
      </c>
      <c r="D2" s="5" t="s">
        <v>1117</v>
      </c>
      <c r="E2" s="5" t="s">
        <v>1118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5" t="s">
        <v>1115</v>
      </c>
      <c r="B3" s="5" t="s">
        <v>148</v>
      </c>
      <c r="C3" s="5" t="s">
        <v>1119</v>
      </c>
      <c r="D3" s="5" t="s">
        <v>1120</v>
      </c>
      <c r="E3" s="5" t="s">
        <v>1121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5" t="s">
        <v>1115</v>
      </c>
      <c r="B4" s="5" t="s">
        <v>150</v>
      </c>
      <c r="C4" s="5" t="s">
        <v>1122</v>
      </c>
      <c r="D4" s="5" t="s">
        <v>1120</v>
      </c>
      <c r="E4" s="5" t="s">
        <v>1123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5" t="s">
        <v>1124</v>
      </c>
      <c r="B5" s="5" t="s">
        <v>260</v>
      </c>
      <c r="C5" s="5" t="s">
        <v>1125</v>
      </c>
      <c r="D5" s="5" t="s">
        <v>1126</v>
      </c>
      <c r="E5" s="5" t="s">
        <v>1127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5" t="s">
        <v>1128</v>
      </c>
      <c r="B6" s="5" t="s">
        <v>360</v>
      </c>
      <c r="C6" s="5" t="s">
        <v>1129</v>
      </c>
      <c r="D6" s="5" t="s">
        <v>1120</v>
      </c>
      <c r="E6" s="5" t="s">
        <v>1130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5" t="s">
        <v>1131</v>
      </c>
      <c r="B7" s="5" t="s">
        <v>1132</v>
      </c>
      <c r="C7" s="5" t="s">
        <v>1133</v>
      </c>
      <c r="D7" s="5" t="s">
        <v>1126</v>
      </c>
      <c r="E7" s="5" t="s">
        <v>1134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 t="s">
        <v>1078</v>
      </c>
      <c r="B8" s="5" t="s">
        <v>1135</v>
      </c>
      <c r="C8" s="5" t="s">
        <v>1136</v>
      </c>
      <c r="D8" s="5" t="s">
        <v>1120</v>
      </c>
      <c r="E8" s="5" t="s">
        <v>1137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5" t="s">
        <v>1091</v>
      </c>
      <c r="B9" s="5" t="s">
        <v>407</v>
      </c>
      <c r="C9" s="5" t="s">
        <v>1138</v>
      </c>
      <c r="D9" s="5" t="s">
        <v>1120</v>
      </c>
      <c r="E9" s="5" t="s">
        <v>1139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 t="s">
        <v>1140</v>
      </c>
      <c r="B10" s="5" t="s">
        <v>402</v>
      </c>
      <c r="C10" s="5" t="s">
        <v>1141</v>
      </c>
      <c r="D10" s="5" t="s">
        <v>1120</v>
      </c>
      <c r="E10" s="5" t="s">
        <v>1142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style_master</vt:lpstr>
      <vt:lpstr>orders</vt:lpstr>
      <vt:lpstr>product_matrix</vt:lpstr>
      <vt:lpstr>labs_factories</vt:lpstr>
      <vt:lpstr>line_capacity</vt:lpstr>
      <vt:lpstr>phase_capacity</vt:lpstr>
      <vt:lpstr>TNA_calendar</vt:lpstr>
      <vt:lpstr>risk_register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Vittoria Rossi</dc:creator>
  <dcterms:created xsi:type="dcterms:W3CDTF">2026-05-27T13:30:03Z</dcterms:created>
</cp:coreProperties>
</file>